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cer\Downloads\"/>
    </mc:Choice>
  </mc:AlternateContent>
  <bookViews>
    <workbookView xWindow="0" yWindow="0" windowWidth="20490" windowHeight="7530" firstSheet="2" activeTab="5"/>
  </bookViews>
  <sheets>
    <sheet name="Enrollment_Data" sheetId="1" r:id="rId1"/>
    <sheet name="Pivot &amp;Calculations" sheetId="2" r:id="rId2"/>
    <sheet name=" CHARTS FOR ENROLLMENT" sheetId="6" r:id="rId3"/>
    <sheet name="CHARTS FOR REVENUE" sheetId="7" r:id="rId4"/>
    <sheet name="DASHBOARD1" sheetId="8" r:id="rId5"/>
    <sheet name="REVENUE ANALYSIS" sheetId="10" r:id="rId6"/>
  </sheets>
  <definedNames>
    <definedName name="Slicer_Completion_Status">#N/A</definedName>
    <definedName name="Slicer_Course_Category1">#N/A</definedName>
    <definedName name="Slicer_Course_Level">#N/A</definedName>
    <definedName name="Slicer_Duration_months">#N/A</definedName>
    <definedName name="Slicer_Instructor_Name">#N/A</definedName>
    <definedName name="Slicer_Mode">#N/A</definedName>
    <definedName name="Slicer_Months">#N/A</definedName>
    <definedName name="Slicer_Nationality">#N/A</definedName>
    <definedName name="Slicer_Payment_Status">#N/A</definedName>
    <definedName name="Slicer_Terms_Completed">#N/A</definedName>
  </definedNames>
  <calcPr calcId="162913"/>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Lst>
</workbook>
</file>

<file path=xl/calcChain.xml><?xml version="1.0" encoding="utf-8"?>
<calcChain xmlns="http://schemas.openxmlformats.org/spreadsheetml/2006/main">
  <c r="E20" i="2" l="1"/>
  <c r="E19" i="2"/>
  <c r="E9" i="2"/>
  <c r="P39" i="2" l="1"/>
  <c r="P40" i="2"/>
  <c r="P41" i="2"/>
  <c r="P42" i="2"/>
  <c r="P43" i="2"/>
  <c r="P44" i="2"/>
  <c r="P38" i="2"/>
  <c r="J17" i="2"/>
  <c r="Q38" i="2"/>
  <c r="L79" i="2" l="1"/>
  <c r="L76" i="2" l="1"/>
  <c r="L73" i="2"/>
  <c r="L70" i="2"/>
  <c r="E27" i="2" l="1"/>
  <c r="E26" i="2"/>
  <c r="D24" i="2"/>
  <c r="D23" i="2"/>
  <c r="F18" i="2"/>
  <c r="F17" i="2"/>
  <c r="E13" i="2"/>
  <c r="E12" i="2"/>
  <c r="E11" i="2"/>
  <c r="E10" i="2"/>
  <c r="F8" i="2"/>
  <c r="F7" i="2"/>
  <c r="F6" i="2"/>
  <c r="F5" i="2"/>
  <c r="F4" i="2"/>
  <c r="F3" i="2"/>
  <c r="F2" i="2"/>
  <c r="R2001" i="1"/>
  <c r="Q2001" i="1"/>
  <c r="R2000" i="1"/>
  <c r="Q2000" i="1"/>
  <c r="R1999" i="1"/>
  <c r="Q1999" i="1"/>
  <c r="R1998" i="1"/>
  <c r="Q1998" i="1"/>
  <c r="R1997" i="1"/>
  <c r="Q1997" i="1"/>
  <c r="R1996" i="1"/>
  <c r="Q1996" i="1"/>
  <c r="R1995" i="1"/>
  <c r="Q1995" i="1"/>
  <c r="R1994" i="1"/>
  <c r="Q1994" i="1"/>
  <c r="R1993" i="1"/>
  <c r="Q1993" i="1"/>
  <c r="R1992" i="1"/>
  <c r="Q1992" i="1"/>
  <c r="R1991" i="1"/>
  <c r="Q1991" i="1"/>
  <c r="R1990" i="1"/>
  <c r="Q1990" i="1"/>
  <c r="R1989" i="1"/>
  <c r="Q1989" i="1"/>
  <c r="R1988" i="1"/>
  <c r="Q1988" i="1"/>
  <c r="R1987" i="1"/>
  <c r="Q1987" i="1"/>
  <c r="R1986" i="1"/>
  <c r="Q1986" i="1"/>
  <c r="R1985" i="1"/>
  <c r="Q1985" i="1"/>
  <c r="R1984" i="1"/>
  <c r="Q1984" i="1"/>
  <c r="R1983" i="1"/>
  <c r="Q1983" i="1"/>
  <c r="R1982" i="1"/>
  <c r="Q1982" i="1"/>
  <c r="R1981" i="1"/>
  <c r="Q1981" i="1"/>
  <c r="R1980" i="1"/>
  <c r="Q1980" i="1"/>
  <c r="R1979" i="1"/>
  <c r="Q1979" i="1"/>
  <c r="R1978" i="1"/>
  <c r="Q1978" i="1"/>
  <c r="R1977" i="1"/>
  <c r="Q1977" i="1"/>
  <c r="R1976" i="1"/>
  <c r="Q1976" i="1"/>
  <c r="R1975" i="1"/>
  <c r="Q1975" i="1"/>
  <c r="R1974" i="1"/>
  <c r="Q1974" i="1"/>
  <c r="R1973" i="1"/>
  <c r="Q1973" i="1"/>
  <c r="R1972" i="1"/>
  <c r="Q1972" i="1"/>
  <c r="R1971" i="1"/>
  <c r="Q1971" i="1"/>
  <c r="R1970" i="1"/>
  <c r="Q1970" i="1"/>
  <c r="R1969" i="1"/>
  <c r="Q1969" i="1"/>
  <c r="R1968" i="1"/>
  <c r="Q1968" i="1"/>
  <c r="R1967" i="1"/>
  <c r="Q1967" i="1"/>
  <c r="R1966" i="1"/>
  <c r="Q1966" i="1"/>
  <c r="R1965" i="1"/>
  <c r="Q1965" i="1"/>
  <c r="R1964" i="1"/>
  <c r="Q1964" i="1"/>
  <c r="R1963" i="1"/>
  <c r="Q1963" i="1"/>
  <c r="R1962" i="1"/>
  <c r="Q1962" i="1"/>
  <c r="R1961" i="1"/>
  <c r="Q1961" i="1"/>
  <c r="R1960" i="1"/>
  <c r="Q1960" i="1"/>
  <c r="R1959" i="1"/>
  <c r="Q1959" i="1"/>
  <c r="R1958" i="1"/>
  <c r="Q1958" i="1"/>
  <c r="R1957" i="1"/>
  <c r="Q1957" i="1"/>
  <c r="R1956" i="1"/>
  <c r="Q1956" i="1"/>
  <c r="R1955" i="1"/>
  <c r="Q1955" i="1"/>
  <c r="R1954" i="1"/>
  <c r="Q1954" i="1"/>
  <c r="R1953" i="1"/>
  <c r="Q1953" i="1"/>
  <c r="R1952" i="1"/>
  <c r="Q1952" i="1"/>
  <c r="R1951" i="1"/>
  <c r="Q1951" i="1"/>
  <c r="R1950" i="1"/>
  <c r="Q1950" i="1"/>
  <c r="R1949" i="1"/>
  <c r="Q1949" i="1"/>
  <c r="R1948" i="1"/>
  <c r="Q1948" i="1"/>
  <c r="R1947" i="1"/>
  <c r="Q1947" i="1"/>
  <c r="R1946" i="1"/>
  <c r="Q1946" i="1"/>
  <c r="R1945" i="1"/>
  <c r="Q1945" i="1"/>
  <c r="R1944" i="1"/>
  <c r="Q1944" i="1"/>
  <c r="R1943" i="1"/>
  <c r="Q1943" i="1"/>
  <c r="R1942" i="1"/>
  <c r="Q1942" i="1"/>
  <c r="R1941" i="1"/>
  <c r="Q1941" i="1"/>
  <c r="R1940" i="1"/>
  <c r="Q1940" i="1"/>
  <c r="R1939" i="1"/>
  <c r="Q1939" i="1"/>
  <c r="R1938" i="1"/>
  <c r="Q1938" i="1"/>
  <c r="R1937" i="1"/>
  <c r="Q1937" i="1"/>
  <c r="R1936" i="1"/>
  <c r="Q1936" i="1"/>
  <c r="R1935" i="1"/>
  <c r="Q1935" i="1"/>
  <c r="R1934" i="1"/>
  <c r="Q1934" i="1"/>
  <c r="R1933" i="1"/>
  <c r="Q1933" i="1"/>
  <c r="R1932" i="1"/>
  <c r="Q1932" i="1"/>
  <c r="R1931" i="1"/>
  <c r="Q1931" i="1"/>
  <c r="R1930" i="1"/>
  <c r="Q1930" i="1"/>
  <c r="R1929" i="1"/>
  <c r="Q1929" i="1"/>
  <c r="R1928" i="1"/>
  <c r="Q1928" i="1"/>
  <c r="R1927" i="1"/>
  <c r="Q1927" i="1"/>
  <c r="R1926" i="1"/>
  <c r="Q1926" i="1"/>
  <c r="R1925" i="1"/>
  <c r="Q1925" i="1"/>
  <c r="R1924" i="1"/>
  <c r="Q1924" i="1"/>
  <c r="R1923" i="1"/>
  <c r="Q1923" i="1"/>
  <c r="R1922" i="1"/>
  <c r="Q1922" i="1"/>
  <c r="R1921" i="1"/>
  <c r="Q1921" i="1"/>
  <c r="R1920" i="1"/>
  <c r="Q1920" i="1"/>
  <c r="R1919" i="1"/>
  <c r="Q1919" i="1"/>
  <c r="R1918" i="1"/>
  <c r="Q1918" i="1"/>
  <c r="R1917" i="1"/>
  <c r="Q1917" i="1"/>
  <c r="R1916" i="1"/>
  <c r="Q1916" i="1"/>
  <c r="R1915" i="1"/>
  <c r="Q1915" i="1"/>
  <c r="R1914" i="1"/>
  <c r="Q1914" i="1"/>
  <c r="R1913" i="1"/>
  <c r="Q1913" i="1"/>
  <c r="R1912" i="1"/>
  <c r="Q1912" i="1"/>
  <c r="R1911" i="1"/>
  <c r="Q1911" i="1"/>
  <c r="R1910" i="1"/>
  <c r="Q1910" i="1"/>
  <c r="R1909" i="1"/>
  <c r="Q1909" i="1"/>
  <c r="R1908" i="1"/>
  <c r="Q1908" i="1"/>
  <c r="R1907" i="1"/>
  <c r="Q1907" i="1"/>
  <c r="R1906" i="1"/>
  <c r="Q1906" i="1"/>
  <c r="R1905" i="1"/>
  <c r="Q1905" i="1"/>
  <c r="R1904" i="1"/>
  <c r="Q1904" i="1"/>
  <c r="R1903" i="1"/>
  <c r="Q1903" i="1"/>
  <c r="R1902" i="1"/>
  <c r="Q1902" i="1"/>
  <c r="R1901" i="1"/>
  <c r="Q1901" i="1"/>
  <c r="R1900" i="1"/>
  <c r="Q1900" i="1"/>
  <c r="R1899" i="1"/>
  <c r="Q1899" i="1"/>
  <c r="R1898" i="1"/>
  <c r="Q1898" i="1"/>
  <c r="R1897" i="1"/>
  <c r="Q1897" i="1"/>
  <c r="R1896" i="1"/>
  <c r="Q1896" i="1"/>
  <c r="R1895" i="1"/>
  <c r="Q1895" i="1"/>
  <c r="R1894" i="1"/>
  <c r="Q1894" i="1"/>
  <c r="R1893" i="1"/>
  <c r="Q1893" i="1"/>
  <c r="R1892" i="1"/>
  <c r="Q1892" i="1"/>
  <c r="R1891" i="1"/>
  <c r="Q1891" i="1"/>
  <c r="R1890" i="1"/>
  <c r="Q1890" i="1"/>
  <c r="R1889" i="1"/>
  <c r="Q1889" i="1"/>
  <c r="R1888" i="1"/>
  <c r="Q1888" i="1"/>
  <c r="R1887" i="1"/>
  <c r="Q1887" i="1"/>
  <c r="R1886" i="1"/>
  <c r="Q1886" i="1"/>
  <c r="R1885" i="1"/>
  <c r="Q1885" i="1"/>
  <c r="R1884" i="1"/>
  <c r="Q1884" i="1"/>
  <c r="R1883" i="1"/>
  <c r="Q1883" i="1"/>
  <c r="R1882" i="1"/>
  <c r="Q1882" i="1"/>
  <c r="R1881" i="1"/>
  <c r="Q1881" i="1"/>
  <c r="R1880" i="1"/>
  <c r="Q1880" i="1"/>
  <c r="R1879" i="1"/>
  <c r="Q1879" i="1"/>
  <c r="R1878" i="1"/>
  <c r="Q1878" i="1"/>
  <c r="R1877" i="1"/>
  <c r="Q1877" i="1"/>
  <c r="R1876" i="1"/>
  <c r="Q1876" i="1"/>
  <c r="R1875" i="1"/>
  <c r="Q1875" i="1"/>
  <c r="R1874" i="1"/>
  <c r="Q1874" i="1"/>
  <c r="R1873" i="1"/>
  <c r="Q1873" i="1"/>
  <c r="R1872" i="1"/>
  <c r="Q1872" i="1"/>
  <c r="R1871" i="1"/>
  <c r="Q1871" i="1"/>
  <c r="R1870" i="1"/>
  <c r="Q1870" i="1"/>
  <c r="R1869" i="1"/>
  <c r="Q1869" i="1"/>
  <c r="R1868" i="1"/>
  <c r="Q1868" i="1"/>
  <c r="R1867" i="1"/>
  <c r="Q1867" i="1"/>
  <c r="R1866" i="1"/>
  <c r="Q1866" i="1"/>
  <c r="R1865" i="1"/>
  <c r="Q1865" i="1"/>
  <c r="R1864" i="1"/>
  <c r="Q1864" i="1"/>
  <c r="R1863" i="1"/>
  <c r="Q1863" i="1"/>
  <c r="R1862" i="1"/>
  <c r="Q1862" i="1"/>
  <c r="R1861" i="1"/>
  <c r="Q1861" i="1"/>
  <c r="R1860" i="1"/>
  <c r="Q1860" i="1"/>
  <c r="R1859" i="1"/>
  <c r="Q1859" i="1"/>
  <c r="R1858" i="1"/>
  <c r="Q1858" i="1"/>
  <c r="R1857" i="1"/>
  <c r="Q1857" i="1"/>
  <c r="R1856" i="1"/>
  <c r="Q1856" i="1"/>
  <c r="R1855" i="1"/>
  <c r="Q1855" i="1"/>
  <c r="R1854" i="1"/>
  <c r="Q1854" i="1"/>
  <c r="R1853" i="1"/>
  <c r="Q1853" i="1"/>
  <c r="R1852" i="1"/>
  <c r="Q1852" i="1"/>
  <c r="R1851" i="1"/>
  <c r="Q1851" i="1"/>
  <c r="R1850" i="1"/>
  <c r="Q1850" i="1"/>
  <c r="R1849" i="1"/>
  <c r="Q1849" i="1"/>
  <c r="R1848" i="1"/>
  <c r="Q1848" i="1"/>
  <c r="R1847" i="1"/>
  <c r="Q1847" i="1"/>
  <c r="R1846" i="1"/>
  <c r="Q1846" i="1"/>
  <c r="R1845" i="1"/>
  <c r="Q1845" i="1"/>
  <c r="R1844" i="1"/>
  <c r="Q1844" i="1"/>
  <c r="R1843" i="1"/>
  <c r="Q1843" i="1"/>
  <c r="R1842" i="1"/>
  <c r="Q1842" i="1"/>
  <c r="R1841" i="1"/>
  <c r="Q1841" i="1"/>
  <c r="R1840" i="1"/>
  <c r="Q1840" i="1"/>
  <c r="R1839" i="1"/>
  <c r="Q1839" i="1"/>
  <c r="R1838" i="1"/>
  <c r="Q1838" i="1"/>
  <c r="R1837" i="1"/>
  <c r="Q1837" i="1"/>
  <c r="R1836" i="1"/>
  <c r="Q1836" i="1"/>
  <c r="R1835" i="1"/>
  <c r="Q1835" i="1"/>
  <c r="R1834" i="1"/>
  <c r="Q1834" i="1"/>
  <c r="R1833" i="1"/>
  <c r="Q1833" i="1"/>
  <c r="R1832" i="1"/>
  <c r="Q1832" i="1"/>
  <c r="R1831" i="1"/>
  <c r="Q1831" i="1"/>
  <c r="R1830" i="1"/>
  <c r="Q1830" i="1"/>
  <c r="R1829" i="1"/>
  <c r="Q1829" i="1"/>
  <c r="R1828" i="1"/>
  <c r="Q1828" i="1"/>
  <c r="R1827" i="1"/>
  <c r="Q1827" i="1"/>
  <c r="R1826" i="1"/>
  <c r="Q1826" i="1"/>
  <c r="R1825" i="1"/>
  <c r="Q1825" i="1"/>
  <c r="R1824" i="1"/>
  <c r="Q1824" i="1"/>
  <c r="R1823" i="1"/>
  <c r="Q1823" i="1"/>
  <c r="R1822" i="1"/>
  <c r="Q1822" i="1"/>
  <c r="R1821" i="1"/>
  <c r="Q1821" i="1"/>
  <c r="R1820" i="1"/>
  <c r="Q1820" i="1"/>
  <c r="R1819" i="1"/>
  <c r="Q1819" i="1"/>
  <c r="R1818" i="1"/>
  <c r="Q1818" i="1"/>
  <c r="R1817" i="1"/>
  <c r="Q1817" i="1"/>
  <c r="R1816" i="1"/>
  <c r="Q1816" i="1"/>
  <c r="R1815" i="1"/>
  <c r="Q1815" i="1"/>
  <c r="R1814" i="1"/>
  <c r="Q1814" i="1"/>
  <c r="R1813" i="1"/>
  <c r="Q1813" i="1"/>
  <c r="R1812" i="1"/>
  <c r="Q1812" i="1"/>
  <c r="R1811" i="1"/>
  <c r="Q1811" i="1"/>
  <c r="R1810" i="1"/>
  <c r="Q1810" i="1"/>
  <c r="R1809" i="1"/>
  <c r="Q1809" i="1"/>
  <c r="R1808" i="1"/>
  <c r="Q1808" i="1"/>
  <c r="R1807" i="1"/>
  <c r="Q1807" i="1"/>
  <c r="R1806" i="1"/>
  <c r="Q1806" i="1"/>
  <c r="R1805" i="1"/>
  <c r="Q1805" i="1"/>
  <c r="R1804" i="1"/>
  <c r="Q1804" i="1"/>
  <c r="R1803" i="1"/>
  <c r="Q1803" i="1"/>
  <c r="R1802" i="1"/>
  <c r="Q1802" i="1"/>
  <c r="R1801" i="1"/>
  <c r="Q1801" i="1"/>
  <c r="R1800" i="1"/>
  <c r="Q1800" i="1"/>
  <c r="R1799" i="1"/>
  <c r="Q1799" i="1"/>
  <c r="R1798" i="1"/>
  <c r="Q1798" i="1"/>
  <c r="R1797" i="1"/>
  <c r="Q1797" i="1"/>
  <c r="R1796" i="1"/>
  <c r="Q1796" i="1"/>
  <c r="R1795" i="1"/>
  <c r="Q1795" i="1"/>
  <c r="R1794" i="1"/>
  <c r="Q1794" i="1"/>
  <c r="R1793" i="1"/>
  <c r="Q1793" i="1"/>
  <c r="R1792" i="1"/>
  <c r="Q1792" i="1"/>
  <c r="R1791" i="1"/>
  <c r="Q1791" i="1"/>
  <c r="R1790" i="1"/>
  <c r="Q1790" i="1"/>
  <c r="R1789" i="1"/>
  <c r="Q1789" i="1"/>
  <c r="R1788" i="1"/>
  <c r="Q1788" i="1"/>
  <c r="R1787" i="1"/>
  <c r="Q1787" i="1"/>
  <c r="R1786" i="1"/>
  <c r="Q1786" i="1"/>
  <c r="R1785" i="1"/>
  <c r="Q1785" i="1"/>
  <c r="R1784" i="1"/>
  <c r="Q1784" i="1"/>
  <c r="R1783" i="1"/>
  <c r="Q1783" i="1"/>
  <c r="R1782" i="1"/>
  <c r="Q1782" i="1"/>
  <c r="R1781" i="1"/>
  <c r="Q1781" i="1"/>
  <c r="R1780" i="1"/>
  <c r="Q1780" i="1"/>
  <c r="R1779" i="1"/>
  <c r="Q1779" i="1"/>
  <c r="R1778" i="1"/>
  <c r="Q1778" i="1"/>
  <c r="R1777" i="1"/>
  <c r="Q1777" i="1"/>
  <c r="R1776" i="1"/>
  <c r="Q1776" i="1"/>
  <c r="R1775" i="1"/>
  <c r="Q1775" i="1"/>
  <c r="R1774" i="1"/>
  <c r="Q1774" i="1"/>
  <c r="R1773" i="1"/>
  <c r="Q1773" i="1"/>
  <c r="R1772" i="1"/>
  <c r="Q1772" i="1"/>
  <c r="R1771" i="1"/>
  <c r="Q1771" i="1"/>
  <c r="R1770" i="1"/>
  <c r="Q1770" i="1"/>
  <c r="R1769" i="1"/>
  <c r="Q1769" i="1"/>
  <c r="R1768" i="1"/>
  <c r="Q1768" i="1"/>
  <c r="R1767" i="1"/>
  <c r="Q1767" i="1"/>
  <c r="R1766" i="1"/>
  <c r="Q1766" i="1"/>
  <c r="R1765" i="1"/>
  <c r="Q1765" i="1"/>
  <c r="R1764" i="1"/>
  <c r="Q1764" i="1"/>
  <c r="R1763" i="1"/>
  <c r="Q1763" i="1"/>
  <c r="R1762" i="1"/>
  <c r="Q1762" i="1"/>
  <c r="R1761" i="1"/>
  <c r="Q1761" i="1"/>
  <c r="R1760" i="1"/>
  <c r="Q1760" i="1"/>
  <c r="R1759" i="1"/>
  <c r="Q1759" i="1"/>
  <c r="R1758" i="1"/>
  <c r="Q1758" i="1"/>
  <c r="R1757" i="1"/>
  <c r="Q1757" i="1"/>
  <c r="R1756" i="1"/>
  <c r="Q1756" i="1"/>
  <c r="R1755" i="1"/>
  <c r="Q1755" i="1"/>
  <c r="R1754" i="1"/>
  <c r="Q1754" i="1"/>
  <c r="R1753" i="1"/>
  <c r="Q1753" i="1"/>
  <c r="R1752" i="1"/>
  <c r="Q1752" i="1"/>
  <c r="R1751" i="1"/>
  <c r="Q1751" i="1"/>
  <c r="R1750" i="1"/>
  <c r="Q1750" i="1"/>
  <c r="R1749" i="1"/>
  <c r="Q1749" i="1"/>
  <c r="R1748" i="1"/>
  <c r="Q1748" i="1"/>
  <c r="R1747" i="1"/>
  <c r="Q1747" i="1"/>
  <c r="R1746" i="1"/>
  <c r="Q1746" i="1"/>
  <c r="R1745" i="1"/>
  <c r="Q1745" i="1"/>
  <c r="R1744" i="1"/>
  <c r="Q1744" i="1"/>
  <c r="R1743" i="1"/>
  <c r="Q1743" i="1"/>
  <c r="R1742" i="1"/>
  <c r="Q1742" i="1"/>
  <c r="R1741" i="1"/>
  <c r="Q1741" i="1"/>
  <c r="R1740" i="1"/>
  <c r="Q1740" i="1"/>
  <c r="R1739" i="1"/>
  <c r="Q1739" i="1"/>
  <c r="R1738" i="1"/>
  <c r="Q1738" i="1"/>
  <c r="R1737" i="1"/>
  <c r="Q1737" i="1"/>
  <c r="R1736" i="1"/>
  <c r="Q1736" i="1"/>
  <c r="R1735" i="1"/>
  <c r="Q1735" i="1"/>
  <c r="R1734" i="1"/>
  <c r="Q1734" i="1"/>
  <c r="R1733" i="1"/>
  <c r="Q1733" i="1"/>
  <c r="R1732" i="1"/>
  <c r="Q1732" i="1"/>
  <c r="R1731" i="1"/>
  <c r="Q1731" i="1"/>
  <c r="R1730" i="1"/>
  <c r="Q1730" i="1"/>
  <c r="R1729" i="1"/>
  <c r="Q1729" i="1"/>
  <c r="R1728" i="1"/>
  <c r="Q1728" i="1"/>
  <c r="R1727" i="1"/>
  <c r="Q1727" i="1"/>
  <c r="R1726" i="1"/>
  <c r="Q1726" i="1"/>
  <c r="R1725" i="1"/>
  <c r="Q1725" i="1"/>
  <c r="R1724" i="1"/>
  <c r="Q1724" i="1"/>
  <c r="R1723" i="1"/>
  <c r="Q1723" i="1"/>
  <c r="R1722" i="1"/>
  <c r="Q1722" i="1"/>
  <c r="R1721" i="1"/>
  <c r="Q1721" i="1"/>
  <c r="R1720" i="1"/>
  <c r="Q1720" i="1"/>
  <c r="R1719" i="1"/>
  <c r="Q1719" i="1"/>
  <c r="R1718" i="1"/>
  <c r="Q1718" i="1"/>
  <c r="R1717" i="1"/>
  <c r="Q1717" i="1"/>
  <c r="R1716" i="1"/>
  <c r="Q1716" i="1"/>
  <c r="R1715" i="1"/>
  <c r="Q1715" i="1"/>
  <c r="R1714" i="1"/>
  <c r="Q1714" i="1"/>
  <c r="R1713" i="1"/>
  <c r="Q1713" i="1"/>
  <c r="R1712" i="1"/>
  <c r="Q1712" i="1"/>
  <c r="R1711" i="1"/>
  <c r="Q1711" i="1"/>
  <c r="R1710" i="1"/>
  <c r="Q1710" i="1"/>
  <c r="R1709" i="1"/>
  <c r="Q1709" i="1"/>
  <c r="R1708" i="1"/>
  <c r="Q1708" i="1"/>
  <c r="R1707" i="1"/>
  <c r="Q1707" i="1"/>
  <c r="R1706" i="1"/>
  <c r="Q1706" i="1"/>
  <c r="R1705" i="1"/>
  <c r="Q1705" i="1"/>
  <c r="R1704" i="1"/>
  <c r="Q1704" i="1"/>
  <c r="R1703" i="1"/>
  <c r="Q1703" i="1"/>
  <c r="R1702" i="1"/>
  <c r="Q1702" i="1"/>
  <c r="R1701" i="1"/>
  <c r="Q1701" i="1"/>
  <c r="R1700" i="1"/>
  <c r="Q1700" i="1"/>
  <c r="R1699" i="1"/>
  <c r="Q1699" i="1"/>
  <c r="R1698" i="1"/>
  <c r="Q1698" i="1"/>
  <c r="R1697" i="1"/>
  <c r="Q1697" i="1"/>
  <c r="R1696" i="1"/>
  <c r="Q1696" i="1"/>
  <c r="R1695" i="1"/>
  <c r="Q1695" i="1"/>
  <c r="R1694" i="1"/>
  <c r="Q1694" i="1"/>
  <c r="R1693" i="1"/>
  <c r="Q1693" i="1"/>
  <c r="R1692" i="1"/>
  <c r="Q1692" i="1"/>
  <c r="R1691" i="1"/>
  <c r="Q1691" i="1"/>
  <c r="R1690" i="1"/>
  <c r="Q1690" i="1"/>
  <c r="R1689" i="1"/>
  <c r="Q1689" i="1"/>
  <c r="R1688" i="1"/>
  <c r="Q1688" i="1"/>
  <c r="R1687" i="1"/>
  <c r="Q1687" i="1"/>
  <c r="R1686" i="1"/>
  <c r="Q1686" i="1"/>
  <c r="R1685" i="1"/>
  <c r="Q1685" i="1"/>
  <c r="R1684" i="1"/>
  <c r="Q1684" i="1"/>
  <c r="R1683" i="1"/>
  <c r="Q1683" i="1"/>
  <c r="R1682" i="1"/>
  <c r="Q1682" i="1"/>
  <c r="R1681" i="1"/>
  <c r="Q1681" i="1"/>
  <c r="R1680" i="1"/>
  <c r="Q1680" i="1"/>
  <c r="R1679" i="1"/>
  <c r="Q1679" i="1"/>
  <c r="R1678" i="1"/>
  <c r="Q1678" i="1"/>
  <c r="R1677" i="1"/>
  <c r="Q1677" i="1"/>
  <c r="R1676" i="1"/>
  <c r="Q1676" i="1"/>
  <c r="R1675" i="1"/>
  <c r="Q1675" i="1"/>
  <c r="R1674" i="1"/>
  <c r="Q1674" i="1"/>
  <c r="R1673" i="1"/>
  <c r="Q1673" i="1"/>
  <c r="R1672" i="1"/>
  <c r="Q1672" i="1"/>
  <c r="R1671" i="1"/>
  <c r="Q1671" i="1"/>
  <c r="R1670" i="1"/>
  <c r="Q1670" i="1"/>
  <c r="R1669" i="1"/>
  <c r="Q1669" i="1"/>
  <c r="R1668" i="1"/>
  <c r="Q1668" i="1"/>
  <c r="R1667" i="1"/>
  <c r="Q1667" i="1"/>
  <c r="R1666" i="1"/>
  <c r="Q1666" i="1"/>
  <c r="R1665" i="1"/>
  <c r="Q1665" i="1"/>
  <c r="R1664" i="1"/>
  <c r="Q1664" i="1"/>
  <c r="R1663" i="1"/>
  <c r="Q1663" i="1"/>
  <c r="R1662" i="1"/>
  <c r="Q1662" i="1"/>
  <c r="R1661" i="1"/>
  <c r="Q1661" i="1"/>
  <c r="R1660" i="1"/>
  <c r="Q1660" i="1"/>
  <c r="R1659" i="1"/>
  <c r="Q1659" i="1"/>
  <c r="R1658" i="1"/>
  <c r="Q1658" i="1"/>
  <c r="R1657" i="1"/>
  <c r="Q1657" i="1"/>
  <c r="R1656" i="1"/>
  <c r="Q1656" i="1"/>
  <c r="R1655" i="1"/>
  <c r="Q1655" i="1"/>
  <c r="R1654" i="1"/>
  <c r="Q1654" i="1"/>
  <c r="R1653" i="1"/>
  <c r="Q1653" i="1"/>
  <c r="R1652" i="1"/>
  <c r="Q1652" i="1"/>
  <c r="R1651" i="1"/>
  <c r="Q1651" i="1"/>
  <c r="R1650" i="1"/>
  <c r="Q1650" i="1"/>
  <c r="R1649" i="1"/>
  <c r="Q1649" i="1"/>
  <c r="R1648" i="1"/>
  <c r="Q1648" i="1"/>
  <c r="R1647" i="1"/>
  <c r="Q1647" i="1"/>
  <c r="R1646" i="1"/>
  <c r="Q1646" i="1"/>
  <c r="R1645" i="1"/>
  <c r="Q1645" i="1"/>
  <c r="R1644" i="1"/>
  <c r="Q1644" i="1"/>
  <c r="R1643" i="1"/>
  <c r="Q1643" i="1"/>
  <c r="R1642" i="1"/>
  <c r="Q1642" i="1"/>
  <c r="R1641" i="1"/>
  <c r="Q1641" i="1"/>
  <c r="R1640" i="1"/>
  <c r="Q1640" i="1"/>
  <c r="R1639" i="1"/>
  <c r="Q1639" i="1"/>
  <c r="R1638" i="1"/>
  <c r="Q1638" i="1"/>
  <c r="R1637" i="1"/>
  <c r="Q1637" i="1"/>
  <c r="R1636" i="1"/>
  <c r="Q1636" i="1"/>
  <c r="R1635" i="1"/>
  <c r="Q1635" i="1"/>
  <c r="R1634" i="1"/>
  <c r="Q1634" i="1"/>
  <c r="R1633" i="1"/>
  <c r="Q1633" i="1"/>
  <c r="R1632" i="1"/>
  <c r="Q1632" i="1"/>
  <c r="R1631" i="1"/>
  <c r="Q1631" i="1"/>
  <c r="R1630" i="1"/>
  <c r="Q1630" i="1"/>
  <c r="R1629" i="1"/>
  <c r="Q1629" i="1"/>
  <c r="R1628" i="1"/>
  <c r="Q1628" i="1"/>
  <c r="R1627" i="1"/>
  <c r="Q1627" i="1"/>
  <c r="R1626" i="1"/>
  <c r="Q1626" i="1"/>
  <c r="R1625" i="1"/>
  <c r="Q1625" i="1"/>
  <c r="R1624" i="1"/>
  <c r="Q1624" i="1"/>
  <c r="R1623" i="1"/>
  <c r="Q1623" i="1"/>
  <c r="R1622" i="1"/>
  <c r="Q1622" i="1"/>
  <c r="R1621" i="1"/>
  <c r="Q1621" i="1"/>
  <c r="R1620" i="1"/>
  <c r="Q1620" i="1"/>
  <c r="R1619" i="1"/>
  <c r="Q1619" i="1"/>
  <c r="R1618" i="1"/>
  <c r="Q1618" i="1"/>
  <c r="R1617" i="1"/>
  <c r="Q1617" i="1"/>
  <c r="R1616" i="1"/>
  <c r="Q1616" i="1"/>
  <c r="R1615" i="1"/>
  <c r="Q1615" i="1"/>
  <c r="R1614" i="1"/>
  <c r="Q1614" i="1"/>
  <c r="R1613" i="1"/>
  <c r="Q1613" i="1"/>
  <c r="R1612" i="1"/>
  <c r="Q1612" i="1"/>
  <c r="R1611" i="1"/>
  <c r="Q1611" i="1"/>
  <c r="R1610" i="1"/>
  <c r="Q1610" i="1"/>
  <c r="R1609" i="1"/>
  <c r="Q1609" i="1"/>
  <c r="R1608" i="1"/>
  <c r="Q1608" i="1"/>
  <c r="R1607" i="1"/>
  <c r="Q1607" i="1"/>
  <c r="R1606" i="1"/>
  <c r="Q1606" i="1"/>
  <c r="R1605" i="1"/>
  <c r="Q1605" i="1"/>
  <c r="R1604" i="1"/>
  <c r="Q1604" i="1"/>
  <c r="R1603" i="1"/>
  <c r="Q1603" i="1"/>
  <c r="R1602" i="1"/>
  <c r="Q1602" i="1"/>
  <c r="R1601" i="1"/>
  <c r="Q1601" i="1"/>
  <c r="R1600" i="1"/>
  <c r="Q1600" i="1"/>
  <c r="R1599" i="1"/>
  <c r="Q1599" i="1"/>
  <c r="R1598" i="1"/>
  <c r="Q1598" i="1"/>
  <c r="R1597" i="1"/>
  <c r="Q1597" i="1"/>
  <c r="R1596" i="1"/>
  <c r="Q1596" i="1"/>
  <c r="R1595" i="1"/>
  <c r="Q1595" i="1"/>
  <c r="R1594" i="1"/>
  <c r="Q1594" i="1"/>
  <c r="R1593" i="1"/>
  <c r="Q1593" i="1"/>
  <c r="R1592" i="1"/>
  <c r="Q1592" i="1"/>
  <c r="R1591" i="1"/>
  <c r="Q1591" i="1"/>
  <c r="R1590" i="1"/>
  <c r="Q1590" i="1"/>
  <c r="R1589" i="1"/>
  <c r="Q1589" i="1"/>
  <c r="R1588" i="1"/>
  <c r="Q1588" i="1"/>
  <c r="R1587" i="1"/>
  <c r="Q1587" i="1"/>
  <c r="R1586" i="1"/>
  <c r="Q1586" i="1"/>
  <c r="R1585" i="1"/>
  <c r="Q1585" i="1"/>
  <c r="R1584" i="1"/>
  <c r="Q1584" i="1"/>
  <c r="R1583" i="1"/>
  <c r="Q1583" i="1"/>
  <c r="R1582" i="1"/>
  <c r="Q1582" i="1"/>
  <c r="R1581" i="1"/>
  <c r="Q1581" i="1"/>
  <c r="R1580" i="1"/>
  <c r="Q1580" i="1"/>
  <c r="R1579" i="1"/>
  <c r="Q1579" i="1"/>
  <c r="R1578" i="1"/>
  <c r="Q1578" i="1"/>
  <c r="R1577" i="1"/>
  <c r="Q1577" i="1"/>
  <c r="R1576" i="1"/>
  <c r="Q1576" i="1"/>
  <c r="R1575" i="1"/>
  <c r="Q1575" i="1"/>
  <c r="R1574" i="1"/>
  <c r="Q1574" i="1"/>
  <c r="R1573" i="1"/>
  <c r="Q1573" i="1"/>
  <c r="R1572" i="1"/>
  <c r="Q1572" i="1"/>
  <c r="R1571" i="1"/>
  <c r="Q1571" i="1"/>
  <c r="R1570" i="1"/>
  <c r="Q1570" i="1"/>
  <c r="R1569" i="1"/>
  <c r="Q1569" i="1"/>
  <c r="R1568" i="1"/>
  <c r="Q1568" i="1"/>
  <c r="R1567" i="1"/>
  <c r="Q1567" i="1"/>
  <c r="R1566" i="1"/>
  <c r="Q1566" i="1"/>
  <c r="R1565" i="1"/>
  <c r="Q1565" i="1"/>
  <c r="R1564" i="1"/>
  <c r="Q1564" i="1"/>
  <c r="R1563" i="1"/>
  <c r="Q1563" i="1"/>
  <c r="R1562" i="1"/>
  <c r="Q1562" i="1"/>
  <c r="R1561" i="1"/>
  <c r="Q1561" i="1"/>
  <c r="R1560" i="1"/>
  <c r="Q1560" i="1"/>
  <c r="R1559" i="1"/>
  <c r="Q1559" i="1"/>
  <c r="R1558" i="1"/>
  <c r="Q1558" i="1"/>
  <c r="R1557" i="1"/>
  <c r="Q1557" i="1"/>
  <c r="R1556" i="1"/>
  <c r="Q1556" i="1"/>
  <c r="R1555" i="1"/>
  <c r="Q1555" i="1"/>
  <c r="R1554" i="1"/>
  <c r="Q1554" i="1"/>
  <c r="R1553" i="1"/>
  <c r="Q1553" i="1"/>
  <c r="R1552" i="1"/>
  <c r="Q1552" i="1"/>
  <c r="R1551" i="1"/>
  <c r="Q1551" i="1"/>
  <c r="R1550" i="1"/>
  <c r="Q1550" i="1"/>
  <c r="R1549" i="1"/>
  <c r="Q1549" i="1"/>
  <c r="R1548" i="1"/>
  <c r="Q1548" i="1"/>
  <c r="R1547" i="1"/>
  <c r="Q1547" i="1"/>
  <c r="R1546" i="1"/>
  <c r="Q1546" i="1"/>
  <c r="R1545" i="1"/>
  <c r="Q1545" i="1"/>
  <c r="R1544" i="1"/>
  <c r="Q1544" i="1"/>
  <c r="R1543" i="1"/>
  <c r="Q1543" i="1"/>
  <c r="R1542" i="1"/>
  <c r="Q1542" i="1"/>
  <c r="R1541" i="1"/>
  <c r="Q1541" i="1"/>
  <c r="R1540" i="1"/>
  <c r="Q1540" i="1"/>
  <c r="R1539" i="1"/>
  <c r="Q1539" i="1"/>
  <c r="R1538" i="1"/>
  <c r="Q1538" i="1"/>
  <c r="R1537" i="1"/>
  <c r="Q1537" i="1"/>
  <c r="R1536" i="1"/>
  <c r="Q1536" i="1"/>
  <c r="R1535" i="1"/>
  <c r="Q1535" i="1"/>
  <c r="R1534" i="1"/>
  <c r="Q1534" i="1"/>
  <c r="R1533" i="1"/>
  <c r="Q1533" i="1"/>
  <c r="R1532" i="1"/>
  <c r="Q1532" i="1"/>
  <c r="R1531" i="1"/>
  <c r="Q1531" i="1"/>
  <c r="R1530" i="1"/>
  <c r="Q1530" i="1"/>
  <c r="R1529" i="1"/>
  <c r="Q1529" i="1"/>
  <c r="R1528" i="1"/>
  <c r="Q1528" i="1"/>
  <c r="R1527" i="1"/>
  <c r="Q1527" i="1"/>
  <c r="R1526" i="1"/>
  <c r="Q1526" i="1"/>
  <c r="R1525" i="1"/>
  <c r="Q1525" i="1"/>
  <c r="R1524" i="1"/>
  <c r="Q1524" i="1"/>
  <c r="R1523" i="1"/>
  <c r="Q1523" i="1"/>
  <c r="R1522" i="1"/>
  <c r="Q1522" i="1"/>
  <c r="R1521" i="1"/>
  <c r="Q1521" i="1"/>
  <c r="R1520" i="1"/>
  <c r="Q1520" i="1"/>
  <c r="R1519" i="1"/>
  <c r="Q1519" i="1"/>
  <c r="R1518" i="1"/>
  <c r="Q1518" i="1"/>
  <c r="R1517" i="1"/>
  <c r="Q1517" i="1"/>
  <c r="R1516" i="1"/>
  <c r="Q1516" i="1"/>
  <c r="R1515" i="1"/>
  <c r="Q1515" i="1"/>
  <c r="R1514" i="1"/>
  <c r="Q1514" i="1"/>
  <c r="R1513" i="1"/>
  <c r="Q1513" i="1"/>
  <c r="R1512" i="1"/>
  <c r="Q1512" i="1"/>
  <c r="R1511" i="1"/>
  <c r="Q1511" i="1"/>
  <c r="R1510" i="1"/>
  <c r="Q1510" i="1"/>
  <c r="R1509" i="1"/>
  <c r="Q1509" i="1"/>
  <c r="R1508" i="1"/>
  <c r="Q1508" i="1"/>
  <c r="R1507" i="1"/>
  <c r="Q1507" i="1"/>
  <c r="R1506" i="1"/>
  <c r="Q1506" i="1"/>
  <c r="R1505" i="1"/>
  <c r="Q1505" i="1"/>
  <c r="R1504" i="1"/>
  <c r="Q1504" i="1"/>
  <c r="R1503" i="1"/>
  <c r="Q1503" i="1"/>
  <c r="R1502" i="1"/>
  <c r="Q1502" i="1"/>
  <c r="R1501" i="1"/>
  <c r="Q1501" i="1"/>
  <c r="R1500" i="1"/>
  <c r="Q1500" i="1"/>
  <c r="R1499" i="1"/>
  <c r="Q1499" i="1"/>
  <c r="R1498" i="1"/>
  <c r="Q1498" i="1"/>
  <c r="R1497" i="1"/>
  <c r="Q1497" i="1"/>
  <c r="R1496" i="1"/>
  <c r="Q1496" i="1"/>
  <c r="R1495" i="1"/>
  <c r="Q1495" i="1"/>
  <c r="R1494" i="1"/>
  <c r="Q1494" i="1"/>
  <c r="R1493" i="1"/>
  <c r="Q1493" i="1"/>
  <c r="R1492" i="1"/>
  <c r="Q1492" i="1"/>
  <c r="R1491" i="1"/>
  <c r="Q1491" i="1"/>
  <c r="R1490" i="1"/>
  <c r="Q1490" i="1"/>
  <c r="R1489" i="1"/>
  <c r="Q1489" i="1"/>
  <c r="R1488" i="1"/>
  <c r="Q1488" i="1"/>
  <c r="R1487" i="1"/>
  <c r="Q1487" i="1"/>
  <c r="R1486" i="1"/>
  <c r="Q1486" i="1"/>
  <c r="R1485" i="1"/>
  <c r="Q1485" i="1"/>
  <c r="R1484" i="1"/>
  <c r="Q1484" i="1"/>
  <c r="R1483" i="1"/>
  <c r="Q1483" i="1"/>
  <c r="R1482" i="1"/>
  <c r="Q1482" i="1"/>
  <c r="R1481" i="1"/>
  <c r="Q1481" i="1"/>
  <c r="R1480" i="1"/>
  <c r="Q1480" i="1"/>
  <c r="R1479" i="1"/>
  <c r="Q1479" i="1"/>
  <c r="R1478" i="1"/>
  <c r="Q1478" i="1"/>
  <c r="R1477" i="1"/>
  <c r="Q1477" i="1"/>
  <c r="R1476" i="1"/>
  <c r="Q1476" i="1"/>
  <c r="R1475" i="1"/>
  <c r="Q1475" i="1"/>
  <c r="R1474" i="1"/>
  <c r="Q1474" i="1"/>
  <c r="R1473" i="1"/>
  <c r="Q1473" i="1"/>
  <c r="R1472" i="1"/>
  <c r="Q1472" i="1"/>
  <c r="R1471" i="1"/>
  <c r="Q1471" i="1"/>
  <c r="R1470" i="1"/>
  <c r="Q1470" i="1"/>
  <c r="R1469" i="1"/>
  <c r="Q1469" i="1"/>
  <c r="R1468" i="1"/>
  <c r="Q1468" i="1"/>
  <c r="R1467" i="1"/>
  <c r="Q1467" i="1"/>
  <c r="R1466" i="1"/>
  <c r="Q1466" i="1"/>
  <c r="R1465" i="1"/>
  <c r="Q1465" i="1"/>
  <c r="R1464" i="1"/>
  <c r="Q1464" i="1"/>
  <c r="R1463" i="1"/>
  <c r="Q1463" i="1"/>
  <c r="R1462" i="1"/>
  <c r="Q1462" i="1"/>
  <c r="R1461" i="1"/>
  <c r="Q1461" i="1"/>
  <c r="R1460" i="1"/>
  <c r="Q1460" i="1"/>
  <c r="R1459" i="1"/>
  <c r="Q1459" i="1"/>
  <c r="R1458" i="1"/>
  <c r="Q1458" i="1"/>
  <c r="R1457" i="1"/>
  <c r="Q1457" i="1"/>
  <c r="R1456" i="1"/>
  <c r="Q1456" i="1"/>
  <c r="R1455" i="1"/>
  <c r="Q1455" i="1"/>
  <c r="R1454" i="1"/>
  <c r="Q1454" i="1"/>
  <c r="R1453" i="1"/>
  <c r="Q1453" i="1"/>
  <c r="R1452" i="1"/>
  <c r="Q1452" i="1"/>
  <c r="R1451" i="1"/>
  <c r="Q1451" i="1"/>
  <c r="R1450" i="1"/>
  <c r="Q1450" i="1"/>
  <c r="R1449" i="1"/>
  <c r="Q1449" i="1"/>
  <c r="R1448" i="1"/>
  <c r="Q1448" i="1"/>
  <c r="R1447" i="1"/>
  <c r="Q1447" i="1"/>
  <c r="R1446" i="1"/>
  <c r="Q1446" i="1"/>
  <c r="R1445" i="1"/>
  <c r="Q1445" i="1"/>
  <c r="R1444" i="1"/>
  <c r="Q1444" i="1"/>
  <c r="R1443" i="1"/>
  <c r="Q1443" i="1"/>
  <c r="R1442" i="1"/>
  <c r="Q1442" i="1"/>
  <c r="R1441" i="1"/>
  <c r="Q1441" i="1"/>
  <c r="R1440" i="1"/>
  <c r="Q1440" i="1"/>
  <c r="R1439" i="1"/>
  <c r="Q1439" i="1"/>
  <c r="R1438" i="1"/>
  <c r="Q1438" i="1"/>
  <c r="R1437" i="1"/>
  <c r="Q1437" i="1"/>
  <c r="R1436" i="1"/>
  <c r="Q1436" i="1"/>
  <c r="R1435" i="1"/>
  <c r="Q1435" i="1"/>
  <c r="R1434" i="1"/>
  <c r="Q1434" i="1"/>
  <c r="R1433" i="1"/>
  <c r="Q1433" i="1"/>
  <c r="R1432" i="1"/>
  <c r="Q1432" i="1"/>
  <c r="R1431" i="1"/>
  <c r="Q1431" i="1"/>
  <c r="R1430" i="1"/>
  <c r="Q1430" i="1"/>
  <c r="R1429" i="1"/>
  <c r="Q1429" i="1"/>
  <c r="R1428" i="1"/>
  <c r="Q1428" i="1"/>
  <c r="R1427" i="1"/>
  <c r="Q1427" i="1"/>
  <c r="R1426" i="1"/>
  <c r="Q1426" i="1"/>
  <c r="R1425" i="1"/>
  <c r="Q1425" i="1"/>
  <c r="R1424" i="1"/>
  <c r="Q1424" i="1"/>
  <c r="R1423" i="1"/>
  <c r="Q1423" i="1"/>
  <c r="R1422" i="1"/>
  <c r="Q1422" i="1"/>
  <c r="R1421" i="1"/>
  <c r="Q1421" i="1"/>
  <c r="R1420" i="1"/>
  <c r="Q1420" i="1"/>
  <c r="R1419" i="1"/>
  <c r="Q1419" i="1"/>
  <c r="R1418" i="1"/>
  <c r="Q1418" i="1"/>
  <c r="R1417" i="1"/>
  <c r="Q1417" i="1"/>
  <c r="R1416" i="1"/>
  <c r="Q1416" i="1"/>
  <c r="R1415" i="1"/>
  <c r="Q1415" i="1"/>
  <c r="R1414" i="1"/>
  <c r="Q1414" i="1"/>
  <c r="R1413" i="1"/>
  <c r="Q1413" i="1"/>
  <c r="R1412" i="1"/>
  <c r="Q1412" i="1"/>
  <c r="R1411" i="1"/>
  <c r="Q1411" i="1"/>
  <c r="R1410" i="1"/>
  <c r="Q1410" i="1"/>
  <c r="R1409" i="1"/>
  <c r="Q1409" i="1"/>
  <c r="R1408" i="1"/>
  <c r="Q1408" i="1"/>
  <c r="R1407" i="1"/>
  <c r="Q1407" i="1"/>
  <c r="R1406" i="1"/>
  <c r="Q1406" i="1"/>
  <c r="R1405" i="1"/>
  <c r="Q1405" i="1"/>
  <c r="R1404" i="1"/>
  <c r="Q1404" i="1"/>
  <c r="R1403" i="1"/>
  <c r="Q1403" i="1"/>
  <c r="R1402" i="1"/>
  <c r="Q1402" i="1"/>
  <c r="R1401" i="1"/>
  <c r="Q1401" i="1"/>
  <c r="R1400" i="1"/>
  <c r="Q1400" i="1"/>
  <c r="R1399" i="1"/>
  <c r="Q1399" i="1"/>
  <c r="R1398" i="1"/>
  <c r="Q1398" i="1"/>
  <c r="R1397" i="1"/>
  <c r="Q1397" i="1"/>
  <c r="R1396" i="1"/>
  <c r="Q1396" i="1"/>
  <c r="R1395" i="1"/>
  <c r="Q1395" i="1"/>
  <c r="R1394" i="1"/>
  <c r="Q1394" i="1"/>
  <c r="R1393" i="1"/>
  <c r="Q1393" i="1"/>
  <c r="R1392" i="1"/>
  <c r="Q1392" i="1"/>
  <c r="R1391" i="1"/>
  <c r="Q1391" i="1"/>
  <c r="R1390" i="1"/>
  <c r="Q1390" i="1"/>
  <c r="R1389" i="1"/>
  <c r="Q1389" i="1"/>
  <c r="R1388" i="1"/>
  <c r="Q1388" i="1"/>
  <c r="R1387" i="1"/>
  <c r="Q1387" i="1"/>
  <c r="R1386" i="1"/>
  <c r="Q1386" i="1"/>
  <c r="R1385" i="1"/>
  <c r="Q1385" i="1"/>
  <c r="R1384" i="1"/>
  <c r="Q1384" i="1"/>
  <c r="R1383" i="1"/>
  <c r="Q1383" i="1"/>
  <c r="R1382" i="1"/>
  <c r="Q1382" i="1"/>
  <c r="R1381" i="1"/>
  <c r="Q1381" i="1"/>
  <c r="R1380" i="1"/>
  <c r="Q1380" i="1"/>
  <c r="R1379" i="1"/>
  <c r="Q1379" i="1"/>
  <c r="R1378" i="1"/>
  <c r="Q1378" i="1"/>
  <c r="R1377" i="1"/>
  <c r="Q1377" i="1"/>
  <c r="R1376" i="1"/>
  <c r="Q1376" i="1"/>
  <c r="R1375" i="1"/>
  <c r="Q1375" i="1"/>
  <c r="R1374" i="1"/>
  <c r="Q1374" i="1"/>
  <c r="R1373" i="1"/>
  <c r="Q1373" i="1"/>
  <c r="R1372" i="1"/>
  <c r="Q1372" i="1"/>
  <c r="R1371" i="1"/>
  <c r="Q1371" i="1"/>
  <c r="R1370" i="1"/>
  <c r="Q1370" i="1"/>
  <c r="R1369" i="1"/>
  <c r="Q1369" i="1"/>
  <c r="R1368" i="1"/>
  <c r="Q1368" i="1"/>
  <c r="R1367" i="1"/>
  <c r="Q1367" i="1"/>
  <c r="R1366" i="1"/>
  <c r="Q1366" i="1"/>
  <c r="R1365" i="1"/>
  <c r="Q1365" i="1"/>
  <c r="R1364" i="1"/>
  <c r="Q1364" i="1"/>
  <c r="R1363" i="1"/>
  <c r="Q1363" i="1"/>
  <c r="R1362" i="1"/>
  <c r="Q1362" i="1"/>
  <c r="R1361" i="1"/>
  <c r="Q1361" i="1"/>
  <c r="R1360" i="1"/>
  <c r="Q1360" i="1"/>
  <c r="R1359" i="1"/>
  <c r="Q1359" i="1"/>
  <c r="R1358" i="1"/>
  <c r="Q1358" i="1"/>
  <c r="R1357" i="1"/>
  <c r="Q1357" i="1"/>
  <c r="R1356" i="1"/>
  <c r="Q1356" i="1"/>
  <c r="R1355" i="1"/>
  <c r="Q1355" i="1"/>
  <c r="R1354" i="1"/>
  <c r="Q1354" i="1"/>
  <c r="R1353" i="1"/>
  <c r="Q1353" i="1"/>
  <c r="R1352" i="1"/>
  <c r="Q1352" i="1"/>
  <c r="R1351" i="1"/>
  <c r="Q1351" i="1"/>
  <c r="R1350" i="1"/>
  <c r="Q1350" i="1"/>
  <c r="R1349" i="1"/>
  <c r="Q1349" i="1"/>
  <c r="R1348" i="1"/>
  <c r="Q1348" i="1"/>
  <c r="R1347" i="1"/>
  <c r="Q1347" i="1"/>
  <c r="R1346" i="1"/>
  <c r="Q1346" i="1"/>
  <c r="R1345" i="1"/>
  <c r="Q1345" i="1"/>
  <c r="R1344" i="1"/>
  <c r="Q1344" i="1"/>
  <c r="R1343" i="1"/>
  <c r="Q1343" i="1"/>
  <c r="R1342" i="1"/>
  <c r="Q1342" i="1"/>
  <c r="R1341" i="1"/>
  <c r="Q1341" i="1"/>
  <c r="R1340" i="1"/>
  <c r="Q1340" i="1"/>
  <c r="R1339" i="1"/>
  <c r="Q1339" i="1"/>
  <c r="R1338" i="1"/>
  <c r="Q1338" i="1"/>
  <c r="R1337" i="1"/>
  <c r="Q1337" i="1"/>
  <c r="R1336" i="1"/>
  <c r="Q1336" i="1"/>
  <c r="R1335" i="1"/>
  <c r="Q1335" i="1"/>
  <c r="R1334" i="1"/>
  <c r="Q1334" i="1"/>
  <c r="R1333" i="1"/>
  <c r="Q1333" i="1"/>
  <c r="R1332" i="1"/>
  <c r="Q1332" i="1"/>
  <c r="R1331" i="1"/>
  <c r="Q1331" i="1"/>
  <c r="R1330" i="1"/>
  <c r="Q1330" i="1"/>
  <c r="R1329" i="1"/>
  <c r="Q1329" i="1"/>
  <c r="R1328" i="1"/>
  <c r="Q1328" i="1"/>
  <c r="R1327" i="1"/>
  <c r="Q1327" i="1"/>
  <c r="R1326" i="1"/>
  <c r="Q1326" i="1"/>
  <c r="R1325" i="1"/>
  <c r="Q1325" i="1"/>
  <c r="R1324" i="1"/>
  <c r="Q1324" i="1"/>
  <c r="R1323" i="1"/>
  <c r="Q1323" i="1"/>
  <c r="R1322" i="1"/>
  <c r="Q1322" i="1"/>
  <c r="R1321" i="1"/>
  <c r="Q1321" i="1"/>
  <c r="R1320" i="1"/>
  <c r="Q1320" i="1"/>
  <c r="R1319" i="1"/>
  <c r="Q1319" i="1"/>
  <c r="R1318" i="1"/>
  <c r="Q1318" i="1"/>
  <c r="R1317" i="1"/>
  <c r="Q1317" i="1"/>
  <c r="R1316" i="1"/>
  <c r="Q1316" i="1"/>
  <c r="R1315" i="1"/>
  <c r="Q1315" i="1"/>
  <c r="R1314" i="1"/>
  <c r="Q1314" i="1"/>
  <c r="R1313" i="1"/>
  <c r="Q1313" i="1"/>
  <c r="R1312" i="1"/>
  <c r="Q1312" i="1"/>
  <c r="R1311" i="1"/>
  <c r="Q1311" i="1"/>
  <c r="R1310" i="1"/>
  <c r="Q1310" i="1"/>
  <c r="R1309" i="1"/>
  <c r="Q1309" i="1"/>
  <c r="R1308" i="1"/>
  <c r="Q1308" i="1"/>
  <c r="R1307" i="1"/>
  <c r="Q1307" i="1"/>
  <c r="R1306" i="1"/>
  <c r="Q1306" i="1"/>
  <c r="R1305" i="1"/>
  <c r="Q1305" i="1"/>
  <c r="R1304" i="1"/>
  <c r="Q1304" i="1"/>
  <c r="R1303" i="1"/>
  <c r="Q1303" i="1"/>
  <c r="R1302" i="1"/>
  <c r="Q1302" i="1"/>
  <c r="R1301" i="1"/>
  <c r="Q1301" i="1"/>
  <c r="R1300" i="1"/>
  <c r="Q1300" i="1"/>
  <c r="R1299" i="1"/>
  <c r="Q1299" i="1"/>
  <c r="R1298" i="1"/>
  <c r="Q1298" i="1"/>
  <c r="R1297" i="1"/>
  <c r="Q1297" i="1"/>
  <c r="R1296" i="1"/>
  <c r="Q1296" i="1"/>
  <c r="R1295" i="1"/>
  <c r="Q1295" i="1"/>
  <c r="R1294" i="1"/>
  <c r="Q1294" i="1"/>
  <c r="R1293" i="1"/>
  <c r="Q1293" i="1"/>
  <c r="R1292" i="1"/>
  <c r="Q1292" i="1"/>
  <c r="R1291" i="1"/>
  <c r="Q1291" i="1"/>
  <c r="R1290" i="1"/>
  <c r="Q1290" i="1"/>
  <c r="R1289" i="1"/>
  <c r="Q1289" i="1"/>
  <c r="R1288" i="1"/>
  <c r="Q1288" i="1"/>
  <c r="R1287" i="1"/>
  <c r="Q1287" i="1"/>
  <c r="R1286" i="1"/>
  <c r="Q1286" i="1"/>
  <c r="R1285" i="1"/>
  <c r="Q1285" i="1"/>
  <c r="R1284" i="1"/>
  <c r="Q1284" i="1"/>
  <c r="R1283" i="1"/>
  <c r="Q1283" i="1"/>
  <c r="R1282" i="1"/>
  <c r="Q1282" i="1"/>
  <c r="R1281" i="1"/>
  <c r="Q1281" i="1"/>
  <c r="R1280" i="1"/>
  <c r="Q1280" i="1"/>
  <c r="R1279" i="1"/>
  <c r="Q1279" i="1"/>
  <c r="R1278" i="1"/>
  <c r="Q1278" i="1"/>
  <c r="R1277" i="1"/>
  <c r="Q1277" i="1"/>
  <c r="R1276" i="1"/>
  <c r="Q1276" i="1"/>
  <c r="R1275" i="1"/>
  <c r="Q1275" i="1"/>
  <c r="R1274" i="1"/>
  <c r="Q1274" i="1"/>
  <c r="R1273" i="1"/>
  <c r="Q1273" i="1"/>
  <c r="R1272" i="1"/>
  <c r="Q1272" i="1"/>
  <c r="R1271" i="1"/>
  <c r="Q1271" i="1"/>
  <c r="R1270" i="1"/>
  <c r="Q1270" i="1"/>
  <c r="R1269" i="1"/>
  <c r="Q1269" i="1"/>
  <c r="R1268" i="1"/>
  <c r="Q1268" i="1"/>
  <c r="R1267" i="1"/>
  <c r="Q1267" i="1"/>
  <c r="R1266" i="1"/>
  <c r="Q1266" i="1"/>
  <c r="R1265" i="1"/>
  <c r="Q1265" i="1"/>
  <c r="R1264" i="1"/>
  <c r="Q1264" i="1"/>
  <c r="R1263" i="1"/>
  <c r="Q1263" i="1"/>
  <c r="R1262" i="1"/>
  <c r="Q1262" i="1"/>
  <c r="R1261" i="1"/>
  <c r="Q1261" i="1"/>
  <c r="R1260" i="1"/>
  <c r="Q1260" i="1"/>
  <c r="R1259" i="1"/>
  <c r="Q1259" i="1"/>
  <c r="R1258" i="1"/>
  <c r="Q1258" i="1"/>
  <c r="R1257" i="1"/>
  <c r="Q1257" i="1"/>
  <c r="R1256" i="1"/>
  <c r="Q1256" i="1"/>
  <c r="R1255" i="1"/>
  <c r="Q1255" i="1"/>
  <c r="R1254" i="1"/>
  <c r="Q1254" i="1"/>
  <c r="R1253" i="1"/>
  <c r="Q1253" i="1"/>
  <c r="R1252" i="1"/>
  <c r="Q1252" i="1"/>
  <c r="R1251" i="1"/>
  <c r="Q1251" i="1"/>
  <c r="R1250" i="1"/>
  <c r="Q1250" i="1"/>
  <c r="R1249" i="1"/>
  <c r="Q1249" i="1"/>
  <c r="R1248" i="1"/>
  <c r="Q1248" i="1"/>
  <c r="R1247" i="1"/>
  <c r="Q1247" i="1"/>
  <c r="R1246" i="1"/>
  <c r="Q1246" i="1"/>
  <c r="R1245" i="1"/>
  <c r="Q1245" i="1"/>
  <c r="R1244" i="1"/>
  <c r="Q1244" i="1"/>
  <c r="R1243" i="1"/>
  <c r="Q1243" i="1"/>
  <c r="R1242" i="1"/>
  <c r="Q1242" i="1"/>
  <c r="R1241" i="1"/>
  <c r="Q1241" i="1"/>
  <c r="R1240" i="1"/>
  <c r="Q1240" i="1"/>
  <c r="R1239" i="1"/>
  <c r="Q1239" i="1"/>
  <c r="R1238" i="1"/>
  <c r="Q1238" i="1"/>
  <c r="R1237" i="1"/>
  <c r="Q1237" i="1"/>
  <c r="R1236" i="1"/>
  <c r="Q1236" i="1"/>
  <c r="R1235" i="1"/>
  <c r="Q1235" i="1"/>
  <c r="R1234" i="1"/>
  <c r="Q1234" i="1"/>
  <c r="R1233" i="1"/>
  <c r="Q1233" i="1"/>
  <c r="R1232" i="1"/>
  <c r="Q1232" i="1"/>
  <c r="R1231" i="1"/>
  <c r="Q1231" i="1"/>
  <c r="R1230" i="1"/>
  <c r="Q1230" i="1"/>
  <c r="R1229" i="1"/>
  <c r="Q1229" i="1"/>
  <c r="R1228" i="1"/>
  <c r="Q1228" i="1"/>
  <c r="R1227" i="1"/>
  <c r="Q1227" i="1"/>
  <c r="R1226" i="1"/>
  <c r="Q1226" i="1"/>
  <c r="R1225" i="1"/>
  <c r="Q1225" i="1"/>
  <c r="R1224" i="1"/>
  <c r="Q1224" i="1"/>
  <c r="R1223" i="1"/>
  <c r="Q1223" i="1"/>
  <c r="R1222" i="1"/>
  <c r="Q1222" i="1"/>
  <c r="R1221" i="1"/>
  <c r="Q1221" i="1"/>
  <c r="R1220" i="1"/>
  <c r="Q1220" i="1"/>
  <c r="R1219" i="1"/>
  <c r="Q1219" i="1"/>
  <c r="R1218" i="1"/>
  <c r="Q1218" i="1"/>
  <c r="R1217" i="1"/>
  <c r="Q1217" i="1"/>
  <c r="R1216" i="1"/>
  <c r="Q1216" i="1"/>
  <c r="R1215" i="1"/>
  <c r="Q1215" i="1"/>
  <c r="R1214" i="1"/>
  <c r="Q1214" i="1"/>
  <c r="R1213" i="1"/>
  <c r="Q1213" i="1"/>
  <c r="R1212" i="1"/>
  <c r="Q1212" i="1"/>
  <c r="R1211" i="1"/>
  <c r="Q1211" i="1"/>
  <c r="R1210" i="1"/>
  <c r="Q1210" i="1"/>
  <c r="R1209" i="1"/>
  <c r="Q1209" i="1"/>
  <c r="R1208" i="1"/>
  <c r="Q1208" i="1"/>
  <c r="R1207" i="1"/>
  <c r="Q1207" i="1"/>
  <c r="R1206" i="1"/>
  <c r="Q1206" i="1"/>
  <c r="R1205" i="1"/>
  <c r="Q1205" i="1"/>
  <c r="R1204" i="1"/>
  <c r="Q1204" i="1"/>
  <c r="R1203" i="1"/>
  <c r="Q1203" i="1"/>
  <c r="R1202" i="1"/>
  <c r="Q1202" i="1"/>
  <c r="R1201" i="1"/>
  <c r="Q1201" i="1"/>
  <c r="R1200" i="1"/>
  <c r="Q1200" i="1"/>
  <c r="R1199" i="1"/>
  <c r="Q1199" i="1"/>
  <c r="R1198" i="1"/>
  <c r="Q1198" i="1"/>
  <c r="R1197" i="1"/>
  <c r="Q1197" i="1"/>
  <c r="R1196" i="1"/>
  <c r="Q1196" i="1"/>
  <c r="R1195" i="1"/>
  <c r="Q1195" i="1"/>
  <c r="R1194" i="1"/>
  <c r="Q1194" i="1"/>
  <c r="R1193" i="1"/>
  <c r="Q1193" i="1"/>
  <c r="R1192" i="1"/>
  <c r="Q1192" i="1"/>
  <c r="R1191" i="1"/>
  <c r="Q1191" i="1"/>
  <c r="R1190" i="1"/>
  <c r="Q1190" i="1"/>
  <c r="R1189" i="1"/>
  <c r="Q1189" i="1"/>
  <c r="R1188" i="1"/>
  <c r="Q1188" i="1"/>
  <c r="R1187" i="1"/>
  <c r="Q1187" i="1"/>
  <c r="R1186" i="1"/>
  <c r="Q1186" i="1"/>
  <c r="R1185" i="1"/>
  <c r="Q1185" i="1"/>
  <c r="R1184" i="1"/>
  <c r="Q1184" i="1"/>
  <c r="R1183" i="1"/>
  <c r="Q1183" i="1"/>
  <c r="R1182" i="1"/>
  <c r="Q1182" i="1"/>
  <c r="R1181" i="1"/>
  <c r="Q1181" i="1"/>
  <c r="R1180" i="1"/>
  <c r="Q1180" i="1"/>
  <c r="R1179" i="1"/>
  <c r="Q1179" i="1"/>
  <c r="R1178" i="1"/>
  <c r="Q1178" i="1"/>
  <c r="R1177" i="1"/>
  <c r="Q1177" i="1"/>
  <c r="R1176" i="1"/>
  <c r="Q1176" i="1"/>
  <c r="R1175" i="1"/>
  <c r="Q1175" i="1"/>
  <c r="R1174" i="1"/>
  <c r="Q1174" i="1"/>
  <c r="R1173" i="1"/>
  <c r="Q1173" i="1"/>
  <c r="R1172" i="1"/>
  <c r="Q1172" i="1"/>
  <c r="R1171" i="1"/>
  <c r="Q1171" i="1"/>
  <c r="R1170" i="1"/>
  <c r="Q1170" i="1"/>
  <c r="R1169" i="1"/>
  <c r="Q1169" i="1"/>
  <c r="R1168" i="1"/>
  <c r="Q1168" i="1"/>
  <c r="R1167" i="1"/>
  <c r="Q1167" i="1"/>
  <c r="R1166" i="1"/>
  <c r="Q1166" i="1"/>
  <c r="R1165" i="1"/>
  <c r="Q1165" i="1"/>
  <c r="R1164" i="1"/>
  <c r="Q1164" i="1"/>
  <c r="R1163" i="1"/>
  <c r="Q1163" i="1"/>
  <c r="R1162" i="1"/>
  <c r="Q1162" i="1"/>
  <c r="R1161" i="1"/>
  <c r="Q1161" i="1"/>
  <c r="R1160" i="1"/>
  <c r="Q1160" i="1"/>
  <c r="R1159" i="1"/>
  <c r="Q1159" i="1"/>
  <c r="R1158" i="1"/>
  <c r="Q1158" i="1"/>
  <c r="R1157" i="1"/>
  <c r="Q1157" i="1"/>
  <c r="R1156" i="1"/>
  <c r="Q1156" i="1"/>
  <c r="R1155" i="1"/>
  <c r="Q1155" i="1"/>
  <c r="R1154" i="1"/>
  <c r="Q1154" i="1"/>
  <c r="R1153" i="1"/>
  <c r="Q1153" i="1"/>
  <c r="R1152" i="1"/>
  <c r="Q1152" i="1"/>
  <c r="R1151" i="1"/>
  <c r="Q1151" i="1"/>
  <c r="R1150" i="1"/>
  <c r="Q1150" i="1"/>
  <c r="R1149" i="1"/>
  <c r="Q1149" i="1"/>
  <c r="R1148" i="1"/>
  <c r="Q1148" i="1"/>
  <c r="R1147" i="1"/>
  <c r="Q1147" i="1"/>
  <c r="R1146" i="1"/>
  <c r="Q1146" i="1"/>
  <c r="R1145" i="1"/>
  <c r="Q1145" i="1"/>
  <c r="R1144" i="1"/>
  <c r="Q1144" i="1"/>
  <c r="R1143" i="1"/>
  <c r="Q1143" i="1"/>
  <c r="R1142" i="1"/>
  <c r="Q1142" i="1"/>
  <c r="R1141" i="1"/>
  <c r="Q1141" i="1"/>
  <c r="R1140" i="1"/>
  <c r="Q1140" i="1"/>
  <c r="R1139" i="1"/>
  <c r="Q1139" i="1"/>
  <c r="R1138" i="1"/>
  <c r="Q1138" i="1"/>
  <c r="R1137" i="1"/>
  <c r="Q1137" i="1"/>
  <c r="R1136" i="1"/>
  <c r="Q1136" i="1"/>
  <c r="R1135" i="1"/>
  <c r="Q1135" i="1"/>
  <c r="R1134" i="1"/>
  <c r="Q1134" i="1"/>
  <c r="R1133" i="1"/>
  <c r="Q1133" i="1"/>
  <c r="R1132" i="1"/>
  <c r="Q1132" i="1"/>
  <c r="R1131" i="1"/>
  <c r="Q1131" i="1"/>
  <c r="R1130" i="1"/>
  <c r="Q1130" i="1"/>
  <c r="R1129" i="1"/>
  <c r="Q1129" i="1"/>
  <c r="R1128" i="1"/>
  <c r="Q1128" i="1"/>
  <c r="R1127" i="1"/>
  <c r="Q1127" i="1"/>
  <c r="R1126" i="1"/>
  <c r="Q1126" i="1"/>
  <c r="R1125" i="1"/>
  <c r="Q1125" i="1"/>
  <c r="R1124" i="1"/>
  <c r="Q1124" i="1"/>
  <c r="R1123" i="1"/>
  <c r="Q1123" i="1"/>
  <c r="R1122" i="1"/>
  <c r="Q1122" i="1"/>
  <c r="R1121" i="1"/>
  <c r="Q1121" i="1"/>
  <c r="R1120" i="1"/>
  <c r="Q1120" i="1"/>
  <c r="R1119" i="1"/>
  <c r="Q1119" i="1"/>
  <c r="R1118" i="1"/>
  <c r="Q1118" i="1"/>
  <c r="R1117" i="1"/>
  <c r="Q1117" i="1"/>
  <c r="R1116" i="1"/>
  <c r="Q1116" i="1"/>
  <c r="R1115" i="1"/>
  <c r="Q1115" i="1"/>
  <c r="R1114" i="1"/>
  <c r="Q1114" i="1"/>
  <c r="R1113" i="1"/>
  <c r="Q1113" i="1"/>
  <c r="R1112" i="1"/>
  <c r="Q1112" i="1"/>
  <c r="R1111" i="1"/>
  <c r="Q1111" i="1"/>
  <c r="R1110" i="1"/>
  <c r="Q1110" i="1"/>
  <c r="R1109" i="1"/>
  <c r="Q1109" i="1"/>
  <c r="R1108" i="1"/>
  <c r="Q1108" i="1"/>
  <c r="R1107" i="1"/>
  <c r="Q1107" i="1"/>
  <c r="R1106" i="1"/>
  <c r="Q1106" i="1"/>
  <c r="R1105" i="1"/>
  <c r="Q1105" i="1"/>
  <c r="R1104" i="1"/>
  <c r="Q1104" i="1"/>
  <c r="R1103" i="1"/>
  <c r="Q1103" i="1"/>
  <c r="R1102" i="1"/>
  <c r="Q1102" i="1"/>
  <c r="R1101" i="1"/>
  <c r="Q1101" i="1"/>
  <c r="R1100" i="1"/>
  <c r="Q1100" i="1"/>
  <c r="R1099" i="1"/>
  <c r="Q1099" i="1"/>
  <c r="R1098" i="1"/>
  <c r="Q1098" i="1"/>
  <c r="R1097" i="1"/>
  <c r="Q1097" i="1"/>
  <c r="R1096" i="1"/>
  <c r="Q1096" i="1"/>
  <c r="R1095" i="1"/>
  <c r="Q1095" i="1"/>
  <c r="R1094" i="1"/>
  <c r="Q1094" i="1"/>
  <c r="R1093" i="1"/>
  <c r="Q1093" i="1"/>
  <c r="R1092" i="1"/>
  <c r="Q1092" i="1"/>
  <c r="R1091" i="1"/>
  <c r="Q1091" i="1"/>
  <c r="R1090" i="1"/>
  <c r="Q1090" i="1"/>
  <c r="R1089" i="1"/>
  <c r="Q1089" i="1"/>
  <c r="R1088" i="1"/>
  <c r="Q1088" i="1"/>
  <c r="R1087" i="1"/>
  <c r="Q1087" i="1"/>
  <c r="R1086" i="1"/>
  <c r="Q1086" i="1"/>
  <c r="R1085" i="1"/>
  <c r="Q1085" i="1"/>
  <c r="R1084" i="1"/>
  <c r="Q1084" i="1"/>
  <c r="R1083" i="1"/>
  <c r="Q1083" i="1"/>
  <c r="R1082" i="1"/>
  <c r="Q1082" i="1"/>
  <c r="R1081" i="1"/>
  <c r="Q1081" i="1"/>
  <c r="R1080" i="1"/>
  <c r="Q1080" i="1"/>
  <c r="R1079" i="1"/>
  <c r="Q1079" i="1"/>
  <c r="R1078" i="1"/>
  <c r="Q1078" i="1"/>
  <c r="R1077" i="1"/>
  <c r="Q1077" i="1"/>
  <c r="R1076" i="1"/>
  <c r="Q1076" i="1"/>
  <c r="R1075" i="1"/>
  <c r="Q1075" i="1"/>
  <c r="R1074" i="1"/>
  <c r="Q1074" i="1"/>
  <c r="R1073" i="1"/>
  <c r="Q1073" i="1"/>
  <c r="R1072" i="1"/>
  <c r="Q1072" i="1"/>
  <c r="R1071" i="1"/>
  <c r="Q1071" i="1"/>
  <c r="R1070" i="1"/>
  <c r="Q1070" i="1"/>
  <c r="R1069" i="1"/>
  <c r="Q1069" i="1"/>
  <c r="R1068" i="1"/>
  <c r="Q1068" i="1"/>
  <c r="R1067" i="1"/>
  <c r="Q1067" i="1"/>
  <c r="R1066" i="1"/>
  <c r="Q1066" i="1"/>
  <c r="R1065" i="1"/>
  <c r="Q1065" i="1"/>
  <c r="R1064" i="1"/>
  <c r="Q1064" i="1"/>
  <c r="R1063" i="1"/>
  <c r="Q1063" i="1"/>
  <c r="R1062" i="1"/>
  <c r="Q1062" i="1"/>
  <c r="R1061" i="1"/>
  <c r="Q1061" i="1"/>
  <c r="R1060" i="1"/>
  <c r="Q1060" i="1"/>
  <c r="R1059" i="1"/>
  <c r="Q1059" i="1"/>
  <c r="R1058" i="1"/>
  <c r="Q1058" i="1"/>
  <c r="R1057" i="1"/>
  <c r="Q1057" i="1"/>
  <c r="R1056" i="1"/>
  <c r="Q1056" i="1"/>
  <c r="R1055" i="1"/>
  <c r="Q1055" i="1"/>
  <c r="R1054" i="1"/>
  <c r="Q1054" i="1"/>
  <c r="R1053" i="1"/>
  <c r="Q1053" i="1"/>
  <c r="R1052" i="1"/>
  <c r="Q1052" i="1"/>
  <c r="R1051" i="1"/>
  <c r="Q1051" i="1"/>
  <c r="R1050" i="1"/>
  <c r="Q1050" i="1"/>
  <c r="R1049" i="1"/>
  <c r="Q1049" i="1"/>
  <c r="R1048" i="1"/>
  <c r="Q1048" i="1"/>
  <c r="R1047" i="1"/>
  <c r="Q1047" i="1"/>
  <c r="R1046" i="1"/>
  <c r="Q1046" i="1"/>
  <c r="R1045" i="1"/>
  <c r="Q1045" i="1"/>
  <c r="R1044" i="1"/>
  <c r="Q1044" i="1"/>
  <c r="R1043" i="1"/>
  <c r="Q1043" i="1"/>
  <c r="R1042" i="1"/>
  <c r="Q1042" i="1"/>
  <c r="R1041" i="1"/>
  <c r="Q1041" i="1"/>
  <c r="R1040" i="1"/>
  <c r="Q1040" i="1"/>
  <c r="R1039" i="1"/>
  <c r="Q1039" i="1"/>
  <c r="R1038" i="1"/>
  <c r="Q1038" i="1"/>
  <c r="R1037" i="1"/>
  <c r="Q1037" i="1"/>
  <c r="R1036" i="1"/>
  <c r="Q1036" i="1"/>
  <c r="R1035" i="1"/>
  <c r="Q1035" i="1"/>
  <c r="R1034" i="1"/>
  <c r="Q1034" i="1"/>
  <c r="R1033" i="1"/>
  <c r="Q1033" i="1"/>
  <c r="R1032" i="1"/>
  <c r="Q1032" i="1"/>
  <c r="R1031" i="1"/>
  <c r="Q1031" i="1"/>
  <c r="R1030" i="1"/>
  <c r="Q1030" i="1"/>
  <c r="R1029" i="1"/>
  <c r="Q1029" i="1"/>
  <c r="R1028" i="1"/>
  <c r="Q1028" i="1"/>
  <c r="R1027" i="1"/>
  <c r="Q1027" i="1"/>
  <c r="R1026" i="1"/>
  <c r="Q1026" i="1"/>
  <c r="R1025" i="1"/>
  <c r="Q1025" i="1"/>
  <c r="R1024" i="1"/>
  <c r="Q1024" i="1"/>
  <c r="R1023" i="1"/>
  <c r="Q1023" i="1"/>
  <c r="R1022" i="1"/>
  <c r="Q1022" i="1"/>
  <c r="R1021" i="1"/>
  <c r="Q1021" i="1"/>
  <c r="R1020" i="1"/>
  <c r="Q1020" i="1"/>
  <c r="R1019" i="1"/>
  <c r="Q1019" i="1"/>
  <c r="R1018" i="1"/>
  <c r="Q1018" i="1"/>
  <c r="R1017" i="1"/>
  <c r="Q1017" i="1"/>
  <c r="R1016" i="1"/>
  <c r="Q1016" i="1"/>
  <c r="R1015" i="1"/>
  <c r="Q1015" i="1"/>
  <c r="R1014" i="1"/>
  <c r="Q1014" i="1"/>
  <c r="R1013" i="1"/>
  <c r="Q1013" i="1"/>
  <c r="R1012" i="1"/>
  <c r="Q1012" i="1"/>
  <c r="R1011" i="1"/>
  <c r="Q1011" i="1"/>
  <c r="R1010" i="1"/>
  <c r="Q1010" i="1"/>
  <c r="R1009" i="1"/>
  <c r="Q1009" i="1"/>
  <c r="R1008" i="1"/>
  <c r="Q1008" i="1"/>
  <c r="R1007" i="1"/>
  <c r="Q1007" i="1"/>
  <c r="R1006" i="1"/>
  <c r="Q1006" i="1"/>
  <c r="R1005" i="1"/>
  <c r="Q1005" i="1"/>
  <c r="R1004" i="1"/>
  <c r="Q1004" i="1"/>
  <c r="R1003" i="1"/>
  <c r="Q1003" i="1"/>
  <c r="R1002" i="1"/>
  <c r="Q1002" i="1"/>
  <c r="R1001" i="1"/>
  <c r="Q1001" i="1"/>
  <c r="R1000" i="1"/>
  <c r="Q1000" i="1"/>
  <c r="R999" i="1"/>
  <c r="Q999" i="1"/>
  <c r="R998" i="1"/>
  <c r="Q998" i="1"/>
  <c r="R997" i="1"/>
  <c r="Q997" i="1"/>
  <c r="R996" i="1"/>
  <c r="Q996" i="1"/>
  <c r="R995" i="1"/>
  <c r="Q995" i="1"/>
  <c r="R994" i="1"/>
  <c r="Q994" i="1"/>
  <c r="R993" i="1"/>
  <c r="Q993" i="1"/>
  <c r="R992" i="1"/>
  <c r="Q992" i="1"/>
  <c r="R991" i="1"/>
  <c r="Q991" i="1"/>
  <c r="R990" i="1"/>
  <c r="Q990" i="1"/>
  <c r="R989" i="1"/>
  <c r="Q989" i="1"/>
  <c r="R988" i="1"/>
  <c r="Q988" i="1"/>
  <c r="R987" i="1"/>
  <c r="Q987" i="1"/>
  <c r="R986" i="1"/>
  <c r="Q986" i="1"/>
  <c r="R985" i="1"/>
  <c r="Q985" i="1"/>
  <c r="R984" i="1"/>
  <c r="Q984" i="1"/>
  <c r="R983" i="1"/>
  <c r="Q983" i="1"/>
  <c r="R982" i="1"/>
  <c r="Q982" i="1"/>
  <c r="R981" i="1"/>
  <c r="Q981" i="1"/>
  <c r="R980" i="1"/>
  <c r="Q980" i="1"/>
  <c r="R979" i="1"/>
  <c r="Q979" i="1"/>
  <c r="R978" i="1"/>
  <c r="Q978" i="1"/>
  <c r="R977" i="1"/>
  <c r="Q977" i="1"/>
  <c r="R976" i="1"/>
  <c r="Q976" i="1"/>
  <c r="R975" i="1"/>
  <c r="Q975" i="1"/>
  <c r="R974" i="1"/>
  <c r="Q974" i="1"/>
  <c r="R973" i="1"/>
  <c r="Q973" i="1"/>
  <c r="R972" i="1"/>
  <c r="Q972" i="1"/>
  <c r="R971" i="1"/>
  <c r="Q971" i="1"/>
  <c r="R970" i="1"/>
  <c r="Q970" i="1"/>
  <c r="R969" i="1"/>
  <c r="Q969" i="1"/>
  <c r="R968" i="1"/>
  <c r="Q968" i="1"/>
  <c r="R967" i="1"/>
  <c r="Q967" i="1"/>
  <c r="R966" i="1"/>
  <c r="Q966" i="1"/>
  <c r="R965" i="1"/>
  <c r="Q965" i="1"/>
  <c r="R964" i="1"/>
  <c r="Q964" i="1"/>
  <c r="R963" i="1"/>
  <c r="Q963" i="1"/>
  <c r="R962" i="1"/>
  <c r="Q962" i="1"/>
  <c r="R961" i="1"/>
  <c r="Q961" i="1"/>
  <c r="R960" i="1"/>
  <c r="Q960" i="1"/>
  <c r="R959" i="1"/>
  <c r="Q959" i="1"/>
  <c r="R958" i="1"/>
  <c r="Q958" i="1"/>
  <c r="R957" i="1"/>
  <c r="Q957" i="1"/>
  <c r="R956" i="1"/>
  <c r="Q956" i="1"/>
  <c r="R955" i="1"/>
  <c r="Q955" i="1"/>
  <c r="R954" i="1"/>
  <c r="Q954" i="1"/>
  <c r="R953" i="1"/>
  <c r="Q953" i="1"/>
  <c r="R952" i="1"/>
  <c r="Q952" i="1"/>
  <c r="R951" i="1"/>
  <c r="Q951" i="1"/>
  <c r="R950" i="1"/>
  <c r="Q950" i="1"/>
  <c r="R949" i="1"/>
  <c r="Q949" i="1"/>
  <c r="R948" i="1"/>
  <c r="Q948" i="1"/>
  <c r="R947" i="1"/>
  <c r="Q947" i="1"/>
  <c r="R946" i="1"/>
  <c r="Q946" i="1"/>
  <c r="R945" i="1"/>
  <c r="Q945" i="1"/>
  <c r="R944" i="1"/>
  <c r="Q944" i="1"/>
  <c r="R943" i="1"/>
  <c r="Q943" i="1"/>
  <c r="R942" i="1"/>
  <c r="Q942" i="1"/>
  <c r="R941" i="1"/>
  <c r="Q941" i="1"/>
  <c r="R940" i="1"/>
  <c r="Q940" i="1"/>
  <c r="R939" i="1"/>
  <c r="Q939" i="1"/>
  <c r="R938" i="1"/>
  <c r="Q938" i="1"/>
  <c r="R937" i="1"/>
  <c r="Q937" i="1"/>
  <c r="R936" i="1"/>
  <c r="Q936" i="1"/>
  <c r="R935" i="1"/>
  <c r="Q935" i="1"/>
  <c r="R934" i="1"/>
  <c r="Q934" i="1"/>
  <c r="R933" i="1"/>
  <c r="Q933" i="1"/>
  <c r="R932" i="1"/>
  <c r="Q932" i="1"/>
  <c r="R931" i="1"/>
  <c r="Q931" i="1"/>
  <c r="R930" i="1"/>
  <c r="Q930" i="1"/>
  <c r="R929" i="1"/>
  <c r="Q929" i="1"/>
  <c r="R928" i="1"/>
  <c r="Q928" i="1"/>
  <c r="R927" i="1"/>
  <c r="Q927" i="1"/>
  <c r="R926" i="1"/>
  <c r="Q926" i="1"/>
  <c r="R925" i="1"/>
  <c r="Q925" i="1"/>
  <c r="R924" i="1"/>
  <c r="Q924" i="1"/>
  <c r="R923" i="1"/>
  <c r="Q923" i="1"/>
  <c r="R922" i="1"/>
  <c r="Q922" i="1"/>
  <c r="R921" i="1"/>
  <c r="Q921" i="1"/>
  <c r="R920" i="1"/>
  <c r="Q920" i="1"/>
  <c r="R919" i="1"/>
  <c r="Q919" i="1"/>
  <c r="R918" i="1"/>
  <c r="Q918" i="1"/>
  <c r="R917" i="1"/>
  <c r="Q917" i="1"/>
  <c r="R916" i="1"/>
  <c r="Q916" i="1"/>
  <c r="R915" i="1"/>
  <c r="Q915" i="1"/>
  <c r="R914" i="1"/>
  <c r="Q914" i="1"/>
  <c r="R913" i="1"/>
  <c r="Q913" i="1"/>
  <c r="R912" i="1"/>
  <c r="Q912" i="1"/>
  <c r="R911" i="1"/>
  <c r="Q911" i="1"/>
  <c r="R910" i="1"/>
  <c r="Q910" i="1"/>
  <c r="R909" i="1"/>
  <c r="Q909" i="1"/>
  <c r="R908" i="1"/>
  <c r="Q908" i="1"/>
  <c r="R907" i="1"/>
  <c r="Q907" i="1"/>
  <c r="R906" i="1"/>
  <c r="Q906" i="1"/>
  <c r="R905" i="1"/>
  <c r="Q905" i="1"/>
  <c r="R904" i="1"/>
  <c r="Q904" i="1"/>
  <c r="R903" i="1"/>
  <c r="Q903" i="1"/>
  <c r="R902" i="1"/>
  <c r="Q902" i="1"/>
  <c r="R901" i="1"/>
  <c r="Q901" i="1"/>
  <c r="R900" i="1"/>
  <c r="Q900" i="1"/>
  <c r="R899" i="1"/>
  <c r="Q899" i="1"/>
  <c r="R898" i="1"/>
  <c r="Q898" i="1"/>
  <c r="R897" i="1"/>
  <c r="Q897" i="1"/>
  <c r="R896" i="1"/>
  <c r="Q896" i="1"/>
  <c r="R895" i="1"/>
  <c r="Q895" i="1"/>
  <c r="R894" i="1"/>
  <c r="Q894" i="1"/>
  <c r="R893" i="1"/>
  <c r="Q893" i="1"/>
  <c r="R892" i="1"/>
  <c r="Q892" i="1"/>
  <c r="R891" i="1"/>
  <c r="Q891" i="1"/>
  <c r="R890" i="1"/>
  <c r="Q890" i="1"/>
  <c r="R889" i="1"/>
  <c r="Q889" i="1"/>
  <c r="R888" i="1"/>
  <c r="Q888" i="1"/>
  <c r="R887" i="1"/>
  <c r="Q887" i="1"/>
  <c r="R886" i="1"/>
  <c r="Q886" i="1"/>
  <c r="R885" i="1"/>
  <c r="Q885" i="1"/>
  <c r="R884" i="1"/>
  <c r="Q884" i="1"/>
  <c r="R883" i="1"/>
  <c r="Q883" i="1"/>
  <c r="R882" i="1"/>
  <c r="Q882" i="1"/>
  <c r="R881" i="1"/>
  <c r="Q881" i="1"/>
  <c r="R880" i="1"/>
  <c r="Q880" i="1"/>
  <c r="R879" i="1"/>
  <c r="Q879" i="1"/>
  <c r="R878" i="1"/>
  <c r="Q878" i="1"/>
  <c r="R877" i="1"/>
  <c r="Q877" i="1"/>
  <c r="R876" i="1"/>
  <c r="Q876" i="1"/>
  <c r="R875" i="1"/>
  <c r="Q875" i="1"/>
  <c r="R874" i="1"/>
  <c r="Q874" i="1"/>
  <c r="R873" i="1"/>
  <c r="Q873" i="1"/>
  <c r="R872" i="1"/>
  <c r="Q872" i="1"/>
  <c r="R871" i="1"/>
  <c r="Q871" i="1"/>
  <c r="R870" i="1"/>
  <c r="Q870" i="1"/>
  <c r="R869" i="1"/>
  <c r="Q869" i="1"/>
  <c r="R868" i="1"/>
  <c r="Q868" i="1"/>
  <c r="R867" i="1"/>
  <c r="Q867" i="1"/>
  <c r="R866" i="1"/>
  <c r="Q866" i="1"/>
  <c r="R865" i="1"/>
  <c r="Q865" i="1"/>
  <c r="R864" i="1"/>
  <c r="Q864" i="1"/>
  <c r="R863" i="1"/>
  <c r="Q863" i="1"/>
  <c r="R862" i="1"/>
  <c r="Q862" i="1"/>
  <c r="R861" i="1"/>
  <c r="Q861" i="1"/>
  <c r="R860" i="1"/>
  <c r="Q860" i="1"/>
  <c r="R859" i="1"/>
  <c r="Q859" i="1"/>
  <c r="R858" i="1"/>
  <c r="Q858" i="1"/>
  <c r="R857" i="1"/>
  <c r="Q857" i="1"/>
  <c r="R856" i="1"/>
  <c r="Q856" i="1"/>
  <c r="R855" i="1"/>
  <c r="Q855" i="1"/>
  <c r="R854" i="1"/>
  <c r="Q854" i="1"/>
  <c r="R853" i="1"/>
  <c r="Q853" i="1"/>
  <c r="R852" i="1"/>
  <c r="Q852" i="1"/>
  <c r="R851" i="1"/>
  <c r="Q851" i="1"/>
  <c r="R850" i="1"/>
  <c r="Q850" i="1"/>
  <c r="R849" i="1"/>
  <c r="Q849" i="1"/>
  <c r="R848" i="1"/>
  <c r="Q848" i="1"/>
  <c r="R847" i="1"/>
  <c r="Q847" i="1"/>
  <c r="R846" i="1"/>
  <c r="Q846" i="1"/>
  <c r="R845" i="1"/>
  <c r="Q845" i="1"/>
  <c r="R844" i="1"/>
  <c r="Q844" i="1"/>
  <c r="R843" i="1"/>
  <c r="Q843" i="1"/>
  <c r="R842" i="1"/>
  <c r="Q842" i="1"/>
  <c r="R841" i="1"/>
  <c r="Q841" i="1"/>
  <c r="R840" i="1"/>
  <c r="Q840" i="1"/>
  <c r="R839" i="1"/>
  <c r="Q839" i="1"/>
  <c r="R838" i="1"/>
  <c r="Q838" i="1"/>
  <c r="R837" i="1"/>
  <c r="Q837" i="1"/>
  <c r="R836" i="1"/>
  <c r="Q836" i="1"/>
  <c r="R835" i="1"/>
  <c r="Q835" i="1"/>
  <c r="R834" i="1"/>
  <c r="Q834" i="1"/>
  <c r="R833" i="1"/>
  <c r="Q833" i="1"/>
  <c r="R832" i="1"/>
  <c r="Q832" i="1"/>
  <c r="R831" i="1"/>
  <c r="Q831" i="1"/>
  <c r="R830" i="1"/>
  <c r="Q830" i="1"/>
  <c r="R829" i="1"/>
  <c r="Q829" i="1"/>
  <c r="R828" i="1"/>
  <c r="Q828" i="1"/>
  <c r="R827" i="1"/>
  <c r="Q827" i="1"/>
  <c r="R826" i="1"/>
  <c r="Q826" i="1"/>
  <c r="R825" i="1"/>
  <c r="Q825" i="1"/>
  <c r="R824" i="1"/>
  <c r="Q824" i="1"/>
  <c r="R823" i="1"/>
  <c r="Q823" i="1"/>
  <c r="R822" i="1"/>
  <c r="Q822" i="1"/>
  <c r="R821" i="1"/>
  <c r="Q821" i="1"/>
  <c r="R820" i="1"/>
  <c r="Q820" i="1"/>
  <c r="R819" i="1"/>
  <c r="Q819" i="1"/>
  <c r="R818" i="1"/>
  <c r="Q818" i="1"/>
  <c r="R817" i="1"/>
  <c r="Q817" i="1"/>
  <c r="R816" i="1"/>
  <c r="Q816" i="1"/>
  <c r="R815" i="1"/>
  <c r="Q815" i="1"/>
  <c r="R814" i="1"/>
  <c r="Q814" i="1"/>
  <c r="R813" i="1"/>
  <c r="Q813" i="1"/>
  <c r="R812" i="1"/>
  <c r="Q812" i="1"/>
  <c r="R811" i="1"/>
  <c r="Q811" i="1"/>
  <c r="R810" i="1"/>
  <c r="Q810" i="1"/>
  <c r="R809" i="1"/>
  <c r="Q809" i="1"/>
  <c r="R808" i="1"/>
  <c r="Q808" i="1"/>
  <c r="R807" i="1"/>
  <c r="Q807" i="1"/>
  <c r="R806" i="1"/>
  <c r="Q806" i="1"/>
  <c r="R805" i="1"/>
  <c r="Q805" i="1"/>
  <c r="R804" i="1"/>
  <c r="Q804" i="1"/>
  <c r="R803" i="1"/>
  <c r="Q803" i="1"/>
  <c r="R802" i="1"/>
  <c r="Q802" i="1"/>
  <c r="R801" i="1"/>
  <c r="Q801" i="1"/>
  <c r="R800" i="1"/>
  <c r="Q800" i="1"/>
  <c r="R799" i="1"/>
  <c r="Q799" i="1"/>
  <c r="R798" i="1"/>
  <c r="Q798" i="1"/>
  <c r="R797" i="1"/>
  <c r="Q797" i="1"/>
  <c r="R796" i="1"/>
  <c r="Q796" i="1"/>
  <c r="R795" i="1"/>
  <c r="Q795" i="1"/>
  <c r="R794" i="1"/>
  <c r="Q794" i="1"/>
  <c r="R793" i="1"/>
  <c r="Q793" i="1"/>
  <c r="R792" i="1"/>
  <c r="Q792" i="1"/>
  <c r="R791" i="1"/>
  <c r="Q791" i="1"/>
  <c r="R790" i="1"/>
  <c r="Q790" i="1"/>
  <c r="R789" i="1"/>
  <c r="Q789" i="1"/>
  <c r="R788" i="1"/>
  <c r="Q788" i="1"/>
  <c r="R787" i="1"/>
  <c r="Q787" i="1"/>
  <c r="R786" i="1"/>
  <c r="Q786" i="1"/>
  <c r="R785" i="1"/>
  <c r="Q785" i="1"/>
  <c r="R784" i="1"/>
  <c r="Q784" i="1"/>
  <c r="R783" i="1"/>
  <c r="Q783" i="1"/>
  <c r="R782" i="1"/>
  <c r="Q782" i="1"/>
  <c r="R781" i="1"/>
  <c r="Q781" i="1"/>
  <c r="R780" i="1"/>
  <c r="Q780" i="1"/>
  <c r="R779" i="1"/>
  <c r="Q779" i="1"/>
  <c r="R778" i="1"/>
  <c r="Q778" i="1"/>
  <c r="R777" i="1"/>
  <c r="Q777" i="1"/>
  <c r="R776" i="1"/>
  <c r="Q776" i="1"/>
  <c r="R775" i="1"/>
  <c r="Q775" i="1"/>
  <c r="R774" i="1"/>
  <c r="Q774" i="1"/>
  <c r="R773" i="1"/>
  <c r="Q773" i="1"/>
  <c r="R772" i="1"/>
  <c r="Q772" i="1"/>
  <c r="R771" i="1"/>
  <c r="Q771" i="1"/>
  <c r="R770" i="1"/>
  <c r="Q770" i="1"/>
  <c r="R769" i="1"/>
  <c r="Q769" i="1"/>
  <c r="R768" i="1"/>
  <c r="Q768" i="1"/>
  <c r="R767" i="1"/>
  <c r="Q767" i="1"/>
  <c r="R766" i="1"/>
  <c r="Q766" i="1"/>
  <c r="R765" i="1"/>
  <c r="Q765" i="1"/>
  <c r="R764" i="1"/>
  <c r="Q764" i="1"/>
  <c r="R763" i="1"/>
  <c r="Q763" i="1"/>
  <c r="R762" i="1"/>
  <c r="Q762" i="1"/>
  <c r="R761" i="1"/>
  <c r="Q761" i="1"/>
  <c r="R760" i="1"/>
  <c r="Q760" i="1"/>
  <c r="R759" i="1"/>
  <c r="Q759" i="1"/>
  <c r="R758" i="1"/>
  <c r="Q758" i="1"/>
  <c r="R757" i="1"/>
  <c r="Q757" i="1"/>
  <c r="R756" i="1"/>
  <c r="Q756" i="1"/>
  <c r="R755" i="1"/>
  <c r="Q755" i="1"/>
  <c r="R754" i="1"/>
  <c r="Q754" i="1"/>
  <c r="R753" i="1"/>
  <c r="Q753" i="1"/>
  <c r="R752" i="1"/>
  <c r="Q752" i="1"/>
  <c r="R751" i="1"/>
  <c r="Q751" i="1"/>
  <c r="R750" i="1"/>
  <c r="Q750" i="1"/>
  <c r="R749" i="1"/>
  <c r="Q749" i="1"/>
  <c r="R748" i="1"/>
  <c r="Q748" i="1"/>
  <c r="R747" i="1"/>
  <c r="Q747" i="1"/>
  <c r="R746" i="1"/>
  <c r="Q746" i="1"/>
  <c r="R745" i="1"/>
  <c r="Q745" i="1"/>
  <c r="R744" i="1"/>
  <c r="Q744" i="1"/>
  <c r="R743" i="1"/>
  <c r="Q743" i="1"/>
  <c r="R742" i="1"/>
  <c r="Q742" i="1"/>
  <c r="R741" i="1"/>
  <c r="Q741" i="1"/>
  <c r="R740" i="1"/>
  <c r="Q740" i="1"/>
  <c r="R739" i="1"/>
  <c r="Q739" i="1"/>
  <c r="R738" i="1"/>
  <c r="Q738" i="1"/>
  <c r="R737" i="1"/>
  <c r="Q737" i="1"/>
  <c r="R736" i="1"/>
  <c r="Q736" i="1"/>
  <c r="R735" i="1"/>
  <c r="Q735" i="1"/>
  <c r="R734" i="1"/>
  <c r="Q734" i="1"/>
  <c r="R733" i="1"/>
  <c r="Q733" i="1"/>
  <c r="R732" i="1"/>
  <c r="Q732" i="1"/>
  <c r="R731" i="1"/>
  <c r="Q731" i="1"/>
  <c r="R730" i="1"/>
  <c r="Q730" i="1"/>
  <c r="R729" i="1"/>
  <c r="Q729" i="1"/>
  <c r="R728" i="1"/>
  <c r="Q728" i="1"/>
  <c r="R727" i="1"/>
  <c r="Q727" i="1"/>
  <c r="R726" i="1"/>
  <c r="Q726" i="1"/>
  <c r="R725" i="1"/>
  <c r="Q725" i="1"/>
  <c r="R724" i="1"/>
  <c r="Q724" i="1"/>
  <c r="R723" i="1"/>
  <c r="Q723" i="1"/>
  <c r="R722" i="1"/>
  <c r="Q722" i="1"/>
  <c r="R721" i="1"/>
  <c r="Q721" i="1"/>
  <c r="R720" i="1"/>
  <c r="Q720" i="1"/>
  <c r="R719" i="1"/>
  <c r="Q719" i="1"/>
  <c r="R718" i="1"/>
  <c r="Q718" i="1"/>
  <c r="R717" i="1"/>
  <c r="Q717" i="1"/>
  <c r="R716" i="1"/>
  <c r="Q716" i="1"/>
  <c r="R715" i="1"/>
  <c r="Q715" i="1"/>
  <c r="R714" i="1"/>
  <c r="Q714" i="1"/>
  <c r="R713" i="1"/>
  <c r="Q713" i="1"/>
  <c r="R712" i="1"/>
  <c r="Q712" i="1"/>
  <c r="R711" i="1"/>
  <c r="Q711" i="1"/>
  <c r="R710" i="1"/>
  <c r="Q710" i="1"/>
  <c r="R709" i="1"/>
  <c r="Q709" i="1"/>
  <c r="R708" i="1"/>
  <c r="Q708" i="1"/>
  <c r="R707" i="1"/>
  <c r="Q707" i="1"/>
  <c r="R706" i="1"/>
  <c r="Q706" i="1"/>
  <c r="R705" i="1"/>
  <c r="Q705" i="1"/>
  <c r="R704" i="1"/>
  <c r="Q704" i="1"/>
  <c r="R703" i="1"/>
  <c r="Q703" i="1"/>
  <c r="R702" i="1"/>
  <c r="Q702" i="1"/>
  <c r="R701" i="1"/>
  <c r="Q701" i="1"/>
  <c r="R700" i="1"/>
  <c r="Q700" i="1"/>
  <c r="R699" i="1"/>
  <c r="Q699" i="1"/>
  <c r="R698" i="1"/>
  <c r="Q698" i="1"/>
  <c r="R697" i="1"/>
  <c r="Q697" i="1"/>
  <c r="R696" i="1"/>
  <c r="Q696" i="1"/>
  <c r="R695" i="1"/>
  <c r="Q695" i="1"/>
  <c r="R694" i="1"/>
  <c r="Q694" i="1"/>
  <c r="R693" i="1"/>
  <c r="Q693" i="1"/>
  <c r="R692" i="1"/>
  <c r="Q692" i="1"/>
  <c r="R691" i="1"/>
  <c r="Q691" i="1"/>
  <c r="R690" i="1"/>
  <c r="Q690" i="1"/>
  <c r="R689" i="1"/>
  <c r="Q689" i="1"/>
  <c r="R688" i="1"/>
  <c r="Q688" i="1"/>
  <c r="R687" i="1"/>
  <c r="Q687" i="1"/>
  <c r="R686" i="1"/>
  <c r="Q686" i="1"/>
  <c r="R685" i="1"/>
  <c r="Q685" i="1"/>
  <c r="R684" i="1"/>
  <c r="Q684" i="1"/>
  <c r="R683" i="1"/>
  <c r="Q683" i="1"/>
  <c r="R682" i="1"/>
  <c r="Q682" i="1"/>
  <c r="R681" i="1"/>
  <c r="Q681" i="1"/>
  <c r="R680" i="1"/>
  <c r="Q680" i="1"/>
  <c r="R679" i="1"/>
  <c r="Q679" i="1"/>
  <c r="R678" i="1"/>
  <c r="Q678" i="1"/>
  <c r="R677" i="1"/>
  <c r="Q677" i="1"/>
  <c r="R676" i="1"/>
  <c r="Q676" i="1"/>
  <c r="R675" i="1"/>
  <c r="Q675" i="1"/>
  <c r="R674" i="1"/>
  <c r="Q674" i="1"/>
  <c r="R673" i="1"/>
  <c r="Q673" i="1"/>
  <c r="R672" i="1"/>
  <c r="Q672" i="1"/>
  <c r="R671" i="1"/>
  <c r="Q671" i="1"/>
  <c r="R670" i="1"/>
  <c r="Q670" i="1"/>
  <c r="R669" i="1"/>
  <c r="Q669" i="1"/>
  <c r="R668" i="1"/>
  <c r="Q668" i="1"/>
  <c r="R667" i="1"/>
  <c r="Q667" i="1"/>
  <c r="R666" i="1"/>
  <c r="Q666" i="1"/>
  <c r="R665" i="1"/>
  <c r="Q665" i="1"/>
  <c r="R664" i="1"/>
  <c r="Q664" i="1"/>
  <c r="R663" i="1"/>
  <c r="Q663" i="1"/>
  <c r="R662" i="1"/>
  <c r="Q662" i="1"/>
  <c r="R661" i="1"/>
  <c r="Q661" i="1"/>
  <c r="R660" i="1"/>
  <c r="Q660" i="1"/>
  <c r="R659" i="1"/>
  <c r="Q659" i="1"/>
  <c r="R658" i="1"/>
  <c r="Q658" i="1"/>
  <c r="R657" i="1"/>
  <c r="Q657" i="1"/>
  <c r="R656" i="1"/>
  <c r="Q656" i="1"/>
  <c r="R655" i="1"/>
  <c r="Q655" i="1"/>
  <c r="R654" i="1"/>
  <c r="Q654" i="1"/>
  <c r="R653" i="1"/>
  <c r="Q653" i="1"/>
  <c r="R652" i="1"/>
  <c r="Q652" i="1"/>
  <c r="R651" i="1"/>
  <c r="Q651" i="1"/>
  <c r="R650" i="1"/>
  <c r="Q650" i="1"/>
  <c r="R649" i="1"/>
  <c r="Q649" i="1"/>
  <c r="R648" i="1"/>
  <c r="Q648" i="1"/>
  <c r="R647" i="1"/>
  <c r="Q647" i="1"/>
  <c r="R646" i="1"/>
  <c r="Q646" i="1"/>
  <c r="R645" i="1"/>
  <c r="Q645" i="1"/>
  <c r="R644" i="1"/>
  <c r="Q644" i="1"/>
  <c r="R643" i="1"/>
  <c r="Q643" i="1"/>
  <c r="R642" i="1"/>
  <c r="Q642" i="1"/>
  <c r="R641" i="1"/>
  <c r="Q641" i="1"/>
  <c r="R640" i="1"/>
  <c r="Q640" i="1"/>
  <c r="R639" i="1"/>
  <c r="Q639" i="1"/>
  <c r="R638" i="1"/>
  <c r="Q638" i="1"/>
  <c r="R637" i="1"/>
  <c r="Q637" i="1"/>
  <c r="R636" i="1"/>
  <c r="Q636" i="1"/>
  <c r="R635" i="1"/>
  <c r="Q635" i="1"/>
  <c r="R634" i="1"/>
  <c r="Q634" i="1"/>
  <c r="R633" i="1"/>
  <c r="Q633" i="1"/>
  <c r="R632" i="1"/>
  <c r="Q632" i="1"/>
  <c r="R631" i="1"/>
  <c r="Q631" i="1"/>
  <c r="R630" i="1"/>
  <c r="Q630" i="1"/>
  <c r="R629" i="1"/>
  <c r="Q629" i="1"/>
  <c r="R628" i="1"/>
  <c r="Q628" i="1"/>
  <c r="R627" i="1"/>
  <c r="Q627" i="1"/>
  <c r="R626" i="1"/>
  <c r="Q626" i="1"/>
  <c r="R625" i="1"/>
  <c r="Q625" i="1"/>
  <c r="R624" i="1"/>
  <c r="Q624" i="1"/>
  <c r="R623" i="1"/>
  <c r="Q623" i="1"/>
  <c r="R622" i="1"/>
  <c r="Q622" i="1"/>
  <c r="R621" i="1"/>
  <c r="Q621" i="1"/>
  <c r="R620" i="1"/>
  <c r="Q620" i="1"/>
  <c r="R619" i="1"/>
  <c r="Q619" i="1"/>
  <c r="R618" i="1"/>
  <c r="Q618" i="1"/>
  <c r="R617" i="1"/>
  <c r="Q617" i="1"/>
  <c r="R616" i="1"/>
  <c r="Q616" i="1"/>
  <c r="R615" i="1"/>
  <c r="Q615" i="1"/>
  <c r="R614" i="1"/>
  <c r="Q614" i="1"/>
  <c r="R613" i="1"/>
  <c r="Q613" i="1"/>
  <c r="R612" i="1"/>
  <c r="Q612" i="1"/>
  <c r="R611" i="1"/>
  <c r="Q611" i="1"/>
  <c r="R610" i="1"/>
  <c r="Q610" i="1"/>
  <c r="R609" i="1"/>
  <c r="Q609" i="1"/>
  <c r="R608" i="1"/>
  <c r="Q608" i="1"/>
  <c r="R607" i="1"/>
  <c r="Q607" i="1"/>
  <c r="R606" i="1"/>
  <c r="Q606" i="1"/>
  <c r="R605" i="1"/>
  <c r="Q605" i="1"/>
  <c r="R604" i="1"/>
  <c r="Q604" i="1"/>
  <c r="R603" i="1"/>
  <c r="Q603" i="1"/>
  <c r="R602" i="1"/>
  <c r="Q602" i="1"/>
  <c r="R601" i="1"/>
  <c r="Q601" i="1"/>
  <c r="R600" i="1"/>
  <c r="Q600" i="1"/>
  <c r="R599" i="1"/>
  <c r="Q599" i="1"/>
  <c r="R598" i="1"/>
  <c r="Q598" i="1"/>
  <c r="R597" i="1"/>
  <c r="Q597" i="1"/>
  <c r="R596" i="1"/>
  <c r="Q596" i="1"/>
  <c r="R595" i="1"/>
  <c r="Q595" i="1"/>
  <c r="R594" i="1"/>
  <c r="Q594" i="1"/>
  <c r="R593" i="1"/>
  <c r="Q593" i="1"/>
  <c r="R592" i="1"/>
  <c r="Q592" i="1"/>
  <c r="R591" i="1"/>
  <c r="Q591" i="1"/>
  <c r="R590" i="1"/>
  <c r="Q590" i="1"/>
  <c r="R589" i="1"/>
  <c r="Q589" i="1"/>
  <c r="R588" i="1"/>
  <c r="Q588" i="1"/>
  <c r="R587" i="1"/>
  <c r="Q587" i="1"/>
  <c r="R586" i="1"/>
  <c r="Q586" i="1"/>
  <c r="R585" i="1"/>
  <c r="Q585" i="1"/>
  <c r="R584" i="1"/>
  <c r="Q584" i="1"/>
  <c r="R583" i="1"/>
  <c r="Q583" i="1"/>
  <c r="R582" i="1"/>
  <c r="Q582" i="1"/>
  <c r="R581" i="1"/>
  <c r="Q581" i="1"/>
  <c r="R580" i="1"/>
  <c r="Q580" i="1"/>
  <c r="R579" i="1"/>
  <c r="Q579" i="1"/>
  <c r="R578" i="1"/>
  <c r="Q578" i="1"/>
  <c r="R577" i="1"/>
  <c r="Q577" i="1"/>
  <c r="R576" i="1"/>
  <c r="Q576" i="1"/>
  <c r="R575" i="1"/>
  <c r="Q575" i="1"/>
  <c r="R574" i="1"/>
  <c r="Q574" i="1"/>
  <c r="R573" i="1"/>
  <c r="Q573" i="1"/>
  <c r="R572" i="1"/>
  <c r="Q572" i="1"/>
  <c r="R571" i="1"/>
  <c r="Q571" i="1"/>
  <c r="R570" i="1"/>
  <c r="Q570" i="1"/>
  <c r="R569" i="1"/>
  <c r="Q569" i="1"/>
  <c r="R568" i="1"/>
  <c r="Q568" i="1"/>
  <c r="R567" i="1"/>
  <c r="Q567" i="1"/>
  <c r="R566" i="1"/>
  <c r="Q566" i="1"/>
  <c r="R565" i="1"/>
  <c r="Q565" i="1"/>
  <c r="R564" i="1"/>
  <c r="Q564" i="1"/>
  <c r="R563" i="1"/>
  <c r="Q563" i="1"/>
  <c r="R562" i="1"/>
  <c r="Q562" i="1"/>
  <c r="R561" i="1"/>
  <c r="Q561" i="1"/>
  <c r="R560" i="1"/>
  <c r="Q560" i="1"/>
  <c r="R559" i="1"/>
  <c r="Q559" i="1"/>
  <c r="R558" i="1"/>
  <c r="Q558" i="1"/>
  <c r="R557" i="1"/>
  <c r="Q557" i="1"/>
  <c r="R556" i="1"/>
  <c r="Q556" i="1"/>
  <c r="R555" i="1"/>
  <c r="Q555" i="1"/>
  <c r="R554" i="1"/>
  <c r="Q554" i="1"/>
  <c r="R553" i="1"/>
  <c r="Q553" i="1"/>
  <c r="R552" i="1"/>
  <c r="Q552" i="1"/>
  <c r="R551" i="1"/>
  <c r="Q551" i="1"/>
  <c r="R550" i="1"/>
  <c r="Q550" i="1"/>
  <c r="R549" i="1"/>
  <c r="Q549" i="1"/>
  <c r="R548" i="1"/>
  <c r="Q548" i="1"/>
  <c r="R547" i="1"/>
  <c r="Q547" i="1"/>
  <c r="R546" i="1"/>
  <c r="Q546" i="1"/>
  <c r="R545" i="1"/>
  <c r="Q545" i="1"/>
  <c r="R544" i="1"/>
  <c r="Q544" i="1"/>
  <c r="R543" i="1"/>
  <c r="Q543" i="1"/>
  <c r="R542" i="1"/>
  <c r="Q542" i="1"/>
  <c r="R541" i="1"/>
  <c r="Q541" i="1"/>
  <c r="R540" i="1"/>
  <c r="Q540" i="1"/>
  <c r="R539" i="1"/>
  <c r="Q539" i="1"/>
  <c r="R538" i="1"/>
  <c r="Q538" i="1"/>
  <c r="R537" i="1"/>
  <c r="Q537" i="1"/>
  <c r="R536" i="1"/>
  <c r="Q536" i="1"/>
  <c r="R535" i="1"/>
  <c r="Q535" i="1"/>
  <c r="R534" i="1"/>
  <c r="Q534" i="1"/>
  <c r="R533" i="1"/>
  <c r="Q533" i="1"/>
  <c r="R532" i="1"/>
  <c r="Q532" i="1"/>
  <c r="R531" i="1"/>
  <c r="Q531" i="1"/>
  <c r="R530" i="1"/>
  <c r="Q530" i="1"/>
  <c r="R529" i="1"/>
  <c r="Q529" i="1"/>
  <c r="R528" i="1"/>
  <c r="Q528" i="1"/>
  <c r="R527" i="1"/>
  <c r="Q527" i="1"/>
  <c r="R526" i="1"/>
  <c r="Q526" i="1"/>
  <c r="R525" i="1"/>
  <c r="Q525" i="1"/>
  <c r="R524" i="1"/>
  <c r="Q524" i="1"/>
  <c r="R523" i="1"/>
  <c r="Q523" i="1"/>
  <c r="R522" i="1"/>
  <c r="Q522" i="1"/>
  <c r="R521" i="1"/>
  <c r="Q521" i="1"/>
  <c r="R520" i="1"/>
  <c r="Q520" i="1"/>
  <c r="R519" i="1"/>
  <c r="Q519" i="1"/>
  <c r="R518" i="1"/>
  <c r="Q518" i="1"/>
  <c r="R517" i="1"/>
  <c r="Q517" i="1"/>
  <c r="R516" i="1"/>
  <c r="Q516" i="1"/>
  <c r="R515" i="1"/>
  <c r="Q515" i="1"/>
  <c r="R514" i="1"/>
  <c r="Q514" i="1"/>
  <c r="R513" i="1"/>
  <c r="Q513" i="1"/>
  <c r="R512" i="1"/>
  <c r="Q512" i="1"/>
  <c r="R511" i="1"/>
  <c r="Q511" i="1"/>
  <c r="R510" i="1"/>
  <c r="Q510" i="1"/>
  <c r="R509" i="1"/>
  <c r="Q509" i="1"/>
  <c r="R508" i="1"/>
  <c r="Q508" i="1"/>
  <c r="R507" i="1"/>
  <c r="Q507" i="1"/>
  <c r="R506" i="1"/>
  <c r="Q506" i="1"/>
  <c r="R505" i="1"/>
  <c r="Q505" i="1"/>
  <c r="R504" i="1"/>
  <c r="Q504" i="1"/>
  <c r="R503" i="1"/>
  <c r="Q503" i="1"/>
  <c r="R502" i="1"/>
  <c r="Q502" i="1"/>
  <c r="R501" i="1"/>
  <c r="Q501" i="1"/>
  <c r="R500" i="1"/>
  <c r="Q500" i="1"/>
  <c r="R499" i="1"/>
  <c r="Q499" i="1"/>
  <c r="R498" i="1"/>
  <c r="Q498" i="1"/>
  <c r="R497" i="1"/>
  <c r="Q497" i="1"/>
  <c r="R496" i="1"/>
  <c r="Q496" i="1"/>
  <c r="R495" i="1"/>
  <c r="Q495" i="1"/>
  <c r="R494" i="1"/>
  <c r="Q494" i="1"/>
  <c r="R493" i="1"/>
  <c r="Q493" i="1"/>
  <c r="R492" i="1"/>
  <c r="Q492" i="1"/>
  <c r="R491" i="1"/>
  <c r="Q491" i="1"/>
  <c r="R490" i="1"/>
  <c r="Q490" i="1"/>
  <c r="R489" i="1"/>
  <c r="Q489" i="1"/>
  <c r="R488" i="1"/>
  <c r="Q488" i="1"/>
  <c r="R487" i="1"/>
  <c r="Q487" i="1"/>
  <c r="R486" i="1"/>
  <c r="Q486" i="1"/>
  <c r="R485" i="1"/>
  <c r="Q485" i="1"/>
  <c r="R484" i="1"/>
  <c r="Q484" i="1"/>
  <c r="R483" i="1"/>
  <c r="Q483" i="1"/>
  <c r="R482" i="1"/>
  <c r="Q482" i="1"/>
  <c r="R481" i="1"/>
  <c r="Q481" i="1"/>
  <c r="R480" i="1"/>
  <c r="Q480" i="1"/>
  <c r="R479" i="1"/>
  <c r="Q479" i="1"/>
  <c r="R478" i="1"/>
  <c r="Q478" i="1"/>
  <c r="R477" i="1"/>
  <c r="Q477" i="1"/>
  <c r="R476" i="1"/>
  <c r="Q476" i="1"/>
  <c r="R475" i="1"/>
  <c r="Q475" i="1"/>
  <c r="R474" i="1"/>
  <c r="Q474" i="1"/>
  <c r="R473" i="1"/>
  <c r="Q473" i="1"/>
  <c r="R472" i="1"/>
  <c r="Q472" i="1"/>
  <c r="R471" i="1"/>
  <c r="Q471" i="1"/>
  <c r="R470" i="1"/>
  <c r="Q470" i="1"/>
  <c r="R469" i="1"/>
  <c r="Q469" i="1"/>
  <c r="R468" i="1"/>
  <c r="Q468" i="1"/>
  <c r="R467" i="1"/>
  <c r="Q467" i="1"/>
  <c r="R466" i="1"/>
  <c r="Q466" i="1"/>
  <c r="R465" i="1"/>
  <c r="Q465" i="1"/>
  <c r="R464" i="1"/>
  <c r="Q464" i="1"/>
  <c r="R463" i="1"/>
  <c r="Q463" i="1"/>
  <c r="R462" i="1"/>
  <c r="Q462" i="1"/>
  <c r="R461" i="1"/>
  <c r="Q461" i="1"/>
  <c r="R460" i="1"/>
  <c r="Q460" i="1"/>
  <c r="R459" i="1"/>
  <c r="Q459" i="1"/>
  <c r="R458" i="1"/>
  <c r="Q458" i="1"/>
  <c r="R457" i="1"/>
  <c r="Q457" i="1"/>
  <c r="R456" i="1"/>
  <c r="Q456" i="1"/>
  <c r="R455" i="1"/>
  <c r="Q455" i="1"/>
  <c r="R454" i="1"/>
  <c r="Q454" i="1"/>
  <c r="R453" i="1"/>
  <c r="Q453" i="1"/>
  <c r="R452" i="1"/>
  <c r="Q452" i="1"/>
  <c r="R451" i="1"/>
  <c r="Q451" i="1"/>
  <c r="R450" i="1"/>
  <c r="Q450" i="1"/>
  <c r="R449" i="1"/>
  <c r="Q449" i="1"/>
  <c r="R448" i="1"/>
  <c r="Q448" i="1"/>
  <c r="R447" i="1"/>
  <c r="Q447" i="1"/>
  <c r="R446" i="1"/>
  <c r="Q446" i="1"/>
  <c r="R445" i="1"/>
  <c r="Q445" i="1"/>
  <c r="R444" i="1"/>
  <c r="Q444" i="1"/>
  <c r="R443" i="1"/>
  <c r="Q443" i="1"/>
  <c r="R442" i="1"/>
  <c r="Q442" i="1"/>
  <c r="R441" i="1"/>
  <c r="Q441" i="1"/>
  <c r="R440" i="1"/>
  <c r="Q440" i="1"/>
  <c r="R439" i="1"/>
  <c r="Q439" i="1"/>
  <c r="R438" i="1"/>
  <c r="Q438" i="1"/>
  <c r="R437" i="1"/>
  <c r="Q437" i="1"/>
  <c r="R436" i="1"/>
  <c r="Q436" i="1"/>
  <c r="R435" i="1"/>
  <c r="Q435" i="1"/>
  <c r="R434" i="1"/>
  <c r="Q434" i="1"/>
  <c r="R433" i="1"/>
  <c r="Q433" i="1"/>
  <c r="R432" i="1"/>
  <c r="Q432" i="1"/>
  <c r="R431" i="1"/>
  <c r="Q431" i="1"/>
  <c r="R430" i="1"/>
  <c r="Q430" i="1"/>
  <c r="R429" i="1"/>
  <c r="Q429" i="1"/>
  <c r="R428" i="1"/>
  <c r="Q428" i="1"/>
  <c r="R427" i="1"/>
  <c r="Q427" i="1"/>
  <c r="R426" i="1"/>
  <c r="Q426" i="1"/>
  <c r="R425" i="1"/>
  <c r="Q425" i="1"/>
  <c r="R424" i="1"/>
  <c r="Q424" i="1"/>
  <c r="R423" i="1"/>
  <c r="Q423" i="1"/>
  <c r="R422" i="1"/>
  <c r="Q422" i="1"/>
  <c r="R421" i="1"/>
  <c r="Q421" i="1"/>
  <c r="R420" i="1"/>
  <c r="Q420" i="1"/>
  <c r="R419" i="1"/>
  <c r="Q419" i="1"/>
  <c r="R418" i="1"/>
  <c r="Q418" i="1"/>
  <c r="R417" i="1"/>
  <c r="Q417" i="1"/>
  <c r="R416" i="1"/>
  <c r="Q416" i="1"/>
  <c r="R415" i="1"/>
  <c r="Q415" i="1"/>
  <c r="R414" i="1"/>
  <c r="Q414" i="1"/>
  <c r="R413" i="1"/>
  <c r="Q413" i="1"/>
  <c r="R412" i="1"/>
  <c r="Q412" i="1"/>
  <c r="R411" i="1"/>
  <c r="Q411" i="1"/>
  <c r="R410" i="1"/>
  <c r="Q410" i="1"/>
  <c r="R409" i="1"/>
  <c r="Q409" i="1"/>
  <c r="R408" i="1"/>
  <c r="Q408" i="1"/>
  <c r="R407" i="1"/>
  <c r="Q407" i="1"/>
  <c r="R406" i="1"/>
  <c r="Q406" i="1"/>
  <c r="R405" i="1"/>
  <c r="Q405" i="1"/>
  <c r="R404" i="1"/>
  <c r="Q404" i="1"/>
  <c r="R403" i="1"/>
  <c r="Q403" i="1"/>
  <c r="R402" i="1"/>
  <c r="Q402" i="1"/>
  <c r="R401" i="1"/>
  <c r="Q401" i="1"/>
  <c r="R400" i="1"/>
  <c r="Q400" i="1"/>
  <c r="R399" i="1"/>
  <c r="Q399" i="1"/>
  <c r="R398" i="1"/>
  <c r="Q398" i="1"/>
  <c r="R397" i="1"/>
  <c r="Q397" i="1"/>
  <c r="R396" i="1"/>
  <c r="Q396" i="1"/>
  <c r="R395" i="1"/>
  <c r="Q395" i="1"/>
  <c r="R394" i="1"/>
  <c r="Q394" i="1"/>
  <c r="R393" i="1"/>
  <c r="Q393" i="1"/>
  <c r="R392" i="1"/>
  <c r="Q392" i="1"/>
  <c r="R391" i="1"/>
  <c r="Q391" i="1"/>
  <c r="R390" i="1"/>
  <c r="Q390" i="1"/>
  <c r="R389" i="1"/>
  <c r="Q389" i="1"/>
  <c r="R388" i="1"/>
  <c r="Q388" i="1"/>
  <c r="R387" i="1"/>
  <c r="Q387" i="1"/>
  <c r="R386" i="1"/>
  <c r="Q386" i="1"/>
  <c r="R385" i="1"/>
  <c r="Q385" i="1"/>
  <c r="R384" i="1"/>
  <c r="Q384" i="1"/>
  <c r="R383" i="1"/>
  <c r="Q383" i="1"/>
  <c r="R382" i="1"/>
  <c r="Q382" i="1"/>
  <c r="R381" i="1"/>
  <c r="Q381" i="1"/>
  <c r="R380" i="1"/>
  <c r="Q380" i="1"/>
  <c r="R379" i="1"/>
  <c r="Q379" i="1"/>
  <c r="R378" i="1"/>
  <c r="Q378" i="1"/>
  <c r="R377" i="1"/>
  <c r="Q377" i="1"/>
  <c r="R376" i="1"/>
  <c r="Q376" i="1"/>
  <c r="R375" i="1"/>
  <c r="Q375" i="1"/>
  <c r="R374" i="1"/>
  <c r="Q374" i="1"/>
  <c r="R373" i="1"/>
  <c r="Q373" i="1"/>
  <c r="R372" i="1"/>
  <c r="Q372" i="1"/>
  <c r="R371" i="1"/>
  <c r="Q371" i="1"/>
  <c r="R370" i="1"/>
  <c r="Q370" i="1"/>
  <c r="R369" i="1"/>
  <c r="Q369" i="1"/>
  <c r="R368" i="1"/>
  <c r="Q368" i="1"/>
  <c r="R367" i="1"/>
  <c r="Q367" i="1"/>
  <c r="R366" i="1"/>
  <c r="Q366" i="1"/>
  <c r="R365" i="1"/>
  <c r="Q365" i="1"/>
  <c r="R364" i="1"/>
  <c r="Q364" i="1"/>
  <c r="R363" i="1"/>
  <c r="Q363" i="1"/>
  <c r="R362" i="1"/>
  <c r="Q362" i="1"/>
  <c r="R361" i="1"/>
  <c r="Q361" i="1"/>
  <c r="R360" i="1"/>
  <c r="Q360" i="1"/>
  <c r="R359" i="1"/>
  <c r="Q359" i="1"/>
  <c r="R358" i="1"/>
  <c r="Q358" i="1"/>
  <c r="R357" i="1"/>
  <c r="Q357" i="1"/>
  <c r="R356" i="1"/>
  <c r="Q356" i="1"/>
  <c r="R355" i="1"/>
  <c r="Q355" i="1"/>
  <c r="R354" i="1"/>
  <c r="Q354" i="1"/>
  <c r="R353" i="1"/>
  <c r="Q353" i="1"/>
  <c r="R352" i="1"/>
  <c r="Q352" i="1"/>
  <c r="R351" i="1"/>
  <c r="Q351" i="1"/>
  <c r="R350" i="1"/>
  <c r="Q350" i="1"/>
  <c r="R349" i="1"/>
  <c r="Q349" i="1"/>
  <c r="R348" i="1"/>
  <c r="Q348" i="1"/>
  <c r="R347" i="1"/>
  <c r="Q347" i="1"/>
  <c r="R346" i="1"/>
  <c r="Q346" i="1"/>
  <c r="R345" i="1"/>
  <c r="Q345" i="1"/>
  <c r="R344" i="1"/>
  <c r="Q344" i="1"/>
  <c r="R343" i="1"/>
  <c r="Q343" i="1"/>
  <c r="R342" i="1"/>
  <c r="Q342" i="1"/>
  <c r="R341" i="1"/>
  <c r="Q341" i="1"/>
  <c r="R340" i="1"/>
  <c r="Q340" i="1"/>
  <c r="R339" i="1"/>
  <c r="Q339" i="1"/>
  <c r="R338" i="1"/>
  <c r="Q338" i="1"/>
  <c r="R337" i="1"/>
  <c r="Q337" i="1"/>
  <c r="R336" i="1"/>
  <c r="Q336" i="1"/>
  <c r="R335" i="1"/>
  <c r="Q335" i="1"/>
  <c r="R334" i="1"/>
  <c r="Q334" i="1"/>
  <c r="R333" i="1"/>
  <c r="Q333" i="1"/>
  <c r="R332" i="1"/>
  <c r="Q332" i="1"/>
  <c r="R331" i="1"/>
  <c r="Q331" i="1"/>
  <c r="R330" i="1"/>
  <c r="Q330" i="1"/>
  <c r="R329" i="1"/>
  <c r="Q329" i="1"/>
  <c r="R328" i="1"/>
  <c r="Q328" i="1"/>
  <c r="R327" i="1"/>
  <c r="Q327" i="1"/>
  <c r="R326" i="1"/>
  <c r="Q326" i="1"/>
  <c r="R325" i="1"/>
  <c r="Q325" i="1"/>
  <c r="R324" i="1"/>
  <c r="Q324" i="1"/>
  <c r="R323" i="1"/>
  <c r="Q323" i="1"/>
  <c r="R322" i="1"/>
  <c r="Q322" i="1"/>
  <c r="R321" i="1"/>
  <c r="Q321" i="1"/>
  <c r="R320" i="1"/>
  <c r="Q320" i="1"/>
  <c r="R319" i="1"/>
  <c r="Q319" i="1"/>
  <c r="R318" i="1"/>
  <c r="Q318" i="1"/>
  <c r="R317" i="1"/>
  <c r="Q317" i="1"/>
  <c r="R316" i="1"/>
  <c r="Q316" i="1"/>
  <c r="R315" i="1"/>
  <c r="Q315" i="1"/>
  <c r="R314" i="1"/>
  <c r="Q314" i="1"/>
  <c r="R313" i="1"/>
  <c r="Q313" i="1"/>
  <c r="R312" i="1"/>
  <c r="Q312" i="1"/>
  <c r="R311" i="1"/>
  <c r="Q311" i="1"/>
  <c r="R310" i="1"/>
  <c r="Q310" i="1"/>
  <c r="R309" i="1"/>
  <c r="Q309" i="1"/>
  <c r="R308" i="1"/>
  <c r="Q308" i="1"/>
  <c r="R307" i="1"/>
  <c r="Q307" i="1"/>
  <c r="R306" i="1"/>
  <c r="Q306" i="1"/>
  <c r="R305" i="1"/>
  <c r="Q305" i="1"/>
  <c r="R304" i="1"/>
  <c r="Q304" i="1"/>
  <c r="R303" i="1"/>
  <c r="Q303" i="1"/>
  <c r="R302" i="1"/>
  <c r="Q302" i="1"/>
  <c r="R301" i="1"/>
  <c r="Q301" i="1"/>
  <c r="R300" i="1"/>
  <c r="Q300" i="1"/>
  <c r="R299" i="1"/>
  <c r="Q299" i="1"/>
  <c r="R298" i="1"/>
  <c r="Q298" i="1"/>
  <c r="R297" i="1"/>
  <c r="Q297" i="1"/>
  <c r="R296" i="1"/>
  <c r="Q296" i="1"/>
  <c r="R295" i="1"/>
  <c r="Q295" i="1"/>
  <c r="R294" i="1"/>
  <c r="Q294" i="1"/>
  <c r="R293" i="1"/>
  <c r="Q293" i="1"/>
  <c r="R292" i="1"/>
  <c r="Q292" i="1"/>
  <c r="R291" i="1"/>
  <c r="Q291" i="1"/>
  <c r="R290" i="1"/>
  <c r="Q290" i="1"/>
  <c r="R289" i="1"/>
  <c r="Q289" i="1"/>
  <c r="R288" i="1"/>
  <c r="Q288" i="1"/>
  <c r="R287" i="1"/>
  <c r="Q287" i="1"/>
  <c r="R286" i="1"/>
  <c r="Q286" i="1"/>
  <c r="R285" i="1"/>
  <c r="Q285" i="1"/>
  <c r="R284" i="1"/>
  <c r="Q284" i="1"/>
  <c r="R283" i="1"/>
  <c r="Q283" i="1"/>
  <c r="R282" i="1"/>
  <c r="Q282" i="1"/>
  <c r="R281" i="1"/>
  <c r="Q281" i="1"/>
  <c r="R280" i="1"/>
  <c r="Q280" i="1"/>
  <c r="R279" i="1"/>
  <c r="Q279" i="1"/>
  <c r="R278" i="1"/>
  <c r="Q278" i="1"/>
  <c r="R277" i="1"/>
  <c r="Q277" i="1"/>
  <c r="R276" i="1"/>
  <c r="Q276" i="1"/>
  <c r="R275" i="1"/>
  <c r="Q275" i="1"/>
  <c r="R274" i="1"/>
  <c r="Q274" i="1"/>
  <c r="R273" i="1"/>
  <c r="Q273" i="1"/>
  <c r="R272" i="1"/>
  <c r="Q272" i="1"/>
  <c r="R271" i="1"/>
  <c r="Q271" i="1"/>
  <c r="R270" i="1"/>
  <c r="Q270" i="1"/>
  <c r="R269" i="1"/>
  <c r="Q269" i="1"/>
  <c r="R268" i="1"/>
  <c r="Q268" i="1"/>
  <c r="R267" i="1"/>
  <c r="Q267" i="1"/>
  <c r="R266" i="1"/>
  <c r="Q266" i="1"/>
  <c r="R265" i="1"/>
  <c r="Q265" i="1"/>
  <c r="R264" i="1"/>
  <c r="Q264" i="1"/>
  <c r="R263" i="1"/>
  <c r="Q263" i="1"/>
  <c r="R262" i="1"/>
  <c r="Q262" i="1"/>
  <c r="R261" i="1"/>
  <c r="Q261" i="1"/>
  <c r="R260" i="1"/>
  <c r="Q260" i="1"/>
  <c r="R259" i="1"/>
  <c r="Q259" i="1"/>
  <c r="R258" i="1"/>
  <c r="Q258" i="1"/>
  <c r="R257" i="1"/>
  <c r="Q257" i="1"/>
  <c r="R256" i="1"/>
  <c r="Q256" i="1"/>
  <c r="R255" i="1"/>
  <c r="Q255" i="1"/>
  <c r="R254" i="1"/>
  <c r="Q254" i="1"/>
  <c r="R253" i="1"/>
  <c r="Q253" i="1"/>
  <c r="R252" i="1"/>
  <c r="Q252" i="1"/>
  <c r="R251" i="1"/>
  <c r="Q251" i="1"/>
  <c r="R250" i="1"/>
  <c r="Q250" i="1"/>
  <c r="R249" i="1"/>
  <c r="Q249" i="1"/>
  <c r="R248" i="1"/>
  <c r="Q248" i="1"/>
  <c r="R247" i="1"/>
  <c r="Q247" i="1"/>
  <c r="R246" i="1"/>
  <c r="Q246" i="1"/>
  <c r="R245" i="1"/>
  <c r="Q245" i="1"/>
  <c r="R244" i="1"/>
  <c r="Q244" i="1"/>
  <c r="R243" i="1"/>
  <c r="Q243" i="1"/>
  <c r="R242" i="1"/>
  <c r="Q242" i="1"/>
  <c r="R241" i="1"/>
  <c r="Q241" i="1"/>
  <c r="R240" i="1"/>
  <c r="Q240" i="1"/>
  <c r="R239" i="1"/>
  <c r="Q239" i="1"/>
  <c r="R238" i="1"/>
  <c r="Q238" i="1"/>
  <c r="R237" i="1"/>
  <c r="Q237" i="1"/>
  <c r="R236" i="1"/>
  <c r="Q236" i="1"/>
  <c r="R235" i="1"/>
  <c r="Q235" i="1"/>
  <c r="R234" i="1"/>
  <c r="Q234" i="1"/>
  <c r="R233" i="1"/>
  <c r="Q233" i="1"/>
  <c r="R232" i="1"/>
  <c r="Q232" i="1"/>
  <c r="R231" i="1"/>
  <c r="Q231" i="1"/>
  <c r="R230" i="1"/>
  <c r="Q230" i="1"/>
  <c r="R229" i="1"/>
  <c r="Q229" i="1"/>
  <c r="R228" i="1"/>
  <c r="Q228" i="1"/>
  <c r="R227" i="1"/>
  <c r="Q227" i="1"/>
  <c r="R226" i="1"/>
  <c r="Q226" i="1"/>
  <c r="R225" i="1"/>
  <c r="Q225" i="1"/>
  <c r="R224" i="1"/>
  <c r="Q224" i="1"/>
  <c r="R223" i="1"/>
  <c r="Q223" i="1"/>
  <c r="R222" i="1"/>
  <c r="Q222" i="1"/>
  <c r="R221" i="1"/>
  <c r="Q221" i="1"/>
  <c r="R220" i="1"/>
  <c r="Q220" i="1"/>
  <c r="R219" i="1"/>
  <c r="Q219" i="1"/>
  <c r="R218" i="1"/>
  <c r="Q218" i="1"/>
  <c r="R217" i="1"/>
  <c r="Q217" i="1"/>
  <c r="R216" i="1"/>
  <c r="Q216" i="1"/>
  <c r="R215" i="1"/>
  <c r="Q215" i="1"/>
  <c r="R214" i="1"/>
  <c r="Q214" i="1"/>
  <c r="R213" i="1"/>
  <c r="Q213" i="1"/>
  <c r="R212" i="1"/>
  <c r="Q212" i="1"/>
  <c r="R211" i="1"/>
  <c r="Q211" i="1"/>
  <c r="R210" i="1"/>
  <c r="Q210" i="1"/>
  <c r="R209" i="1"/>
  <c r="Q209" i="1"/>
  <c r="R208" i="1"/>
  <c r="Q208" i="1"/>
  <c r="R207" i="1"/>
  <c r="Q207" i="1"/>
  <c r="R206" i="1"/>
  <c r="Q206" i="1"/>
  <c r="R205" i="1"/>
  <c r="Q205" i="1"/>
  <c r="R204" i="1"/>
  <c r="Q204" i="1"/>
  <c r="R203" i="1"/>
  <c r="Q203" i="1"/>
  <c r="R202" i="1"/>
  <c r="Q202" i="1"/>
  <c r="R201" i="1"/>
  <c r="Q201" i="1"/>
  <c r="R200" i="1"/>
  <c r="Q200" i="1"/>
  <c r="R199" i="1"/>
  <c r="Q199" i="1"/>
  <c r="R198" i="1"/>
  <c r="Q198" i="1"/>
  <c r="R197" i="1"/>
  <c r="Q197" i="1"/>
  <c r="R196" i="1"/>
  <c r="Q196" i="1"/>
  <c r="R195" i="1"/>
  <c r="Q195" i="1"/>
  <c r="R194" i="1"/>
  <c r="Q194" i="1"/>
  <c r="R193" i="1"/>
  <c r="Q193" i="1"/>
  <c r="R192" i="1"/>
  <c r="Q192" i="1"/>
  <c r="R191" i="1"/>
  <c r="Q191" i="1"/>
  <c r="R190" i="1"/>
  <c r="Q190" i="1"/>
  <c r="R189" i="1"/>
  <c r="Q189" i="1"/>
  <c r="R188" i="1"/>
  <c r="Q188" i="1"/>
  <c r="R187" i="1"/>
  <c r="Q187" i="1"/>
  <c r="R186" i="1"/>
  <c r="Q186" i="1"/>
  <c r="R185" i="1"/>
  <c r="Q185" i="1"/>
  <c r="R184" i="1"/>
  <c r="Q184" i="1"/>
  <c r="R183" i="1"/>
  <c r="Q183" i="1"/>
  <c r="R182" i="1"/>
  <c r="Q182" i="1"/>
  <c r="R181" i="1"/>
  <c r="Q181" i="1"/>
  <c r="R180" i="1"/>
  <c r="Q180" i="1"/>
  <c r="R179" i="1"/>
  <c r="Q179" i="1"/>
  <c r="R178" i="1"/>
  <c r="Q178" i="1"/>
  <c r="R177" i="1"/>
  <c r="Q177" i="1"/>
  <c r="R176" i="1"/>
  <c r="Q176" i="1"/>
  <c r="R175" i="1"/>
  <c r="Q175" i="1"/>
  <c r="R174" i="1"/>
  <c r="Q174" i="1"/>
  <c r="R173" i="1"/>
  <c r="Q173" i="1"/>
  <c r="R172" i="1"/>
  <c r="Q172" i="1"/>
  <c r="R171" i="1"/>
  <c r="Q171" i="1"/>
  <c r="R170" i="1"/>
  <c r="Q170" i="1"/>
  <c r="R169" i="1"/>
  <c r="Q169" i="1"/>
  <c r="R168" i="1"/>
  <c r="Q168" i="1"/>
  <c r="R167" i="1"/>
  <c r="Q167" i="1"/>
  <c r="R166" i="1"/>
  <c r="Q166" i="1"/>
  <c r="R165" i="1"/>
  <c r="Q165" i="1"/>
  <c r="R164" i="1"/>
  <c r="Q164" i="1"/>
  <c r="R163" i="1"/>
  <c r="Q163" i="1"/>
  <c r="R162" i="1"/>
  <c r="Q162" i="1"/>
  <c r="R161" i="1"/>
  <c r="Q161" i="1"/>
  <c r="R160" i="1"/>
  <c r="Q160" i="1"/>
  <c r="R159" i="1"/>
  <c r="Q159" i="1"/>
  <c r="R158" i="1"/>
  <c r="Q158" i="1"/>
  <c r="R157" i="1"/>
  <c r="Q157" i="1"/>
  <c r="R156" i="1"/>
  <c r="Q156" i="1"/>
  <c r="R155" i="1"/>
  <c r="Q155" i="1"/>
  <c r="R154" i="1"/>
  <c r="Q154" i="1"/>
  <c r="R153" i="1"/>
  <c r="Q153" i="1"/>
  <c r="R152" i="1"/>
  <c r="Q152" i="1"/>
  <c r="R151" i="1"/>
  <c r="Q151" i="1"/>
  <c r="R150" i="1"/>
  <c r="Q150" i="1"/>
  <c r="R149" i="1"/>
  <c r="Q149" i="1"/>
  <c r="R148" i="1"/>
  <c r="Q148" i="1"/>
  <c r="R147" i="1"/>
  <c r="Q147" i="1"/>
  <c r="R146" i="1"/>
  <c r="Q146" i="1"/>
  <c r="R145" i="1"/>
  <c r="Q145" i="1"/>
  <c r="R144" i="1"/>
  <c r="Q144" i="1"/>
  <c r="R143" i="1"/>
  <c r="Q143" i="1"/>
  <c r="R142" i="1"/>
  <c r="Q142" i="1"/>
  <c r="R141" i="1"/>
  <c r="Q141" i="1"/>
  <c r="R140" i="1"/>
  <c r="Q140" i="1"/>
  <c r="R139" i="1"/>
  <c r="Q139" i="1"/>
  <c r="R138" i="1"/>
  <c r="Q138" i="1"/>
  <c r="R137" i="1"/>
  <c r="Q137" i="1"/>
  <c r="R136" i="1"/>
  <c r="Q136" i="1"/>
  <c r="R135" i="1"/>
  <c r="Q135" i="1"/>
  <c r="R134" i="1"/>
  <c r="Q134" i="1"/>
  <c r="R133" i="1"/>
  <c r="Q133" i="1"/>
  <c r="R132" i="1"/>
  <c r="Q132" i="1"/>
  <c r="R131" i="1"/>
  <c r="Q131" i="1"/>
  <c r="R130" i="1"/>
  <c r="Q130" i="1"/>
  <c r="R129" i="1"/>
  <c r="Q129" i="1"/>
  <c r="R128" i="1"/>
  <c r="Q128" i="1"/>
  <c r="R127" i="1"/>
  <c r="Q127" i="1"/>
  <c r="R126" i="1"/>
  <c r="Q126" i="1"/>
  <c r="R125" i="1"/>
  <c r="Q125" i="1"/>
  <c r="R124" i="1"/>
  <c r="Q124" i="1"/>
  <c r="R123" i="1"/>
  <c r="Q123" i="1"/>
  <c r="R122" i="1"/>
  <c r="Q122" i="1"/>
  <c r="R121" i="1"/>
  <c r="Q121" i="1"/>
  <c r="R120" i="1"/>
  <c r="Q120" i="1"/>
  <c r="R119" i="1"/>
  <c r="Q119" i="1"/>
  <c r="R118" i="1"/>
  <c r="Q118" i="1"/>
  <c r="R117" i="1"/>
  <c r="Q117" i="1"/>
  <c r="R116" i="1"/>
  <c r="Q116" i="1"/>
  <c r="R115" i="1"/>
  <c r="Q115" i="1"/>
  <c r="R114" i="1"/>
  <c r="Q114" i="1"/>
  <c r="R113" i="1"/>
  <c r="Q113" i="1"/>
  <c r="R112" i="1"/>
  <c r="Q112" i="1"/>
  <c r="R111" i="1"/>
  <c r="Q111" i="1"/>
  <c r="R110" i="1"/>
  <c r="Q110" i="1"/>
  <c r="R109" i="1"/>
  <c r="Q109" i="1"/>
  <c r="R108" i="1"/>
  <c r="Q108" i="1"/>
  <c r="R107" i="1"/>
  <c r="Q107" i="1"/>
  <c r="R106" i="1"/>
  <c r="Q106" i="1"/>
  <c r="R105" i="1"/>
  <c r="Q105" i="1"/>
  <c r="R104" i="1"/>
  <c r="Q104" i="1"/>
  <c r="R103" i="1"/>
  <c r="Q103" i="1"/>
  <c r="R102" i="1"/>
  <c r="Q102" i="1"/>
  <c r="R101" i="1"/>
  <c r="Q101" i="1"/>
  <c r="R100" i="1"/>
  <c r="Q100" i="1"/>
  <c r="R99" i="1"/>
  <c r="Q99" i="1"/>
  <c r="R98" i="1"/>
  <c r="Q98" i="1"/>
  <c r="R97" i="1"/>
  <c r="Q97" i="1"/>
  <c r="R96" i="1"/>
  <c r="Q96" i="1"/>
  <c r="R95" i="1"/>
  <c r="Q95" i="1"/>
  <c r="R94" i="1"/>
  <c r="Q94" i="1"/>
  <c r="R93" i="1"/>
  <c r="Q93" i="1"/>
  <c r="R92" i="1"/>
  <c r="Q92" i="1"/>
  <c r="R91" i="1"/>
  <c r="Q91" i="1"/>
  <c r="R90" i="1"/>
  <c r="Q90" i="1"/>
  <c r="R89" i="1"/>
  <c r="Q89" i="1"/>
  <c r="R88" i="1"/>
  <c r="Q88" i="1"/>
  <c r="R87" i="1"/>
  <c r="Q87" i="1"/>
  <c r="R86" i="1"/>
  <c r="Q86" i="1"/>
  <c r="R85" i="1"/>
  <c r="Q85" i="1"/>
  <c r="R84" i="1"/>
  <c r="Q84" i="1"/>
  <c r="R83" i="1"/>
  <c r="Q83" i="1"/>
  <c r="R82" i="1"/>
  <c r="Q82" i="1"/>
  <c r="R81" i="1"/>
  <c r="Q81" i="1"/>
  <c r="R80" i="1"/>
  <c r="Q80" i="1"/>
  <c r="R79" i="1"/>
  <c r="Q79" i="1"/>
  <c r="R78" i="1"/>
  <c r="Q78" i="1"/>
  <c r="R77" i="1"/>
  <c r="Q77" i="1"/>
  <c r="R76" i="1"/>
  <c r="Q76" i="1"/>
  <c r="R75" i="1"/>
  <c r="Q75" i="1"/>
  <c r="R74" i="1"/>
  <c r="Q74" i="1"/>
  <c r="R73" i="1"/>
  <c r="Q73" i="1"/>
  <c r="R72" i="1"/>
  <c r="Q72" i="1"/>
  <c r="R71" i="1"/>
  <c r="Q71" i="1"/>
  <c r="R70" i="1"/>
  <c r="Q70" i="1"/>
  <c r="R69" i="1"/>
  <c r="Q69" i="1"/>
  <c r="R68" i="1"/>
  <c r="Q68" i="1"/>
  <c r="R67" i="1"/>
  <c r="Q67" i="1"/>
  <c r="R66" i="1"/>
  <c r="Q66" i="1"/>
  <c r="R65" i="1"/>
  <c r="Q65" i="1"/>
  <c r="R64" i="1"/>
  <c r="Q64" i="1"/>
  <c r="R63" i="1"/>
  <c r="Q63" i="1"/>
  <c r="R62" i="1"/>
  <c r="Q62" i="1"/>
  <c r="R61" i="1"/>
  <c r="Q61" i="1"/>
  <c r="R60" i="1"/>
  <c r="Q60" i="1"/>
  <c r="R59" i="1"/>
  <c r="Q59" i="1"/>
  <c r="R58" i="1"/>
  <c r="Q58" i="1"/>
  <c r="R57" i="1"/>
  <c r="Q57" i="1"/>
  <c r="R56" i="1"/>
  <c r="Q56" i="1"/>
  <c r="R55" i="1"/>
  <c r="Q55" i="1"/>
  <c r="R54" i="1"/>
  <c r="Q54" i="1"/>
  <c r="R53" i="1"/>
  <c r="Q53" i="1"/>
  <c r="R52" i="1"/>
  <c r="Q52" i="1"/>
  <c r="R51" i="1"/>
  <c r="Q51" i="1"/>
  <c r="R50" i="1"/>
  <c r="Q50" i="1"/>
  <c r="R49" i="1"/>
  <c r="Q49" i="1"/>
  <c r="R48" i="1"/>
  <c r="Q48" i="1"/>
  <c r="R47" i="1"/>
  <c r="Q47" i="1"/>
  <c r="R46" i="1"/>
  <c r="Q46" i="1"/>
  <c r="R45" i="1"/>
  <c r="Q45" i="1"/>
  <c r="R44" i="1"/>
  <c r="Q44" i="1"/>
  <c r="R43" i="1"/>
  <c r="Q43" i="1"/>
  <c r="R42" i="1"/>
  <c r="Q42" i="1"/>
  <c r="R41" i="1"/>
  <c r="Q41" i="1"/>
  <c r="R40" i="1"/>
  <c r="Q40" i="1"/>
  <c r="R39" i="1"/>
  <c r="Q39" i="1"/>
  <c r="R38" i="1"/>
  <c r="Q38" i="1"/>
  <c r="R37" i="1"/>
  <c r="Q37" i="1"/>
  <c r="R36" i="1"/>
  <c r="Q36" i="1"/>
  <c r="R35" i="1"/>
  <c r="Q35" i="1"/>
  <c r="R34" i="1"/>
  <c r="Q34" i="1"/>
  <c r="R33" i="1"/>
  <c r="Q33" i="1"/>
  <c r="R32" i="1"/>
  <c r="Q32" i="1"/>
  <c r="R31" i="1"/>
  <c r="Q31" i="1"/>
  <c r="R30" i="1"/>
  <c r="Q30" i="1"/>
  <c r="R29" i="1"/>
  <c r="Q29" i="1"/>
  <c r="R28" i="1"/>
  <c r="Q28" i="1"/>
  <c r="R27" i="1"/>
  <c r="Q27" i="1"/>
  <c r="R26" i="1"/>
  <c r="Q26" i="1"/>
  <c r="R25" i="1"/>
  <c r="Q25" i="1"/>
  <c r="R24" i="1"/>
  <c r="Q24" i="1"/>
  <c r="R23" i="1"/>
  <c r="Q23" i="1"/>
  <c r="R22" i="1"/>
  <c r="Q22" i="1"/>
  <c r="R21" i="1"/>
  <c r="Q21" i="1"/>
  <c r="R20" i="1"/>
  <c r="Q20" i="1"/>
  <c r="R19" i="1"/>
  <c r="Q19" i="1"/>
  <c r="R18" i="1"/>
  <c r="Q18" i="1"/>
  <c r="R17" i="1"/>
  <c r="Q17" i="1"/>
  <c r="R16" i="1"/>
  <c r="Q16" i="1"/>
  <c r="R15" i="1"/>
  <c r="Q15" i="1"/>
  <c r="R14" i="1"/>
  <c r="Q14" i="1"/>
  <c r="R13" i="1"/>
  <c r="Q13" i="1"/>
  <c r="R12" i="1"/>
  <c r="Q12" i="1"/>
  <c r="R11" i="1"/>
  <c r="Q11" i="1"/>
  <c r="R10" i="1"/>
  <c r="Q10" i="1"/>
  <c r="R9" i="1"/>
  <c r="Q9" i="1"/>
  <c r="R8" i="1"/>
  <c r="Q8" i="1"/>
  <c r="R7" i="1"/>
  <c r="Q7" i="1"/>
  <c r="R6" i="1"/>
  <c r="Q6" i="1"/>
  <c r="R5" i="1"/>
  <c r="Q5" i="1"/>
  <c r="R4" i="1"/>
  <c r="Q4" i="1"/>
  <c r="R3" i="1"/>
  <c r="Q3" i="1"/>
  <c r="R2" i="1"/>
  <c r="Q2" i="1"/>
</calcChain>
</file>

<file path=xl/sharedStrings.xml><?xml version="1.0" encoding="utf-8"?>
<sst xmlns="http://schemas.openxmlformats.org/spreadsheetml/2006/main" count="20236" uniqueCount="2138">
  <si>
    <t>Student_ID</t>
  </si>
  <si>
    <t>Enrollment_Date</t>
  </si>
  <si>
    <t>Course</t>
  </si>
  <si>
    <t>Course_Category</t>
  </si>
  <si>
    <t>Course_Level</t>
  </si>
  <si>
    <t>Course_Fee_AED</t>
  </si>
  <si>
    <t>Terms_Completed</t>
  </si>
  <si>
    <t>Amount_Paid_AED</t>
  </si>
  <si>
    <t>Payment_Status</t>
  </si>
  <si>
    <t>Mode</t>
  </si>
  <si>
    <t>Branch</t>
  </si>
  <si>
    <t>Instructor_Name</t>
  </si>
  <si>
    <t>Nationality</t>
  </si>
  <si>
    <t>Completion_Status</t>
  </si>
  <si>
    <t>S10000</t>
  </si>
  <si>
    <t>Financial Accounting</t>
  </si>
  <si>
    <t>Finance</t>
  </si>
  <si>
    <t>Advanced</t>
  </si>
  <si>
    <t>Ongoing</t>
  </si>
  <si>
    <t>Hybrid</t>
  </si>
  <si>
    <t>Al Ain</t>
  </si>
  <si>
    <t>Ali Hassan</t>
  </si>
  <si>
    <t>Sri Lanka</t>
  </si>
  <si>
    <t>S10001</t>
  </si>
  <si>
    <t>Corporate Administration (ATCA)</t>
  </si>
  <si>
    <t>Administration</t>
  </si>
  <si>
    <t>Basic</t>
  </si>
  <si>
    <t>Ras Al Khaimah</t>
  </si>
  <si>
    <t>Lina George</t>
  </si>
  <si>
    <t>Philippines</t>
  </si>
  <si>
    <t>S10002</t>
  </si>
  <si>
    <t>Quantity Surveying (QS)</t>
  </si>
  <si>
    <t>Construction</t>
  </si>
  <si>
    <t>Cleared</t>
  </si>
  <si>
    <t>Noura Al Mansoori</t>
  </si>
  <si>
    <t>Jordan</t>
  </si>
  <si>
    <t>Completed</t>
  </si>
  <si>
    <t>S10003</t>
  </si>
  <si>
    <t>Digital Marketing</t>
  </si>
  <si>
    <t>Marketing</t>
  </si>
  <si>
    <t>Offline</t>
  </si>
  <si>
    <t>Abu Dhabi</t>
  </si>
  <si>
    <t>Sara Ahmed</t>
  </si>
  <si>
    <t>Pakistan</t>
  </si>
  <si>
    <t>S10004</t>
  </si>
  <si>
    <t>Logistics &amp; Supply Chain</t>
  </si>
  <si>
    <t>Logistics</t>
  </si>
  <si>
    <t>Dubai</t>
  </si>
  <si>
    <t>Omar Farooq</t>
  </si>
  <si>
    <t>India</t>
  </si>
  <si>
    <t>S10005</t>
  </si>
  <si>
    <t>Python for Data Analysis</t>
  </si>
  <si>
    <t>Programming</t>
  </si>
  <si>
    <t>Maria Joseph</t>
  </si>
  <si>
    <t>S10006</t>
  </si>
  <si>
    <t>SAP FICO</t>
  </si>
  <si>
    <t>ERP</t>
  </si>
  <si>
    <t>Online</t>
  </si>
  <si>
    <t>Egypt</t>
  </si>
  <si>
    <t>S10007</t>
  </si>
  <si>
    <t>Ajman</t>
  </si>
  <si>
    <t>Hassan Ali</t>
  </si>
  <si>
    <t>S10008</t>
  </si>
  <si>
    <t>Sharjah</t>
  </si>
  <si>
    <t>Nigeria</t>
  </si>
  <si>
    <t>S10009</t>
  </si>
  <si>
    <t>SAP MM</t>
  </si>
  <si>
    <t>S10010</t>
  </si>
  <si>
    <t>Nepal</t>
  </si>
  <si>
    <t>S10011</t>
  </si>
  <si>
    <t>Aisha Rahman</t>
  </si>
  <si>
    <t>UAE</t>
  </si>
  <si>
    <t>S10012</t>
  </si>
  <si>
    <t>Zain Rahman</t>
  </si>
  <si>
    <t>S10013</t>
  </si>
  <si>
    <t>AI Generalist</t>
  </si>
  <si>
    <t>AI</t>
  </si>
  <si>
    <t>S10014</t>
  </si>
  <si>
    <t>S10015</t>
  </si>
  <si>
    <t>Yusuf Kareem</t>
  </si>
  <si>
    <t>S10016</t>
  </si>
  <si>
    <t>S10017</t>
  </si>
  <si>
    <t>Cyber Security</t>
  </si>
  <si>
    <t>IT Security</t>
  </si>
  <si>
    <t>S10018</t>
  </si>
  <si>
    <t>S10019</t>
  </si>
  <si>
    <t>Khalid Omar</t>
  </si>
  <si>
    <t>Bangladesh</t>
  </si>
  <si>
    <t>S10020</t>
  </si>
  <si>
    <t>S10021</t>
  </si>
  <si>
    <t>Fatima Noor</t>
  </si>
  <si>
    <t>S10022</t>
  </si>
  <si>
    <t>Data Analytics</t>
  </si>
  <si>
    <t>Analytics</t>
  </si>
  <si>
    <t>S10023</t>
  </si>
  <si>
    <t>John Mathew</t>
  </si>
  <si>
    <t>S10024</t>
  </si>
  <si>
    <t>S10025</t>
  </si>
  <si>
    <t>S10026</t>
  </si>
  <si>
    <t>S10027</t>
  </si>
  <si>
    <t>UAE VAT &amp; Taxation</t>
  </si>
  <si>
    <t>Tax</t>
  </si>
  <si>
    <t>S10028</t>
  </si>
  <si>
    <t>S10029</t>
  </si>
  <si>
    <t>S10030</t>
  </si>
  <si>
    <t>S10031</t>
  </si>
  <si>
    <t>Project Management</t>
  </si>
  <si>
    <t>Management</t>
  </si>
  <si>
    <t>S10032</t>
  </si>
  <si>
    <t>S10033</t>
  </si>
  <si>
    <t>S10034</t>
  </si>
  <si>
    <t>S10035</t>
  </si>
  <si>
    <t>S10036</t>
  </si>
  <si>
    <t>Power BI &amp; Business Intelligence</t>
  </si>
  <si>
    <t>S10037</t>
  </si>
  <si>
    <t>S10038</t>
  </si>
  <si>
    <t>Ahmed Khan</t>
  </si>
  <si>
    <t>S10039</t>
  </si>
  <si>
    <t>S10040</t>
  </si>
  <si>
    <t>S10041</t>
  </si>
  <si>
    <t>S10042</t>
  </si>
  <si>
    <t>S10043</t>
  </si>
  <si>
    <t>S10044</t>
  </si>
  <si>
    <t>S10045</t>
  </si>
  <si>
    <t>S10046</t>
  </si>
  <si>
    <t>S10047</t>
  </si>
  <si>
    <t>S10048</t>
  </si>
  <si>
    <t>S10049</t>
  </si>
  <si>
    <t>S10050</t>
  </si>
  <si>
    <t>S10051</t>
  </si>
  <si>
    <t>S10052</t>
  </si>
  <si>
    <t>S10053</t>
  </si>
  <si>
    <t>S10054</t>
  </si>
  <si>
    <t>S10055</t>
  </si>
  <si>
    <t>S10056</t>
  </si>
  <si>
    <t>S10057</t>
  </si>
  <si>
    <t>S10058</t>
  </si>
  <si>
    <t>S10059</t>
  </si>
  <si>
    <t>S10060</t>
  </si>
  <si>
    <t>S10061</t>
  </si>
  <si>
    <t>S10062</t>
  </si>
  <si>
    <t>S10063</t>
  </si>
  <si>
    <t>S10064</t>
  </si>
  <si>
    <t>S10065</t>
  </si>
  <si>
    <t>S10066</t>
  </si>
  <si>
    <t>S10067</t>
  </si>
  <si>
    <t>S10068</t>
  </si>
  <si>
    <t>S10069</t>
  </si>
  <si>
    <t>S10070</t>
  </si>
  <si>
    <t>S10071</t>
  </si>
  <si>
    <t>S10072</t>
  </si>
  <si>
    <t>S10073</t>
  </si>
  <si>
    <t>S10074</t>
  </si>
  <si>
    <t>S10075</t>
  </si>
  <si>
    <t>Daniel George</t>
  </si>
  <si>
    <t>S10076</t>
  </si>
  <si>
    <t>S10077</t>
  </si>
  <si>
    <t>S10078</t>
  </si>
  <si>
    <t>S10079</t>
  </si>
  <si>
    <t>S10080</t>
  </si>
  <si>
    <t>S10081</t>
  </si>
  <si>
    <t>S10082</t>
  </si>
  <si>
    <t>S10083</t>
  </si>
  <si>
    <t>S10084</t>
  </si>
  <si>
    <t>S10085</t>
  </si>
  <si>
    <t>S10086</t>
  </si>
  <si>
    <t>S10087</t>
  </si>
  <si>
    <t>S10088</t>
  </si>
  <si>
    <t>S10089</t>
  </si>
  <si>
    <t>S10090</t>
  </si>
  <si>
    <t>S10091</t>
  </si>
  <si>
    <t>S10092</t>
  </si>
  <si>
    <t>S10093</t>
  </si>
  <si>
    <t>S10094</t>
  </si>
  <si>
    <t>S10095</t>
  </si>
  <si>
    <t>S10096</t>
  </si>
  <si>
    <t>S10097</t>
  </si>
  <si>
    <t>S10098</t>
  </si>
  <si>
    <t>S10099</t>
  </si>
  <si>
    <t>S10100</t>
  </si>
  <si>
    <t>S10101</t>
  </si>
  <si>
    <t>S10102</t>
  </si>
  <si>
    <t>S10103</t>
  </si>
  <si>
    <t>S10104</t>
  </si>
  <si>
    <t>S10105</t>
  </si>
  <si>
    <t>S10106</t>
  </si>
  <si>
    <t>S10107</t>
  </si>
  <si>
    <t>S10108</t>
  </si>
  <si>
    <t>S10109</t>
  </si>
  <si>
    <t>S10110</t>
  </si>
  <si>
    <t>S10111</t>
  </si>
  <si>
    <t>S10112</t>
  </si>
  <si>
    <t>S10113</t>
  </si>
  <si>
    <t>S10114</t>
  </si>
  <si>
    <t>S10115</t>
  </si>
  <si>
    <t>S10116</t>
  </si>
  <si>
    <t>S10117</t>
  </si>
  <si>
    <t>S10118</t>
  </si>
  <si>
    <t>S10119</t>
  </si>
  <si>
    <t>S10120</t>
  </si>
  <si>
    <t>S10121</t>
  </si>
  <si>
    <t>S10122</t>
  </si>
  <si>
    <t>S10123</t>
  </si>
  <si>
    <t>S10124</t>
  </si>
  <si>
    <t>S10125</t>
  </si>
  <si>
    <t>S10126</t>
  </si>
  <si>
    <t>S10127</t>
  </si>
  <si>
    <t>S10128</t>
  </si>
  <si>
    <t>S10129</t>
  </si>
  <si>
    <t>S10130</t>
  </si>
  <si>
    <t>S10131</t>
  </si>
  <si>
    <t>S10132</t>
  </si>
  <si>
    <t>S10133</t>
  </si>
  <si>
    <t>S10134</t>
  </si>
  <si>
    <t>S10135</t>
  </si>
  <si>
    <t>S10136</t>
  </si>
  <si>
    <t>S10137</t>
  </si>
  <si>
    <t>S10138</t>
  </si>
  <si>
    <t>S10139</t>
  </si>
  <si>
    <t>S10140</t>
  </si>
  <si>
    <t>S10141</t>
  </si>
  <si>
    <t>S10142</t>
  </si>
  <si>
    <t>S10143</t>
  </si>
  <si>
    <t>S10144</t>
  </si>
  <si>
    <t>S10145</t>
  </si>
  <si>
    <t>S10146</t>
  </si>
  <si>
    <t>S10147</t>
  </si>
  <si>
    <t>S10148</t>
  </si>
  <si>
    <t>S10149</t>
  </si>
  <si>
    <t>S10150</t>
  </si>
  <si>
    <t>S10151</t>
  </si>
  <si>
    <t>S10152</t>
  </si>
  <si>
    <t>S10153</t>
  </si>
  <si>
    <t>S10154</t>
  </si>
  <si>
    <t>S10155</t>
  </si>
  <si>
    <t>S10156</t>
  </si>
  <si>
    <t>S10157</t>
  </si>
  <si>
    <t>S10158</t>
  </si>
  <si>
    <t>S10159</t>
  </si>
  <si>
    <t>S10160</t>
  </si>
  <si>
    <t>S10161</t>
  </si>
  <si>
    <t>S10162</t>
  </si>
  <si>
    <t>S10163</t>
  </si>
  <si>
    <t>S10164</t>
  </si>
  <si>
    <t>S10165</t>
  </si>
  <si>
    <t>S10166</t>
  </si>
  <si>
    <t>S10167</t>
  </si>
  <si>
    <t>S10168</t>
  </si>
  <si>
    <t>S10169</t>
  </si>
  <si>
    <t>S10170</t>
  </si>
  <si>
    <t>S10171</t>
  </si>
  <si>
    <t>S10172</t>
  </si>
  <si>
    <t>S10173</t>
  </si>
  <si>
    <t>S10174</t>
  </si>
  <si>
    <t>S10175</t>
  </si>
  <si>
    <t>S10176</t>
  </si>
  <si>
    <t>S10177</t>
  </si>
  <si>
    <t>S10178</t>
  </si>
  <si>
    <t>S10179</t>
  </si>
  <si>
    <t>S10180</t>
  </si>
  <si>
    <t>S10181</t>
  </si>
  <si>
    <t>S10182</t>
  </si>
  <si>
    <t>S10183</t>
  </si>
  <si>
    <t>S10184</t>
  </si>
  <si>
    <t>S10185</t>
  </si>
  <si>
    <t>S10186</t>
  </si>
  <si>
    <t>S10187</t>
  </si>
  <si>
    <t>S10188</t>
  </si>
  <si>
    <t>S10189</t>
  </si>
  <si>
    <t>S10190</t>
  </si>
  <si>
    <t>S10191</t>
  </si>
  <si>
    <t>S10192</t>
  </si>
  <si>
    <t>S10193</t>
  </si>
  <si>
    <t>S10194</t>
  </si>
  <si>
    <t>S10195</t>
  </si>
  <si>
    <t>S10196</t>
  </si>
  <si>
    <t>S10197</t>
  </si>
  <si>
    <t>S10198</t>
  </si>
  <si>
    <t>S10199</t>
  </si>
  <si>
    <t>S10200</t>
  </si>
  <si>
    <t>S10201</t>
  </si>
  <si>
    <t>S10202</t>
  </si>
  <si>
    <t>S10203</t>
  </si>
  <si>
    <t>S10204</t>
  </si>
  <si>
    <t>S10205</t>
  </si>
  <si>
    <t>S10206</t>
  </si>
  <si>
    <t>S10207</t>
  </si>
  <si>
    <t>S10208</t>
  </si>
  <si>
    <t>S10209</t>
  </si>
  <si>
    <t>S10210</t>
  </si>
  <si>
    <t>S10211</t>
  </si>
  <si>
    <t>S10212</t>
  </si>
  <si>
    <t>S10213</t>
  </si>
  <si>
    <t>S10214</t>
  </si>
  <si>
    <t>S10215</t>
  </si>
  <si>
    <t>S10216</t>
  </si>
  <si>
    <t>S10217</t>
  </si>
  <si>
    <t>S10218</t>
  </si>
  <si>
    <t>S10219</t>
  </si>
  <si>
    <t>S10220</t>
  </si>
  <si>
    <t>S10221</t>
  </si>
  <si>
    <t>S10222</t>
  </si>
  <si>
    <t>S10223</t>
  </si>
  <si>
    <t>S10224</t>
  </si>
  <si>
    <t>S10225</t>
  </si>
  <si>
    <t>S10226</t>
  </si>
  <si>
    <t>S10227</t>
  </si>
  <si>
    <t>S10228</t>
  </si>
  <si>
    <t>S10229</t>
  </si>
  <si>
    <t>S10230</t>
  </si>
  <si>
    <t>S10231</t>
  </si>
  <si>
    <t>S10232</t>
  </si>
  <si>
    <t>S10233</t>
  </si>
  <si>
    <t>S10234</t>
  </si>
  <si>
    <t>S10235</t>
  </si>
  <si>
    <t>S10236</t>
  </si>
  <si>
    <t>S10237</t>
  </si>
  <si>
    <t>S10238</t>
  </si>
  <si>
    <t>S10239</t>
  </si>
  <si>
    <t>S10240</t>
  </si>
  <si>
    <t>S10241</t>
  </si>
  <si>
    <t>S10242</t>
  </si>
  <si>
    <t>S10243</t>
  </si>
  <si>
    <t>S10244</t>
  </si>
  <si>
    <t>S10245</t>
  </si>
  <si>
    <t>S10246</t>
  </si>
  <si>
    <t>S10247</t>
  </si>
  <si>
    <t>S10248</t>
  </si>
  <si>
    <t>S10249</t>
  </si>
  <si>
    <t>S10250</t>
  </si>
  <si>
    <t>S10251</t>
  </si>
  <si>
    <t>S10252</t>
  </si>
  <si>
    <t>S10253</t>
  </si>
  <si>
    <t>S10254</t>
  </si>
  <si>
    <t>S10255</t>
  </si>
  <si>
    <t>S10256</t>
  </si>
  <si>
    <t>S10257</t>
  </si>
  <si>
    <t>S10258</t>
  </si>
  <si>
    <t>S10259</t>
  </si>
  <si>
    <t>S10260</t>
  </si>
  <si>
    <t>S10261</t>
  </si>
  <si>
    <t>S10262</t>
  </si>
  <si>
    <t>S10263</t>
  </si>
  <si>
    <t>S10264</t>
  </si>
  <si>
    <t>S10265</t>
  </si>
  <si>
    <t>S10266</t>
  </si>
  <si>
    <t>S10267</t>
  </si>
  <si>
    <t>S10268</t>
  </si>
  <si>
    <t>S10269</t>
  </si>
  <si>
    <t>S10270</t>
  </si>
  <si>
    <t>S10271</t>
  </si>
  <si>
    <t>S10272</t>
  </si>
  <si>
    <t>S10273</t>
  </si>
  <si>
    <t>S10274</t>
  </si>
  <si>
    <t>S10275</t>
  </si>
  <si>
    <t>S10276</t>
  </si>
  <si>
    <t>S10277</t>
  </si>
  <si>
    <t>S10278</t>
  </si>
  <si>
    <t>S10279</t>
  </si>
  <si>
    <t>S10280</t>
  </si>
  <si>
    <t>S10281</t>
  </si>
  <si>
    <t>S10282</t>
  </si>
  <si>
    <t>S10283</t>
  </si>
  <si>
    <t>S10284</t>
  </si>
  <si>
    <t>S10285</t>
  </si>
  <si>
    <t>S10286</t>
  </si>
  <si>
    <t>S10287</t>
  </si>
  <si>
    <t>S10288</t>
  </si>
  <si>
    <t>S10289</t>
  </si>
  <si>
    <t>S10290</t>
  </si>
  <si>
    <t>S10291</t>
  </si>
  <si>
    <t>S10292</t>
  </si>
  <si>
    <t>S10293</t>
  </si>
  <si>
    <t>S10294</t>
  </si>
  <si>
    <t>S10295</t>
  </si>
  <si>
    <t>S10296</t>
  </si>
  <si>
    <t>S10297</t>
  </si>
  <si>
    <t>S10298</t>
  </si>
  <si>
    <t>S10299</t>
  </si>
  <si>
    <t>S10300</t>
  </si>
  <si>
    <t>S10301</t>
  </si>
  <si>
    <t>S10302</t>
  </si>
  <si>
    <t>S10303</t>
  </si>
  <si>
    <t>S10304</t>
  </si>
  <si>
    <t>S10305</t>
  </si>
  <si>
    <t>S10306</t>
  </si>
  <si>
    <t>S10307</t>
  </si>
  <si>
    <t>S10308</t>
  </si>
  <si>
    <t>S10309</t>
  </si>
  <si>
    <t>S10310</t>
  </si>
  <si>
    <t>S10311</t>
  </si>
  <si>
    <t>S10312</t>
  </si>
  <si>
    <t>S10313</t>
  </si>
  <si>
    <t>S10314</t>
  </si>
  <si>
    <t>S10315</t>
  </si>
  <si>
    <t>S10316</t>
  </si>
  <si>
    <t>S10317</t>
  </si>
  <si>
    <t>S10318</t>
  </si>
  <si>
    <t>S10319</t>
  </si>
  <si>
    <t>S10320</t>
  </si>
  <si>
    <t>S10321</t>
  </si>
  <si>
    <t>S10322</t>
  </si>
  <si>
    <t>S10323</t>
  </si>
  <si>
    <t>S10324</t>
  </si>
  <si>
    <t>S10325</t>
  </si>
  <si>
    <t>S10326</t>
  </si>
  <si>
    <t>S10327</t>
  </si>
  <si>
    <t>S10328</t>
  </si>
  <si>
    <t>S10329</t>
  </si>
  <si>
    <t>S10330</t>
  </si>
  <si>
    <t>S10331</t>
  </si>
  <si>
    <t>S10332</t>
  </si>
  <si>
    <t>S10333</t>
  </si>
  <si>
    <t>S10334</t>
  </si>
  <si>
    <t>S10335</t>
  </si>
  <si>
    <t>S10336</t>
  </si>
  <si>
    <t>S10337</t>
  </si>
  <si>
    <t>S10338</t>
  </si>
  <si>
    <t>S10339</t>
  </si>
  <si>
    <t>S10340</t>
  </si>
  <si>
    <t>S10341</t>
  </si>
  <si>
    <t>S10342</t>
  </si>
  <si>
    <t>S10343</t>
  </si>
  <si>
    <t>S10344</t>
  </si>
  <si>
    <t>S10345</t>
  </si>
  <si>
    <t>S10346</t>
  </si>
  <si>
    <t>S10347</t>
  </si>
  <si>
    <t>S10348</t>
  </si>
  <si>
    <t>S10349</t>
  </si>
  <si>
    <t>S10350</t>
  </si>
  <si>
    <t>S10351</t>
  </si>
  <si>
    <t>S10352</t>
  </si>
  <si>
    <t>S10353</t>
  </si>
  <si>
    <t>S10354</t>
  </si>
  <si>
    <t>S10355</t>
  </si>
  <si>
    <t>S10356</t>
  </si>
  <si>
    <t>S10357</t>
  </si>
  <si>
    <t>S10358</t>
  </si>
  <si>
    <t>S10359</t>
  </si>
  <si>
    <t>S10360</t>
  </si>
  <si>
    <t>S10361</t>
  </si>
  <si>
    <t>S10362</t>
  </si>
  <si>
    <t>S10363</t>
  </si>
  <si>
    <t>S10364</t>
  </si>
  <si>
    <t>S10365</t>
  </si>
  <si>
    <t>S10366</t>
  </si>
  <si>
    <t>S10367</t>
  </si>
  <si>
    <t>S10368</t>
  </si>
  <si>
    <t>S10369</t>
  </si>
  <si>
    <t>S10370</t>
  </si>
  <si>
    <t>S10371</t>
  </si>
  <si>
    <t>S10372</t>
  </si>
  <si>
    <t>S10373</t>
  </si>
  <si>
    <t>S10374</t>
  </si>
  <si>
    <t>S10375</t>
  </si>
  <si>
    <t>S10376</t>
  </si>
  <si>
    <t>S10377</t>
  </si>
  <si>
    <t>S10378</t>
  </si>
  <si>
    <t>S10379</t>
  </si>
  <si>
    <t>S10380</t>
  </si>
  <si>
    <t>S10381</t>
  </si>
  <si>
    <t>S10382</t>
  </si>
  <si>
    <t>S10383</t>
  </si>
  <si>
    <t>S10384</t>
  </si>
  <si>
    <t>S10385</t>
  </si>
  <si>
    <t>S10386</t>
  </si>
  <si>
    <t>S10387</t>
  </si>
  <si>
    <t>S10388</t>
  </si>
  <si>
    <t>S10389</t>
  </si>
  <si>
    <t>S10390</t>
  </si>
  <si>
    <t>S10391</t>
  </si>
  <si>
    <t>S10392</t>
  </si>
  <si>
    <t>S10393</t>
  </si>
  <si>
    <t>S10394</t>
  </si>
  <si>
    <t>S10395</t>
  </si>
  <si>
    <t>S10396</t>
  </si>
  <si>
    <t>S10397</t>
  </si>
  <si>
    <t>S10398</t>
  </si>
  <si>
    <t>S10399</t>
  </si>
  <si>
    <t>S10400</t>
  </si>
  <si>
    <t>S10401</t>
  </si>
  <si>
    <t>S10402</t>
  </si>
  <si>
    <t>S10403</t>
  </si>
  <si>
    <t>S10404</t>
  </si>
  <si>
    <t>S10405</t>
  </si>
  <si>
    <t>S10406</t>
  </si>
  <si>
    <t>S10407</t>
  </si>
  <si>
    <t>S10408</t>
  </si>
  <si>
    <t>S10409</t>
  </si>
  <si>
    <t>S10410</t>
  </si>
  <si>
    <t>S10411</t>
  </si>
  <si>
    <t>S10412</t>
  </si>
  <si>
    <t>S10413</t>
  </si>
  <si>
    <t>S10414</t>
  </si>
  <si>
    <t>S10415</t>
  </si>
  <si>
    <t>S10416</t>
  </si>
  <si>
    <t>S10417</t>
  </si>
  <si>
    <t>S10418</t>
  </si>
  <si>
    <t>S10419</t>
  </si>
  <si>
    <t>S10420</t>
  </si>
  <si>
    <t>S10421</t>
  </si>
  <si>
    <t>S10422</t>
  </si>
  <si>
    <t>S10423</t>
  </si>
  <si>
    <t>S10424</t>
  </si>
  <si>
    <t>S10425</t>
  </si>
  <si>
    <t>S10426</t>
  </si>
  <si>
    <t>S10427</t>
  </si>
  <si>
    <t>S10428</t>
  </si>
  <si>
    <t>S10429</t>
  </si>
  <si>
    <t>S10430</t>
  </si>
  <si>
    <t>S10431</t>
  </si>
  <si>
    <t>S10432</t>
  </si>
  <si>
    <t>S10433</t>
  </si>
  <si>
    <t>S10434</t>
  </si>
  <si>
    <t>S10435</t>
  </si>
  <si>
    <t>S10436</t>
  </si>
  <si>
    <t>S10437</t>
  </si>
  <si>
    <t>S10438</t>
  </si>
  <si>
    <t>S10439</t>
  </si>
  <si>
    <t>S10440</t>
  </si>
  <si>
    <t>S10441</t>
  </si>
  <si>
    <t>S10442</t>
  </si>
  <si>
    <t>S10443</t>
  </si>
  <si>
    <t>S10444</t>
  </si>
  <si>
    <t>S10445</t>
  </si>
  <si>
    <t>S10446</t>
  </si>
  <si>
    <t>S10447</t>
  </si>
  <si>
    <t>S10448</t>
  </si>
  <si>
    <t>S10449</t>
  </si>
  <si>
    <t>S10450</t>
  </si>
  <si>
    <t>S10451</t>
  </si>
  <si>
    <t>S10452</t>
  </si>
  <si>
    <t>S10453</t>
  </si>
  <si>
    <t>S10454</t>
  </si>
  <si>
    <t>S10455</t>
  </si>
  <si>
    <t>S10456</t>
  </si>
  <si>
    <t>S10457</t>
  </si>
  <si>
    <t>S10458</t>
  </si>
  <si>
    <t>S10459</t>
  </si>
  <si>
    <t>S10460</t>
  </si>
  <si>
    <t>S10461</t>
  </si>
  <si>
    <t>S10462</t>
  </si>
  <si>
    <t>S10463</t>
  </si>
  <si>
    <t>S10464</t>
  </si>
  <si>
    <t>S10465</t>
  </si>
  <si>
    <t>S10466</t>
  </si>
  <si>
    <t>S10467</t>
  </si>
  <si>
    <t>S10468</t>
  </si>
  <si>
    <t>S10469</t>
  </si>
  <si>
    <t>S10470</t>
  </si>
  <si>
    <t>S10471</t>
  </si>
  <si>
    <t>S10472</t>
  </si>
  <si>
    <t>S10473</t>
  </si>
  <si>
    <t>S10474</t>
  </si>
  <si>
    <t>S10475</t>
  </si>
  <si>
    <t>S10476</t>
  </si>
  <si>
    <t>S10477</t>
  </si>
  <si>
    <t>S10478</t>
  </si>
  <si>
    <t>S10479</t>
  </si>
  <si>
    <t>S10480</t>
  </si>
  <si>
    <t>S10481</t>
  </si>
  <si>
    <t>S10482</t>
  </si>
  <si>
    <t>S10483</t>
  </si>
  <si>
    <t>S10484</t>
  </si>
  <si>
    <t>S10485</t>
  </si>
  <si>
    <t>S10486</t>
  </si>
  <si>
    <t>S10487</t>
  </si>
  <si>
    <t>S10488</t>
  </si>
  <si>
    <t>S10489</t>
  </si>
  <si>
    <t>S10490</t>
  </si>
  <si>
    <t>S10491</t>
  </si>
  <si>
    <t>S10492</t>
  </si>
  <si>
    <t>S10493</t>
  </si>
  <si>
    <t>S10494</t>
  </si>
  <si>
    <t>S10495</t>
  </si>
  <si>
    <t>S10496</t>
  </si>
  <si>
    <t>S10497</t>
  </si>
  <si>
    <t>S10498</t>
  </si>
  <si>
    <t>S10499</t>
  </si>
  <si>
    <t>S10500</t>
  </si>
  <si>
    <t>S10501</t>
  </si>
  <si>
    <t>S10502</t>
  </si>
  <si>
    <t>S10503</t>
  </si>
  <si>
    <t>S10504</t>
  </si>
  <si>
    <t>S10505</t>
  </si>
  <si>
    <t>S10506</t>
  </si>
  <si>
    <t>S10507</t>
  </si>
  <si>
    <t>S10508</t>
  </si>
  <si>
    <t>S10509</t>
  </si>
  <si>
    <t>S10510</t>
  </si>
  <si>
    <t>S10511</t>
  </si>
  <si>
    <t>S10512</t>
  </si>
  <si>
    <t>S10513</t>
  </si>
  <si>
    <t>S10514</t>
  </si>
  <si>
    <t>S10515</t>
  </si>
  <si>
    <t>S10516</t>
  </si>
  <si>
    <t>S10517</t>
  </si>
  <si>
    <t>S10518</t>
  </si>
  <si>
    <t>S10519</t>
  </si>
  <si>
    <t>S10520</t>
  </si>
  <si>
    <t>S10521</t>
  </si>
  <si>
    <t>S10522</t>
  </si>
  <si>
    <t>S10523</t>
  </si>
  <si>
    <t>S10524</t>
  </si>
  <si>
    <t>S10525</t>
  </si>
  <si>
    <t>S10526</t>
  </si>
  <si>
    <t>S10527</t>
  </si>
  <si>
    <t>S10528</t>
  </si>
  <si>
    <t>S10529</t>
  </si>
  <si>
    <t>S10530</t>
  </si>
  <si>
    <t>S10531</t>
  </si>
  <si>
    <t>S10532</t>
  </si>
  <si>
    <t>S10533</t>
  </si>
  <si>
    <t>S10534</t>
  </si>
  <si>
    <t>S10535</t>
  </si>
  <si>
    <t>S10536</t>
  </si>
  <si>
    <t>S10537</t>
  </si>
  <si>
    <t>S10538</t>
  </si>
  <si>
    <t>S10539</t>
  </si>
  <si>
    <t>S10540</t>
  </si>
  <si>
    <t>S10541</t>
  </si>
  <si>
    <t>S10542</t>
  </si>
  <si>
    <t>S10543</t>
  </si>
  <si>
    <t>S10544</t>
  </si>
  <si>
    <t>S10545</t>
  </si>
  <si>
    <t>S10546</t>
  </si>
  <si>
    <t>S10547</t>
  </si>
  <si>
    <t>S10548</t>
  </si>
  <si>
    <t>S10549</t>
  </si>
  <si>
    <t>S10550</t>
  </si>
  <si>
    <t>S10551</t>
  </si>
  <si>
    <t>S10552</t>
  </si>
  <si>
    <t>S10553</t>
  </si>
  <si>
    <t>S10554</t>
  </si>
  <si>
    <t>S10555</t>
  </si>
  <si>
    <t>S10556</t>
  </si>
  <si>
    <t>S10557</t>
  </si>
  <si>
    <t>S10558</t>
  </si>
  <si>
    <t>S10559</t>
  </si>
  <si>
    <t>S10560</t>
  </si>
  <si>
    <t>S10561</t>
  </si>
  <si>
    <t>S10562</t>
  </si>
  <si>
    <t>S10563</t>
  </si>
  <si>
    <t>S10564</t>
  </si>
  <si>
    <t>S10565</t>
  </si>
  <si>
    <t>S10566</t>
  </si>
  <si>
    <t>S10567</t>
  </si>
  <si>
    <t>S10568</t>
  </si>
  <si>
    <t>S10569</t>
  </si>
  <si>
    <t>S10570</t>
  </si>
  <si>
    <t>S10571</t>
  </si>
  <si>
    <t>S10572</t>
  </si>
  <si>
    <t>S10573</t>
  </si>
  <si>
    <t>S10574</t>
  </si>
  <si>
    <t>S10575</t>
  </si>
  <si>
    <t>S10576</t>
  </si>
  <si>
    <t>S10577</t>
  </si>
  <si>
    <t>S10578</t>
  </si>
  <si>
    <t>S10579</t>
  </si>
  <si>
    <t>S10580</t>
  </si>
  <si>
    <t>S10581</t>
  </si>
  <si>
    <t>S10582</t>
  </si>
  <si>
    <t>S10583</t>
  </si>
  <si>
    <t>S10584</t>
  </si>
  <si>
    <t>S10585</t>
  </si>
  <si>
    <t>S10586</t>
  </si>
  <si>
    <t>S10587</t>
  </si>
  <si>
    <t>S10588</t>
  </si>
  <si>
    <t>S10589</t>
  </si>
  <si>
    <t>S10590</t>
  </si>
  <si>
    <t>S10591</t>
  </si>
  <si>
    <t>S10592</t>
  </si>
  <si>
    <t>S10593</t>
  </si>
  <si>
    <t>S10594</t>
  </si>
  <si>
    <t>S10595</t>
  </si>
  <si>
    <t>S10596</t>
  </si>
  <si>
    <t>S10597</t>
  </si>
  <si>
    <t>S10598</t>
  </si>
  <si>
    <t>S10599</t>
  </si>
  <si>
    <t>S10600</t>
  </si>
  <si>
    <t>S10601</t>
  </si>
  <si>
    <t>S10602</t>
  </si>
  <si>
    <t>S10603</t>
  </si>
  <si>
    <t>S10604</t>
  </si>
  <si>
    <t>S10605</t>
  </si>
  <si>
    <t>S10606</t>
  </si>
  <si>
    <t>S10607</t>
  </si>
  <si>
    <t>S10608</t>
  </si>
  <si>
    <t>S10609</t>
  </si>
  <si>
    <t>S10610</t>
  </si>
  <si>
    <t>S10611</t>
  </si>
  <si>
    <t>S10612</t>
  </si>
  <si>
    <t>S10613</t>
  </si>
  <si>
    <t>S10614</t>
  </si>
  <si>
    <t>S10615</t>
  </si>
  <si>
    <t>S10616</t>
  </si>
  <si>
    <t>S10617</t>
  </si>
  <si>
    <t>S10618</t>
  </si>
  <si>
    <t>S10619</t>
  </si>
  <si>
    <t>S10620</t>
  </si>
  <si>
    <t>S10621</t>
  </si>
  <si>
    <t>S10622</t>
  </si>
  <si>
    <t>S10623</t>
  </si>
  <si>
    <t>S10624</t>
  </si>
  <si>
    <t>S10625</t>
  </si>
  <si>
    <t>S10626</t>
  </si>
  <si>
    <t>S10627</t>
  </si>
  <si>
    <t>S10628</t>
  </si>
  <si>
    <t>S10629</t>
  </si>
  <si>
    <t>S10630</t>
  </si>
  <si>
    <t>S10631</t>
  </si>
  <si>
    <t>S10632</t>
  </si>
  <si>
    <t>S10633</t>
  </si>
  <si>
    <t>S10634</t>
  </si>
  <si>
    <t>S10635</t>
  </si>
  <si>
    <t>S10636</t>
  </si>
  <si>
    <t>S10637</t>
  </si>
  <si>
    <t>S10638</t>
  </si>
  <si>
    <t>S10639</t>
  </si>
  <si>
    <t>S10640</t>
  </si>
  <si>
    <t>S10641</t>
  </si>
  <si>
    <t>S10642</t>
  </si>
  <si>
    <t>S10643</t>
  </si>
  <si>
    <t>S10644</t>
  </si>
  <si>
    <t>S10645</t>
  </si>
  <si>
    <t>S10646</t>
  </si>
  <si>
    <t>S10647</t>
  </si>
  <si>
    <t>S10648</t>
  </si>
  <si>
    <t>S10649</t>
  </si>
  <si>
    <t>S10650</t>
  </si>
  <si>
    <t>S10651</t>
  </si>
  <si>
    <t>S10652</t>
  </si>
  <si>
    <t>S10653</t>
  </si>
  <si>
    <t>S10654</t>
  </si>
  <si>
    <t>S10655</t>
  </si>
  <si>
    <t>S10656</t>
  </si>
  <si>
    <t>S10657</t>
  </si>
  <si>
    <t>S10658</t>
  </si>
  <si>
    <t>S10659</t>
  </si>
  <si>
    <t>S10660</t>
  </si>
  <si>
    <t>S10661</t>
  </si>
  <si>
    <t>S10662</t>
  </si>
  <si>
    <t>S10663</t>
  </si>
  <si>
    <t>S10664</t>
  </si>
  <si>
    <t>S10665</t>
  </si>
  <si>
    <t>S10666</t>
  </si>
  <si>
    <t>S10667</t>
  </si>
  <si>
    <t>S10668</t>
  </si>
  <si>
    <t>S10669</t>
  </si>
  <si>
    <t>S10670</t>
  </si>
  <si>
    <t>S10671</t>
  </si>
  <si>
    <t>S10672</t>
  </si>
  <si>
    <t>S10673</t>
  </si>
  <si>
    <t>S10674</t>
  </si>
  <si>
    <t>S10675</t>
  </si>
  <si>
    <t>S10676</t>
  </si>
  <si>
    <t>S10677</t>
  </si>
  <si>
    <t>S10678</t>
  </si>
  <si>
    <t>S10679</t>
  </si>
  <si>
    <t>S10680</t>
  </si>
  <si>
    <t>S10681</t>
  </si>
  <si>
    <t>S10682</t>
  </si>
  <si>
    <t>S10683</t>
  </si>
  <si>
    <t>S10684</t>
  </si>
  <si>
    <t>S10685</t>
  </si>
  <si>
    <t>S10686</t>
  </si>
  <si>
    <t>S10687</t>
  </si>
  <si>
    <t>S10688</t>
  </si>
  <si>
    <t>S10689</t>
  </si>
  <si>
    <t>S10690</t>
  </si>
  <si>
    <t>S10691</t>
  </si>
  <si>
    <t>S10692</t>
  </si>
  <si>
    <t>S10693</t>
  </si>
  <si>
    <t>S10694</t>
  </si>
  <si>
    <t>S10695</t>
  </si>
  <si>
    <t>S10696</t>
  </si>
  <si>
    <t>S10697</t>
  </si>
  <si>
    <t>S10698</t>
  </si>
  <si>
    <t>S10699</t>
  </si>
  <si>
    <t>S10700</t>
  </si>
  <si>
    <t>S10701</t>
  </si>
  <si>
    <t>S10702</t>
  </si>
  <si>
    <t>S10703</t>
  </si>
  <si>
    <t>S10704</t>
  </si>
  <si>
    <t>S10705</t>
  </si>
  <si>
    <t>S10706</t>
  </si>
  <si>
    <t>S10707</t>
  </si>
  <si>
    <t>S10708</t>
  </si>
  <si>
    <t>S10709</t>
  </si>
  <si>
    <t>S10710</t>
  </si>
  <si>
    <t>S10711</t>
  </si>
  <si>
    <t>S10712</t>
  </si>
  <si>
    <t>S10713</t>
  </si>
  <si>
    <t>S10714</t>
  </si>
  <si>
    <t>S10715</t>
  </si>
  <si>
    <t>S10716</t>
  </si>
  <si>
    <t>S10717</t>
  </si>
  <si>
    <t>S10718</t>
  </si>
  <si>
    <t>S10719</t>
  </si>
  <si>
    <t>S10720</t>
  </si>
  <si>
    <t>S10721</t>
  </si>
  <si>
    <t>S10722</t>
  </si>
  <si>
    <t>S10723</t>
  </si>
  <si>
    <t>S10724</t>
  </si>
  <si>
    <t>S10725</t>
  </si>
  <si>
    <t>S10726</t>
  </si>
  <si>
    <t>S10727</t>
  </si>
  <si>
    <t>S10728</t>
  </si>
  <si>
    <t>S10729</t>
  </si>
  <si>
    <t>S10730</t>
  </si>
  <si>
    <t>S10731</t>
  </si>
  <si>
    <t>S10732</t>
  </si>
  <si>
    <t>S10733</t>
  </si>
  <si>
    <t>S10734</t>
  </si>
  <si>
    <t>S10735</t>
  </si>
  <si>
    <t>S10736</t>
  </si>
  <si>
    <t>S10737</t>
  </si>
  <si>
    <t>S10738</t>
  </si>
  <si>
    <t>S10739</t>
  </si>
  <si>
    <t>S10740</t>
  </si>
  <si>
    <t>S10741</t>
  </si>
  <si>
    <t>S10742</t>
  </si>
  <si>
    <t>S10743</t>
  </si>
  <si>
    <t>S10744</t>
  </si>
  <si>
    <t>S10745</t>
  </si>
  <si>
    <t>S10746</t>
  </si>
  <si>
    <t>S10747</t>
  </si>
  <si>
    <t>S10748</t>
  </si>
  <si>
    <t>S10749</t>
  </si>
  <si>
    <t>S10750</t>
  </si>
  <si>
    <t>S10751</t>
  </si>
  <si>
    <t>S10752</t>
  </si>
  <si>
    <t>S10753</t>
  </si>
  <si>
    <t>S10754</t>
  </si>
  <si>
    <t>S10755</t>
  </si>
  <si>
    <t>S10756</t>
  </si>
  <si>
    <t>S10757</t>
  </si>
  <si>
    <t>S10758</t>
  </si>
  <si>
    <t>S10759</t>
  </si>
  <si>
    <t>S10760</t>
  </si>
  <si>
    <t>S10761</t>
  </si>
  <si>
    <t>S10762</t>
  </si>
  <si>
    <t>S10763</t>
  </si>
  <si>
    <t>S10764</t>
  </si>
  <si>
    <t>S10765</t>
  </si>
  <si>
    <t>S10766</t>
  </si>
  <si>
    <t>S10767</t>
  </si>
  <si>
    <t>S10768</t>
  </si>
  <si>
    <t>S10769</t>
  </si>
  <si>
    <t>S10770</t>
  </si>
  <si>
    <t>S10771</t>
  </si>
  <si>
    <t>S10772</t>
  </si>
  <si>
    <t>S10773</t>
  </si>
  <si>
    <t>S10774</t>
  </si>
  <si>
    <t>S10775</t>
  </si>
  <si>
    <t>S10776</t>
  </si>
  <si>
    <t>S10777</t>
  </si>
  <si>
    <t>S10778</t>
  </si>
  <si>
    <t>S10779</t>
  </si>
  <si>
    <t>S10780</t>
  </si>
  <si>
    <t>S10781</t>
  </si>
  <si>
    <t>S10782</t>
  </si>
  <si>
    <t>S10783</t>
  </si>
  <si>
    <t>S10784</t>
  </si>
  <si>
    <t>S10785</t>
  </si>
  <si>
    <t>S10786</t>
  </si>
  <si>
    <t>S10787</t>
  </si>
  <si>
    <t>S10788</t>
  </si>
  <si>
    <t>S10789</t>
  </si>
  <si>
    <t>S10790</t>
  </si>
  <si>
    <t>S10791</t>
  </si>
  <si>
    <t>S10792</t>
  </si>
  <si>
    <t>S10793</t>
  </si>
  <si>
    <t>S10794</t>
  </si>
  <si>
    <t>S10795</t>
  </si>
  <si>
    <t>S10796</t>
  </si>
  <si>
    <t>S10797</t>
  </si>
  <si>
    <t>S10798</t>
  </si>
  <si>
    <t>S10799</t>
  </si>
  <si>
    <t>S10800</t>
  </si>
  <si>
    <t>S10801</t>
  </si>
  <si>
    <t>S10802</t>
  </si>
  <si>
    <t>S10803</t>
  </si>
  <si>
    <t>S10804</t>
  </si>
  <si>
    <t>S10805</t>
  </si>
  <si>
    <t>S10806</t>
  </si>
  <si>
    <t>S10807</t>
  </si>
  <si>
    <t>S10808</t>
  </si>
  <si>
    <t>S10809</t>
  </si>
  <si>
    <t>S10810</t>
  </si>
  <si>
    <t>S10811</t>
  </si>
  <si>
    <t>S10812</t>
  </si>
  <si>
    <t>S10813</t>
  </si>
  <si>
    <t>S10814</t>
  </si>
  <si>
    <t>S10815</t>
  </si>
  <si>
    <t>S10816</t>
  </si>
  <si>
    <t>S10817</t>
  </si>
  <si>
    <t>S10818</t>
  </si>
  <si>
    <t>S10819</t>
  </si>
  <si>
    <t>S10820</t>
  </si>
  <si>
    <t>S10821</t>
  </si>
  <si>
    <t>S10822</t>
  </si>
  <si>
    <t>S10823</t>
  </si>
  <si>
    <t>S10824</t>
  </si>
  <si>
    <t>S10825</t>
  </si>
  <si>
    <t>S10826</t>
  </si>
  <si>
    <t>S10827</t>
  </si>
  <si>
    <t>S10828</t>
  </si>
  <si>
    <t>S10829</t>
  </si>
  <si>
    <t>S10830</t>
  </si>
  <si>
    <t>S10831</t>
  </si>
  <si>
    <t>S10832</t>
  </si>
  <si>
    <t>S10833</t>
  </si>
  <si>
    <t>S10834</t>
  </si>
  <si>
    <t>S10835</t>
  </si>
  <si>
    <t>S10836</t>
  </si>
  <si>
    <t>S10837</t>
  </si>
  <si>
    <t>S10838</t>
  </si>
  <si>
    <t>S10839</t>
  </si>
  <si>
    <t>S10840</t>
  </si>
  <si>
    <t>S10841</t>
  </si>
  <si>
    <t>S10842</t>
  </si>
  <si>
    <t>S10843</t>
  </si>
  <si>
    <t>S10844</t>
  </si>
  <si>
    <t>S10845</t>
  </si>
  <si>
    <t>S10846</t>
  </si>
  <si>
    <t>S10847</t>
  </si>
  <si>
    <t>S10848</t>
  </si>
  <si>
    <t>S10849</t>
  </si>
  <si>
    <t>S10850</t>
  </si>
  <si>
    <t>S10851</t>
  </si>
  <si>
    <t>S10852</t>
  </si>
  <si>
    <t>S10853</t>
  </si>
  <si>
    <t>S10854</t>
  </si>
  <si>
    <t>S10855</t>
  </si>
  <si>
    <t>S10856</t>
  </si>
  <si>
    <t>S10857</t>
  </si>
  <si>
    <t>S10858</t>
  </si>
  <si>
    <t>S10859</t>
  </si>
  <si>
    <t>S10860</t>
  </si>
  <si>
    <t>S10861</t>
  </si>
  <si>
    <t>S10862</t>
  </si>
  <si>
    <t>S10863</t>
  </si>
  <si>
    <t>S10864</t>
  </si>
  <si>
    <t>S10865</t>
  </si>
  <si>
    <t>S10866</t>
  </si>
  <si>
    <t>S10867</t>
  </si>
  <si>
    <t>S10868</t>
  </si>
  <si>
    <t>S10869</t>
  </si>
  <si>
    <t>S10870</t>
  </si>
  <si>
    <t>S10871</t>
  </si>
  <si>
    <t>S10872</t>
  </si>
  <si>
    <t>S10873</t>
  </si>
  <si>
    <t>S10874</t>
  </si>
  <si>
    <t>S10875</t>
  </si>
  <si>
    <t>S10876</t>
  </si>
  <si>
    <t>S10877</t>
  </si>
  <si>
    <t>S10878</t>
  </si>
  <si>
    <t>S10879</t>
  </si>
  <si>
    <t>S10880</t>
  </si>
  <si>
    <t>S10881</t>
  </si>
  <si>
    <t>S10882</t>
  </si>
  <si>
    <t>S10883</t>
  </si>
  <si>
    <t>S10884</t>
  </si>
  <si>
    <t>S10885</t>
  </si>
  <si>
    <t>S10886</t>
  </si>
  <si>
    <t>S10887</t>
  </si>
  <si>
    <t>S10888</t>
  </si>
  <si>
    <t>S10889</t>
  </si>
  <si>
    <t>S10890</t>
  </si>
  <si>
    <t>S10891</t>
  </si>
  <si>
    <t>S10892</t>
  </si>
  <si>
    <t>S10893</t>
  </si>
  <si>
    <t>S10894</t>
  </si>
  <si>
    <t>S10895</t>
  </si>
  <si>
    <t>S10896</t>
  </si>
  <si>
    <t>S10897</t>
  </si>
  <si>
    <t>S10898</t>
  </si>
  <si>
    <t>S10899</t>
  </si>
  <si>
    <t>S10900</t>
  </si>
  <si>
    <t>S10901</t>
  </si>
  <si>
    <t>S10902</t>
  </si>
  <si>
    <t>S10903</t>
  </si>
  <si>
    <t>S10904</t>
  </si>
  <si>
    <t>S10905</t>
  </si>
  <si>
    <t>S10906</t>
  </si>
  <si>
    <t>S10907</t>
  </si>
  <si>
    <t>S10908</t>
  </si>
  <si>
    <t>S10909</t>
  </si>
  <si>
    <t>S10910</t>
  </si>
  <si>
    <t>S10911</t>
  </si>
  <si>
    <t>S10912</t>
  </si>
  <si>
    <t>S10913</t>
  </si>
  <si>
    <t>S10914</t>
  </si>
  <si>
    <t>S10915</t>
  </si>
  <si>
    <t>S10916</t>
  </si>
  <si>
    <t>S10917</t>
  </si>
  <si>
    <t>S10918</t>
  </si>
  <si>
    <t>S10919</t>
  </si>
  <si>
    <t>S10920</t>
  </si>
  <si>
    <t>S10921</t>
  </si>
  <si>
    <t>S10922</t>
  </si>
  <si>
    <t>S10923</t>
  </si>
  <si>
    <t>S10924</t>
  </si>
  <si>
    <t>S10925</t>
  </si>
  <si>
    <t>S10926</t>
  </si>
  <si>
    <t>S10927</t>
  </si>
  <si>
    <t>S10928</t>
  </si>
  <si>
    <t>S10929</t>
  </si>
  <si>
    <t>S10930</t>
  </si>
  <si>
    <t>S10931</t>
  </si>
  <si>
    <t>S10932</t>
  </si>
  <si>
    <t>S10933</t>
  </si>
  <si>
    <t>S10934</t>
  </si>
  <si>
    <t>S10935</t>
  </si>
  <si>
    <t>S10936</t>
  </si>
  <si>
    <t>S10937</t>
  </si>
  <si>
    <t>S10938</t>
  </si>
  <si>
    <t>S10939</t>
  </si>
  <si>
    <t>S10940</t>
  </si>
  <si>
    <t>S10941</t>
  </si>
  <si>
    <t>S10942</t>
  </si>
  <si>
    <t>S10943</t>
  </si>
  <si>
    <t>S10944</t>
  </si>
  <si>
    <t>S10945</t>
  </si>
  <si>
    <t>S10946</t>
  </si>
  <si>
    <t>S10947</t>
  </si>
  <si>
    <t>S10948</t>
  </si>
  <si>
    <t>S10949</t>
  </si>
  <si>
    <t>S10950</t>
  </si>
  <si>
    <t>S10951</t>
  </si>
  <si>
    <t>S10952</t>
  </si>
  <si>
    <t>S10953</t>
  </si>
  <si>
    <t>S10954</t>
  </si>
  <si>
    <t>S10955</t>
  </si>
  <si>
    <t>S10956</t>
  </si>
  <si>
    <t>S10957</t>
  </si>
  <si>
    <t>S10958</t>
  </si>
  <si>
    <t>S10959</t>
  </si>
  <si>
    <t>S10960</t>
  </si>
  <si>
    <t>S10961</t>
  </si>
  <si>
    <t>S10962</t>
  </si>
  <si>
    <t>S10963</t>
  </si>
  <si>
    <t>S10964</t>
  </si>
  <si>
    <t>S10965</t>
  </si>
  <si>
    <t>S10966</t>
  </si>
  <si>
    <t>S10967</t>
  </si>
  <si>
    <t>S10968</t>
  </si>
  <si>
    <t>S10969</t>
  </si>
  <si>
    <t>S10970</t>
  </si>
  <si>
    <t>S10971</t>
  </si>
  <si>
    <t>S10972</t>
  </si>
  <si>
    <t>S10973</t>
  </si>
  <si>
    <t>S10974</t>
  </si>
  <si>
    <t>S10975</t>
  </si>
  <si>
    <t>S10976</t>
  </si>
  <si>
    <t>S10977</t>
  </si>
  <si>
    <t>S10978</t>
  </si>
  <si>
    <t>S10979</t>
  </si>
  <si>
    <t>S10980</t>
  </si>
  <si>
    <t>S10981</t>
  </si>
  <si>
    <t>S10982</t>
  </si>
  <si>
    <t>S10983</t>
  </si>
  <si>
    <t>S10984</t>
  </si>
  <si>
    <t>S10985</t>
  </si>
  <si>
    <t>S10986</t>
  </si>
  <si>
    <t>S10987</t>
  </si>
  <si>
    <t>S10988</t>
  </si>
  <si>
    <t>S10989</t>
  </si>
  <si>
    <t>S10990</t>
  </si>
  <si>
    <t>S10991</t>
  </si>
  <si>
    <t>S10992</t>
  </si>
  <si>
    <t>S10993</t>
  </si>
  <si>
    <t>S10994</t>
  </si>
  <si>
    <t>S10995</t>
  </si>
  <si>
    <t>S10996</t>
  </si>
  <si>
    <t>S10997</t>
  </si>
  <si>
    <t>S10998</t>
  </si>
  <si>
    <t>S10999</t>
  </si>
  <si>
    <t>S11000</t>
  </si>
  <si>
    <t>S11001</t>
  </si>
  <si>
    <t>S11002</t>
  </si>
  <si>
    <t>S11003</t>
  </si>
  <si>
    <t>S11004</t>
  </si>
  <si>
    <t>S11005</t>
  </si>
  <si>
    <t>S11006</t>
  </si>
  <si>
    <t>S11007</t>
  </si>
  <si>
    <t>S11008</t>
  </si>
  <si>
    <t>S11009</t>
  </si>
  <si>
    <t>S11010</t>
  </si>
  <si>
    <t>S11011</t>
  </si>
  <si>
    <t>S11012</t>
  </si>
  <si>
    <t>S11013</t>
  </si>
  <si>
    <t>S11014</t>
  </si>
  <si>
    <t>S11015</t>
  </si>
  <si>
    <t>S11016</t>
  </si>
  <si>
    <t>S11017</t>
  </si>
  <si>
    <t>S11018</t>
  </si>
  <si>
    <t>S11019</t>
  </si>
  <si>
    <t>S11020</t>
  </si>
  <si>
    <t>S11021</t>
  </si>
  <si>
    <t>S11022</t>
  </si>
  <si>
    <t>S11023</t>
  </si>
  <si>
    <t>S11024</t>
  </si>
  <si>
    <t>S11025</t>
  </si>
  <si>
    <t>S11026</t>
  </si>
  <si>
    <t>S11027</t>
  </si>
  <si>
    <t>S11028</t>
  </si>
  <si>
    <t>S11029</t>
  </si>
  <si>
    <t>S11030</t>
  </si>
  <si>
    <t>S11031</t>
  </si>
  <si>
    <t>S11032</t>
  </si>
  <si>
    <t>S11033</t>
  </si>
  <si>
    <t>S11034</t>
  </si>
  <si>
    <t>S11035</t>
  </si>
  <si>
    <t>S11036</t>
  </si>
  <si>
    <t>S11037</t>
  </si>
  <si>
    <t>S11038</t>
  </si>
  <si>
    <t>S11039</t>
  </si>
  <si>
    <t>S11040</t>
  </si>
  <si>
    <t>S11041</t>
  </si>
  <si>
    <t>S11042</t>
  </si>
  <si>
    <t>S11043</t>
  </si>
  <si>
    <t>S11044</t>
  </si>
  <si>
    <t>S11045</t>
  </si>
  <si>
    <t>S11046</t>
  </si>
  <si>
    <t>S11047</t>
  </si>
  <si>
    <t>S11048</t>
  </si>
  <si>
    <t>S11049</t>
  </si>
  <si>
    <t>S11050</t>
  </si>
  <si>
    <t>S11051</t>
  </si>
  <si>
    <t>S11052</t>
  </si>
  <si>
    <t>S11053</t>
  </si>
  <si>
    <t>S11054</t>
  </si>
  <si>
    <t>S11055</t>
  </si>
  <si>
    <t>S11056</t>
  </si>
  <si>
    <t>S11057</t>
  </si>
  <si>
    <t>S11058</t>
  </si>
  <si>
    <t>S11059</t>
  </si>
  <si>
    <t>S11060</t>
  </si>
  <si>
    <t>S11061</t>
  </si>
  <si>
    <t>S11062</t>
  </si>
  <si>
    <t>S11063</t>
  </si>
  <si>
    <t>S11064</t>
  </si>
  <si>
    <t>S11065</t>
  </si>
  <si>
    <t>S11066</t>
  </si>
  <si>
    <t>S11067</t>
  </si>
  <si>
    <t>S11068</t>
  </si>
  <si>
    <t>S11069</t>
  </si>
  <si>
    <t>S11070</t>
  </si>
  <si>
    <t>S11071</t>
  </si>
  <si>
    <t>S11072</t>
  </si>
  <si>
    <t>S11073</t>
  </si>
  <si>
    <t>S11074</t>
  </si>
  <si>
    <t>S11075</t>
  </si>
  <si>
    <t>S11076</t>
  </si>
  <si>
    <t>S11077</t>
  </si>
  <si>
    <t>S11078</t>
  </si>
  <si>
    <t>S11079</t>
  </si>
  <si>
    <t>S11080</t>
  </si>
  <si>
    <t>S11081</t>
  </si>
  <si>
    <t>S11082</t>
  </si>
  <si>
    <t>S11083</t>
  </si>
  <si>
    <t>S11084</t>
  </si>
  <si>
    <t>S11085</t>
  </si>
  <si>
    <t>S11086</t>
  </si>
  <si>
    <t>S11087</t>
  </si>
  <si>
    <t>S11088</t>
  </si>
  <si>
    <t>S11089</t>
  </si>
  <si>
    <t>S11090</t>
  </si>
  <si>
    <t>S11091</t>
  </si>
  <si>
    <t>S11092</t>
  </si>
  <si>
    <t>S11093</t>
  </si>
  <si>
    <t>S11094</t>
  </si>
  <si>
    <t>S11095</t>
  </si>
  <si>
    <t>S11096</t>
  </si>
  <si>
    <t>S11097</t>
  </si>
  <si>
    <t>S11098</t>
  </si>
  <si>
    <t>S11099</t>
  </si>
  <si>
    <t>S11100</t>
  </si>
  <si>
    <t>S11101</t>
  </si>
  <si>
    <t>S11102</t>
  </si>
  <si>
    <t>S11103</t>
  </si>
  <si>
    <t>S11104</t>
  </si>
  <si>
    <t>S11105</t>
  </si>
  <si>
    <t>S11106</t>
  </si>
  <si>
    <t>S11107</t>
  </si>
  <si>
    <t>S11108</t>
  </si>
  <si>
    <t>S11109</t>
  </si>
  <si>
    <t>S11110</t>
  </si>
  <si>
    <t>S11111</t>
  </si>
  <si>
    <t>S11112</t>
  </si>
  <si>
    <t>S11113</t>
  </si>
  <si>
    <t>S11114</t>
  </si>
  <si>
    <t>S11115</t>
  </si>
  <si>
    <t>S11116</t>
  </si>
  <si>
    <t>S11117</t>
  </si>
  <si>
    <t>S11118</t>
  </si>
  <si>
    <t>S11119</t>
  </si>
  <si>
    <t>S11120</t>
  </si>
  <si>
    <t>S11121</t>
  </si>
  <si>
    <t>S11122</t>
  </si>
  <si>
    <t>S11123</t>
  </si>
  <si>
    <t>S11124</t>
  </si>
  <si>
    <t>S11125</t>
  </si>
  <si>
    <t>S11126</t>
  </si>
  <si>
    <t>S11127</t>
  </si>
  <si>
    <t>S11128</t>
  </si>
  <si>
    <t>S11129</t>
  </si>
  <si>
    <t>S11130</t>
  </si>
  <si>
    <t>S11131</t>
  </si>
  <si>
    <t>S11132</t>
  </si>
  <si>
    <t>S11133</t>
  </si>
  <si>
    <t>S11134</t>
  </si>
  <si>
    <t>S11135</t>
  </si>
  <si>
    <t>S11136</t>
  </si>
  <si>
    <t>S11137</t>
  </si>
  <si>
    <t>S11138</t>
  </si>
  <si>
    <t>S11139</t>
  </si>
  <si>
    <t>S11140</t>
  </si>
  <si>
    <t>S11141</t>
  </si>
  <si>
    <t>S11142</t>
  </si>
  <si>
    <t>S11143</t>
  </si>
  <si>
    <t>S11144</t>
  </si>
  <si>
    <t>S11145</t>
  </si>
  <si>
    <t>S11146</t>
  </si>
  <si>
    <t>S11147</t>
  </si>
  <si>
    <t>S11148</t>
  </si>
  <si>
    <t>S11149</t>
  </si>
  <si>
    <t>S11150</t>
  </si>
  <si>
    <t>S11151</t>
  </si>
  <si>
    <t>S11152</t>
  </si>
  <si>
    <t>S11153</t>
  </si>
  <si>
    <t>S11154</t>
  </si>
  <si>
    <t>S11155</t>
  </si>
  <si>
    <t>S11156</t>
  </si>
  <si>
    <t>S11157</t>
  </si>
  <si>
    <t>S11158</t>
  </si>
  <si>
    <t>S11159</t>
  </si>
  <si>
    <t>S11160</t>
  </si>
  <si>
    <t>S11161</t>
  </si>
  <si>
    <t>S11162</t>
  </si>
  <si>
    <t>S11163</t>
  </si>
  <si>
    <t>S11164</t>
  </si>
  <si>
    <t>S11165</t>
  </si>
  <si>
    <t>S11166</t>
  </si>
  <si>
    <t>S11167</t>
  </si>
  <si>
    <t>S11168</t>
  </si>
  <si>
    <t>S11169</t>
  </si>
  <si>
    <t>S11170</t>
  </si>
  <si>
    <t>S11171</t>
  </si>
  <si>
    <t>S11172</t>
  </si>
  <si>
    <t>S11173</t>
  </si>
  <si>
    <t>S11174</t>
  </si>
  <si>
    <t>S11175</t>
  </si>
  <si>
    <t>S11176</t>
  </si>
  <si>
    <t>S11177</t>
  </si>
  <si>
    <t>S11178</t>
  </si>
  <si>
    <t>S11179</t>
  </si>
  <si>
    <t>S11180</t>
  </si>
  <si>
    <t>S11181</t>
  </si>
  <si>
    <t>S11182</t>
  </si>
  <si>
    <t>S11183</t>
  </si>
  <si>
    <t>S11184</t>
  </si>
  <si>
    <t>S11185</t>
  </si>
  <si>
    <t>S11186</t>
  </si>
  <si>
    <t>S11187</t>
  </si>
  <si>
    <t>S11188</t>
  </si>
  <si>
    <t>S11189</t>
  </si>
  <si>
    <t>S11190</t>
  </si>
  <si>
    <t>S11191</t>
  </si>
  <si>
    <t>S11192</t>
  </si>
  <si>
    <t>S11193</t>
  </si>
  <si>
    <t>S11194</t>
  </si>
  <si>
    <t>S11195</t>
  </si>
  <si>
    <t>S11196</t>
  </si>
  <si>
    <t>S11197</t>
  </si>
  <si>
    <t>S11198</t>
  </si>
  <si>
    <t>S11199</t>
  </si>
  <si>
    <t>S11200</t>
  </si>
  <si>
    <t>S11201</t>
  </si>
  <si>
    <t>S11202</t>
  </si>
  <si>
    <t>S11203</t>
  </si>
  <si>
    <t>S11204</t>
  </si>
  <si>
    <t>S11205</t>
  </si>
  <si>
    <t>S11206</t>
  </si>
  <si>
    <t>S11207</t>
  </si>
  <si>
    <t>S11208</t>
  </si>
  <si>
    <t>S11209</t>
  </si>
  <si>
    <t>S11210</t>
  </si>
  <si>
    <t>S11211</t>
  </si>
  <si>
    <t>S11212</t>
  </si>
  <si>
    <t>S11213</t>
  </si>
  <si>
    <t>S11214</t>
  </si>
  <si>
    <t>S11215</t>
  </si>
  <si>
    <t>S11216</t>
  </si>
  <si>
    <t>S11217</t>
  </si>
  <si>
    <t>S11218</t>
  </si>
  <si>
    <t>S11219</t>
  </si>
  <si>
    <t>S11220</t>
  </si>
  <si>
    <t>S11221</t>
  </si>
  <si>
    <t>S11222</t>
  </si>
  <si>
    <t>S11223</t>
  </si>
  <si>
    <t>S11224</t>
  </si>
  <si>
    <t>S11225</t>
  </si>
  <si>
    <t>S11226</t>
  </si>
  <si>
    <t>S11227</t>
  </si>
  <si>
    <t>S11228</t>
  </si>
  <si>
    <t>S11229</t>
  </si>
  <si>
    <t>S11230</t>
  </si>
  <si>
    <t>S11231</t>
  </si>
  <si>
    <t>S11232</t>
  </si>
  <si>
    <t>S11233</t>
  </si>
  <si>
    <t>S11234</t>
  </si>
  <si>
    <t>S11235</t>
  </si>
  <si>
    <t>S11236</t>
  </si>
  <si>
    <t>S11237</t>
  </si>
  <si>
    <t>S11238</t>
  </si>
  <si>
    <t>S11239</t>
  </si>
  <si>
    <t>S11240</t>
  </si>
  <si>
    <t>S11241</t>
  </si>
  <si>
    <t>S11242</t>
  </si>
  <si>
    <t>S11243</t>
  </si>
  <si>
    <t>S11244</t>
  </si>
  <si>
    <t>S11245</t>
  </si>
  <si>
    <t>S11246</t>
  </si>
  <si>
    <t>S11247</t>
  </si>
  <si>
    <t>S11248</t>
  </si>
  <si>
    <t>S11249</t>
  </si>
  <si>
    <t>S11250</t>
  </si>
  <si>
    <t>S11251</t>
  </si>
  <si>
    <t>S11252</t>
  </si>
  <si>
    <t>S11253</t>
  </si>
  <si>
    <t>S11254</t>
  </si>
  <si>
    <t>S11255</t>
  </si>
  <si>
    <t>S11256</t>
  </si>
  <si>
    <t>S11257</t>
  </si>
  <si>
    <t>S11258</t>
  </si>
  <si>
    <t>S11259</t>
  </si>
  <si>
    <t>S11260</t>
  </si>
  <si>
    <t>S11261</t>
  </si>
  <si>
    <t>S11262</t>
  </si>
  <si>
    <t>S11263</t>
  </si>
  <si>
    <t>S11264</t>
  </si>
  <si>
    <t>S11265</t>
  </si>
  <si>
    <t>S11266</t>
  </si>
  <si>
    <t>S11267</t>
  </si>
  <si>
    <t>S11268</t>
  </si>
  <si>
    <t>S11269</t>
  </si>
  <si>
    <t>S11270</t>
  </si>
  <si>
    <t>S11271</t>
  </si>
  <si>
    <t>S11272</t>
  </si>
  <si>
    <t>S11273</t>
  </si>
  <si>
    <t>S11274</t>
  </si>
  <si>
    <t>S11275</t>
  </si>
  <si>
    <t>S11276</t>
  </si>
  <si>
    <t>S11277</t>
  </si>
  <si>
    <t>S11278</t>
  </si>
  <si>
    <t>S11279</t>
  </si>
  <si>
    <t>S11280</t>
  </si>
  <si>
    <t>S11281</t>
  </si>
  <si>
    <t>S11282</t>
  </si>
  <si>
    <t>S11283</t>
  </si>
  <si>
    <t>S11284</t>
  </si>
  <si>
    <t>S11285</t>
  </si>
  <si>
    <t>S11286</t>
  </si>
  <si>
    <t>S11287</t>
  </si>
  <si>
    <t>S11288</t>
  </si>
  <si>
    <t>S11289</t>
  </si>
  <si>
    <t>S11290</t>
  </si>
  <si>
    <t>S11291</t>
  </si>
  <si>
    <t>S11292</t>
  </si>
  <si>
    <t>S11293</t>
  </si>
  <si>
    <t>S11294</t>
  </si>
  <si>
    <t>S11295</t>
  </si>
  <si>
    <t>S11296</t>
  </si>
  <si>
    <t>S11297</t>
  </si>
  <si>
    <t>S11298</t>
  </si>
  <si>
    <t>S11299</t>
  </si>
  <si>
    <t>S11300</t>
  </si>
  <si>
    <t>S11301</t>
  </si>
  <si>
    <t>S11302</t>
  </si>
  <si>
    <t>S11303</t>
  </si>
  <si>
    <t>S11304</t>
  </si>
  <si>
    <t>S11305</t>
  </si>
  <si>
    <t>S11306</t>
  </si>
  <si>
    <t>S11307</t>
  </si>
  <si>
    <t>S11308</t>
  </si>
  <si>
    <t>S11309</t>
  </si>
  <si>
    <t>S11310</t>
  </si>
  <si>
    <t>S11311</t>
  </si>
  <si>
    <t>S11312</t>
  </si>
  <si>
    <t>S11313</t>
  </si>
  <si>
    <t>S11314</t>
  </si>
  <si>
    <t>S11315</t>
  </si>
  <si>
    <t>S11316</t>
  </si>
  <si>
    <t>S11317</t>
  </si>
  <si>
    <t>S11318</t>
  </si>
  <si>
    <t>S11319</t>
  </si>
  <si>
    <t>S11320</t>
  </si>
  <si>
    <t>S11321</t>
  </si>
  <si>
    <t>S11322</t>
  </si>
  <si>
    <t>S11323</t>
  </si>
  <si>
    <t>S11324</t>
  </si>
  <si>
    <t>S11325</t>
  </si>
  <si>
    <t>S11326</t>
  </si>
  <si>
    <t>S11327</t>
  </si>
  <si>
    <t>S11328</t>
  </si>
  <si>
    <t>S11329</t>
  </si>
  <si>
    <t>S11330</t>
  </si>
  <si>
    <t>S11331</t>
  </si>
  <si>
    <t>S11332</t>
  </si>
  <si>
    <t>S11333</t>
  </si>
  <si>
    <t>S11334</t>
  </si>
  <si>
    <t>S11335</t>
  </si>
  <si>
    <t>S11336</t>
  </si>
  <si>
    <t>S11337</t>
  </si>
  <si>
    <t>S11338</t>
  </si>
  <si>
    <t>S11339</t>
  </si>
  <si>
    <t>S11340</t>
  </si>
  <si>
    <t>S11341</t>
  </si>
  <si>
    <t>S11342</t>
  </si>
  <si>
    <t>S11343</t>
  </si>
  <si>
    <t>S11344</t>
  </si>
  <si>
    <t>S11345</t>
  </si>
  <si>
    <t>S11346</t>
  </si>
  <si>
    <t>S11347</t>
  </si>
  <si>
    <t>S11348</t>
  </si>
  <si>
    <t>S11349</t>
  </si>
  <si>
    <t>S11350</t>
  </si>
  <si>
    <t>S11351</t>
  </si>
  <si>
    <t>S11352</t>
  </si>
  <si>
    <t>S11353</t>
  </si>
  <si>
    <t>S11354</t>
  </si>
  <si>
    <t>S11355</t>
  </si>
  <si>
    <t>S11356</t>
  </si>
  <si>
    <t>S11357</t>
  </si>
  <si>
    <t>S11358</t>
  </si>
  <si>
    <t>S11359</t>
  </si>
  <si>
    <t>S11360</t>
  </si>
  <si>
    <t>S11361</t>
  </si>
  <si>
    <t>S11362</t>
  </si>
  <si>
    <t>S11363</t>
  </si>
  <si>
    <t>S11364</t>
  </si>
  <si>
    <t>S11365</t>
  </si>
  <si>
    <t>S11366</t>
  </si>
  <si>
    <t>S11367</t>
  </si>
  <si>
    <t>S11368</t>
  </si>
  <si>
    <t>S11369</t>
  </si>
  <si>
    <t>S11370</t>
  </si>
  <si>
    <t>S11371</t>
  </si>
  <si>
    <t>S11372</t>
  </si>
  <si>
    <t>S11373</t>
  </si>
  <si>
    <t>S11374</t>
  </si>
  <si>
    <t>S11375</t>
  </si>
  <si>
    <t>S11376</t>
  </si>
  <si>
    <t>S11377</t>
  </si>
  <si>
    <t>S11378</t>
  </si>
  <si>
    <t>S11379</t>
  </si>
  <si>
    <t>S11380</t>
  </si>
  <si>
    <t>S11381</t>
  </si>
  <si>
    <t>S11382</t>
  </si>
  <si>
    <t>S11383</t>
  </si>
  <si>
    <t>S11384</t>
  </si>
  <si>
    <t>S11385</t>
  </si>
  <si>
    <t>S11386</t>
  </si>
  <si>
    <t>S11387</t>
  </si>
  <si>
    <t>S11388</t>
  </si>
  <si>
    <t>S11389</t>
  </si>
  <si>
    <t>S11390</t>
  </si>
  <si>
    <t>S11391</t>
  </si>
  <si>
    <t>S11392</t>
  </si>
  <si>
    <t>S11393</t>
  </si>
  <si>
    <t>S11394</t>
  </si>
  <si>
    <t>S11395</t>
  </si>
  <si>
    <t>S11396</t>
  </si>
  <si>
    <t>S11397</t>
  </si>
  <si>
    <t>S11398</t>
  </si>
  <si>
    <t>S11399</t>
  </si>
  <si>
    <t>S11400</t>
  </si>
  <si>
    <t>S11401</t>
  </si>
  <si>
    <t>S11402</t>
  </si>
  <si>
    <t>S11403</t>
  </si>
  <si>
    <t>S11404</t>
  </si>
  <si>
    <t>S11405</t>
  </si>
  <si>
    <t>S11406</t>
  </si>
  <si>
    <t>S11407</t>
  </si>
  <si>
    <t>S11408</t>
  </si>
  <si>
    <t>S11409</t>
  </si>
  <si>
    <t>S11410</t>
  </si>
  <si>
    <t>S11411</t>
  </si>
  <si>
    <t>S11412</t>
  </si>
  <si>
    <t>S11413</t>
  </si>
  <si>
    <t>S11414</t>
  </si>
  <si>
    <t>S11415</t>
  </si>
  <si>
    <t>S11416</t>
  </si>
  <si>
    <t>S11417</t>
  </si>
  <si>
    <t>S11418</t>
  </si>
  <si>
    <t>S11419</t>
  </si>
  <si>
    <t>S11420</t>
  </si>
  <si>
    <t>S11421</t>
  </si>
  <si>
    <t>S11422</t>
  </si>
  <si>
    <t>S11423</t>
  </si>
  <si>
    <t>S11424</t>
  </si>
  <si>
    <t>S11425</t>
  </si>
  <si>
    <t>S11426</t>
  </si>
  <si>
    <t>S11427</t>
  </si>
  <si>
    <t>S11428</t>
  </si>
  <si>
    <t>S11429</t>
  </si>
  <si>
    <t>S11430</t>
  </si>
  <si>
    <t>S11431</t>
  </si>
  <si>
    <t>S11432</t>
  </si>
  <si>
    <t>S11433</t>
  </si>
  <si>
    <t>S11434</t>
  </si>
  <si>
    <t>S11435</t>
  </si>
  <si>
    <t>S11436</t>
  </si>
  <si>
    <t>S11437</t>
  </si>
  <si>
    <t>S11438</t>
  </si>
  <si>
    <t>S11439</t>
  </si>
  <si>
    <t>S11440</t>
  </si>
  <si>
    <t>S11441</t>
  </si>
  <si>
    <t>S11442</t>
  </si>
  <si>
    <t>S11443</t>
  </si>
  <si>
    <t>S11444</t>
  </si>
  <si>
    <t>S11445</t>
  </si>
  <si>
    <t>S11446</t>
  </si>
  <si>
    <t>S11447</t>
  </si>
  <si>
    <t>S11448</t>
  </si>
  <si>
    <t>S11449</t>
  </si>
  <si>
    <t>S11450</t>
  </si>
  <si>
    <t>S11451</t>
  </si>
  <si>
    <t>S11452</t>
  </si>
  <si>
    <t>S11453</t>
  </si>
  <si>
    <t>S11454</t>
  </si>
  <si>
    <t>S11455</t>
  </si>
  <si>
    <t>S11456</t>
  </si>
  <si>
    <t>S11457</t>
  </si>
  <si>
    <t>S11458</t>
  </si>
  <si>
    <t>S11459</t>
  </si>
  <si>
    <t>S11460</t>
  </si>
  <si>
    <t>S11461</t>
  </si>
  <si>
    <t>S11462</t>
  </si>
  <si>
    <t>S11463</t>
  </si>
  <si>
    <t>S11464</t>
  </si>
  <si>
    <t>S11465</t>
  </si>
  <si>
    <t>S11466</t>
  </si>
  <si>
    <t>S11467</t>
  </si>
  <si>
    <t>S11468</t>
  </si>
  <si>
    <t>S11469</t>
  </si>
  <si>
    <t>S11470</t>
  </si>
  <si>
    <t>S11471</t>
  </si>
  <si>
    <t>S11472</t>
  </si>
  <si>
    <t>S11473</t>
  </si>
  <si>
    <t>S11474</t>
  </si>
  <si>
    <t>S11475</t>
  </si>
  <si>
    <t>S11476</t>
  </si>
  <si>
    <t>S11477</t>
  </si>
  <si>
    <t>S11478</t>
  </si>
  <si>
    <t>S11479</t>
  </si>
  <si>
    <t>S11480</t>
  </si>
  <si>
    <t>S11481</t>
  </si>
  <si>
    <t>S11482</t>
  </si>
  <si>
    <t>S11483</t>
  </si>
  <si>
    <t>S11484</t>
  </si>
  <si>
    <t>S11485</t>
  </si>
  <si>
    <t>S11486</t>
  </si>
  <si>
    <t>S11487</t>
  </si>
  <si>
    <t>S11488</t>
  </si>
  <si>
    <t>S11489</t>
  </si>
  <si>
    <t>S11490</t>
  </si>
  <si>
    <t>S11491</t>
  </si>
  <si>
    <t>S11492</t>
  </si>
  <si>
    <t>S11493</t>
  </si>
  <si>
    <t>S11494</t>
  </si>
  <si>
    <t>S11495</t>
  </si>
  <si>
    <t>S11496</t>
  </si>
  <si>
    <t>S11497</t>
  </si>
  <si>
    <t>S11498</t>
  </si>
  <si>
    <t>S11499</t>
  </si>
  <si>
    <t>S11500</t>
  </si>
  <si>
    <t>S11501</t>
  </si>
  <si>
    <t>S11502</t>
  </si>
  <si>
    <t>S11503</t>
  </si>
  <si>
    <t>S11504</t>
  </si>
  <si>
    <t>S11505</t>
  </si>
  <si>
    <t>S11506</t>
  </si>
  <si>
    <t>S11507</t>
  </si>
  <si>
    <t>S11508</t>
  </si>
  <si>
    <t>S11509</t>
  </si>
  <si>
    <t>S11510</t>
  </si>
  <si>
    <t>S11511</t>
  </si>
  <si>
    <t>S11512</t>
  </si>
  <si>
    <t>S11513</t>
  </si>
  <si>
    <t>S11514</t>
  </si>
  <si>
    <t>S11515</t>
  </si>
  <si>
    <t>S11516</t>
  </si>
  <si>
    <t>S11517</t>
  </si>
  <si>
    <t>S11518</t>
  </si>
  <si>
    <t>S11519</t>
  </si>
  <si>
    <t>S11520</t>
  </si>
  <si>
    <t>S11521</t>
  </si>
  <si>
    <t>S11522</t>
  </si>
  <si>
    <t>S11523</t>
  </si>
  <si>
    <t>S11524</t>
  </si>
  <si>
    <t>S11525</t>
  </si>
  <si>
    <t>S11526</t>
  </si>
  <si>
    <t>S11527</t>
  </si>
  <si>
    <t>S11528</t>
  </si>
  <si>
    <t>S11529</t>
  </si>
  <si>
    <t>S11530</t>
  </si>
  <si>
    <t>S11531</t>
  </si>
  <si>
    <t>S11532</t>
  </si>
  <si>
    <t>S11533</t>
  </si>
  <si>
    <t>S11534</t>
  </si>
  <si>
    <t>S11535</t>
  </si>
  <si>
    <t>S11536</t>
  </si>
  <si>
    <t>S11537</t>
  </si>
  <si>
    <t>S11538</t>
  </si>
  <si>
    <t>S11539</t>
  </si>
  <si>
    <t>S11540</t>
  </si>
  <si>
    <t>S11541</t>
  </si>
  <si>
    <t>S11542</t>
  </si>
  <si>
    <t>S11543</t>
  </si>
  <si>
    <t>S11544</t>
  </si>
  <si>
    <t>S11545</t>
  </si>
  <si>
    <t>S11546</t>
  </si>
  <si>
    <t>S11547</t>
  </si>
  <si>
    <t>S11548</t>
  </si>
  <si>
    <t>S11549</t>
  </si>
  <si>
    <t>S11550</t>
  </si>
  <si>
    <t>S11551</t>
  </si>
  <si>
    <t>S11552</t>
  </si>
  <si>
    <t>S11553</t>
  </si>
  <si>
    <t>S11554</t>
  </si>
  <si>
    <t>S11555</t>
  </si>
  <si>
    <t>S11556</t>
  </si>
  <si>
    <t>S11557</t>
  </si>
  <si>
    <t>S11558</t>
  </si>
  <si>
    <t>S11559</t>
  </si>
  <si>
    <t>S11560</t>
  </si>
  <si>
    <t>S11561</t>
  </si>
  <si>
    <t>S11562</t>
  </si>
  <si>
    <t>S11563</t>
  </si>
  <si>
    <t>S11564</t>
  </si>
  <si>
    <t>S11565</t>
  </si>
  <si>
    <t>S11566</t>
  </si>
  <si>
    <t>S11567</t>
  </si>
  <si>
    <t>S11568</t>
  </si>
  <si>
    <t>S11569</t>
  </si>
  <si>
    <t>S11570</t>
  </si>
  <si>
    <t>S11571</t>
  </si>
  <si>
    <t>S11572</t>
  </si>
  <si>
    <t>S11573</t>
  </si>
  <si>
    <t>S11574</t>
  </si>
  <si>
    <t>S11575</t>
  </si>
  <si>
    <t>S11576</t>
  </si>
  <si>
    <t>S11577</t>
  </si>
  <si>
    <t>S11578</t>
  </si>
  <si>
    <t>S11579</t>
  </si>
  <si>
    <t>S11580</t>
  </si>
  <si>
    <t>S11581</t>
  </si>
  <si>
    <t>S11582</t>
  </si>
  <si>
    <t>S11583</t>
  </si>
  <si>
    <t>S11584</t>
  </si>
  <si>
    <t>S11585</t>
  </si>
  <si>
    <t>S11586</t>
  </si>
  <si>
    <t>S11587</t>
  </si>
  <si>
    <t>S11588</t>
  </si>
  <si>
    <t>S11589</t>
  </si>
  <si>
    <t>S11590</t>
  </si>
  <si>
    <t>S11591</t>
  </si>
  <si>
    <t>S11592</t>
  </si>
  <si>
    <t>S11593</t>
  </si>
  <si>
    <t>S11594</t>
  </si>
  <si>
    <t>S11595</t>
  </si>
  <si>
    <t>S11596</t>
  </si>
  <si>
    <t>S11597</t>
  </si>
  <si>
    <t>S11598</t>
  </si>
  <si>
    <t>S11599</t>
  </si>
  <si>
    <t>S11600</t>
  </si>
  <si>
    <t>S11601</t>
  </si>
  <si>
    <t>S11602</t>
  </si>
  <si>
    <t>S11603</t>
  </si>
  <si>
    <t>S11604</t>
  </si>
  <si>
    <t>S11605</t>
  </si>
  <si>
    <t>S11606</t>
  </si>
  <si>
    <t>S11607</t>
  </si>
  <si>
    <t>S11608</t>
  </si>
  <si>
    <t>S11609</t>
  </si>
  <si>
    <t>S11610</t>
  </si>
  <si>
    <t>S11611</t>
  </si>
  <si>
    <t>S11612</t>
  </si>
  <si>
    <t>S11613</t>
  </si>
  <si>
    <t>S11614</t>
  </si>
  <si>
    <t>S11615</t>
  </si>
  <si>
    <t>S11616</t>
  </si>
  <si>
    <t>S11617</t>
  </si>
  <si>
    <t>S11618</t>
  </si>
  <si>
    <t>S11619</t>
  </si>
  <si>
    <t>S11620</t>
  </si>
  <si>
    <t>S11621</t>
  </si>
  <si>
    <t>S11622</t>
  </si>
  <si>
    <t>S11623</t>
  </si>
  <si>
    <t>S11624</t>
  </si>
  <si>
    <t>S11625</t>
  </si>
  <si>
    <t>S11626</t>
  </si>
  <si>
    <t>S11627</t>
  </si>
  <si>
    <t>S11628</t>
  </si>
  <si>
    <t>S11629</t>
  </si>
  <si>
    <t>S11630</t>
  </si>
  <si>
    <t>S11631</t>
  </si>
  <si>
    <t>S11632</t>
  </si>
  <si>
    <t>S11633</t>
  </si>
  <si>
    <t>S11634</t>
  </si>
  <si>
    <t>S11635</t>
  </si>
  <si>
    <t>S11636</t>
  </si>
  <si>
    <t>S11637</t>
  </si>
  <si>
    <t>S11638</t>
  </si>
  <si>
    <t>S11639</t>
  </si>
  <si>
    <t>S11640</t>
  </si>
  <si>
    <t>S11641</t>
  </si>
  <si>
    <t>S11642</t>
  </si>
  <si>
    <t>S11643</t>
  </si>
  <si>
    <t>S11644</t>
  </si>
  <si>
    <t>S11645</t>
  </si>
  <si>
    <t>S11646</t>
  </si>
  <si>
    <t>S11647</t>
  </si>
  <si>
    <t>S11648</t>
  </si>
  <si>
    <t>S11649</t>
  </si>
  <si>
    <t>S11650</t>
  </si>
  <si>
    <t>S11651</t>
  </si>
  <si>
    <t>S11652</t>
  </si>
  <si>
    <t>S11653</t>
  </si>
  <si>
    <t>S11654</t>
  </si>
  <si>
    <t>S11655</t>
  </si>
  <si>
    <t>S11656</t>
  </si>
  <si>
    <t>S11657</t>
  </si>
  <si>
    <t>S11658</t>
  </si>
  <si>
    <t>S11659</t>
  </si>
  <si>
    <t>S11660</t>
  </si>
  <si>
    <t>S11661</t>
  </si>
  <si>
    <t>S11662</t>
  </si>
  <si>
    <t>S11663</t>
  </si>
  <si>
    <t>S11664</t>
  </si>
  <si>
    <t>S11665</t>
  </si>
  <si>
    <t>S11666</t>
  </si>
  <si>
    <t>S11667</t>
  </si>
  <si>
    <t>S11668</t>
  </si>
  <si>
    <t>S11669</t>
  </si>
  <si>
    <t>S11670</t>
  </si>
  <si>
    <t>S11671</t>
  </si>
  <si>
    <t>S11672</t>
  </si>
  <si>
    <t>S11673</t>
  </si>
  <si>
    <t>S11674</t>
  </si>
  <si>
    <t>S11675</t>
  </si>
  <si>
    <t>S11676</t>
  </si>
  <si>
    <t>S11677</t>
  </si>
  <si>
    <t>S11678</t>
  </si>
  <si>
    <t>S11679</t>
  </si>
  <si>
    <t>S11680</t>
  </si>
  <si>
    <t>S11681</t>
  </si>
  <si>
    <t>S11682</t>
  </si>
  <si>
    <t>S11683</t>
  </si>
  <si>
    <t>S11684</t>
  </si>
  <si>
    <t>S11685</t>
  </si>
  <si>
    <t>S11686</t>
  </si>
  <si>
    <t>S11687</t>
  </si>
  <si>
    <t>S11688</t>
  </si>
  <si>
    <t>S11689</t>
  </si>
  <si>
    <t>S11690</t>
  </si>
  <si>
    <t>S11691</t>
  </si>
  <si>
    <t>S11692</t>
  </si>
  <si>
    <t>S11693</t>
  </si>
  <si>
    <t>S11694</t>
  </si>
  <si>
    <t>S11695</t>
  </si>
  <si>
    <t>S11696</t>
  </si>
  <si>
    <t>S11697</t>
  </si>
  <si>
    <t>S11698</t>
  </si>
  <si>
    <t>S11699</t>
  </si>
  <si>
    <t>S11700</t>
  </si>
  <si>
    <t>S11701</t>
  </si>
  <si>
    <t>S11702</t>
  </si>
  <si>
    <t>S11703</t>
  </si>
  <si>
    <t>S11704</t>
  </si>
  <si>
    <t>S11705</t>
  </si>
  <si>
    <t>S11706</t>
  </si>
  <si>
    <t>S11707</t>
  </si>
  <si>
    <t>S11708</t>
  </si>
  <si>
    <t>S11709</t>
  </si>
  <si>
    <t>S11710</t>
  </si>
  <si>
    <t>S11711</t>
  </si>
  <si>
    <t>S11712</t>
  </si>
  <si>
    <t>S11713</t>
  </si>
  <si>
    <t>S11714</t>
  </si>
  <si>
    <t>S11715</t>
  </si>
  <si>
    <t>S11716</t>
  </si>
  <si>
    <t>S11717</t>
  </si>
  <si>
    <t>S11718</t>
  </si>
  <si>
    <t>S11719</t>
  </si>
  <si>
    <t>S11720</t>
  </si>
  <si>
    <t>S11721</t>
  </si>
  <si>
    <t>S11722</t>
  </si>
  <si>
    <t>S11723</t>
  </si>
  <si>
    <t>S11724</t>
  </si>
  <si>
    <t>S11725</t>
  </si>
  <si>
    <t>S11726</t>
  </si>
  <si>
    <t>S11727</t>
  </si>
  <si>
    <t>S11728</t>
  </si>
  <si>
    <t>S11729</t>
  </si>
  <si>
    <t>S11730</t>
  </si>
  <si>
    <t>S11731</t>
  </si>
  <si>
    <t>S11732</t>
  </si>
  <si>
    <t>S11733</t>
  </si>
  <si>
    <t>S11734</t>
  </si>
  <si>
    <t>S11735</t>
  </si>
  <si>
    <t>S11736</t>
  </si>
  <si>
    <t>S11737</t>
  </si>
  <si>
    <t>S11738</t>
  </si>
  <si>
    <t>S11739</t>
  </si>
  <si>
    <t>S11740</t>
  </si>
  <si>
    <t>S11741</t>
  </si>
  <si>
    <t>S11742</t>
  </si>
  <si>
    <t>S11743</t>
  </si>
  <si>
    <t>S11744</t>
  </si>
  <si>
    <t>S11745</t>
  </si>
  <si>
    <t>S11746</t>
  </si>
  <si>
    <t>S11747</t>
  </si>
  <si>
    <t>S11748</t>
  </si>
  <si>
    <t>S11749</t>
  </si>
  <si>
    <t>S11750</t>
  </si>
  <si>
    <t>S11751</t>
  </si>
  <si>
    <t>S11752</t>
  </si>
  <si>
    <t>S11753</t>
  </si>
  <si>
    <t>S11754</t>
  </si>
  <si>
    <t>S11755</t>
  </si>
  <si>
    <t>S11756</t>
  </si>
  <si>
    <t>S11757</t>
  </si>
  <si>
    <t>S11758</t>
  </si>
  <si>
    <t>S11759</t>
  </si>
  <si>
    <t>S11760</t>
  </si>
  <si>
    <t>S11761</t>
  </si>
  <si>
    <t>S11762</t>
  </si>
  <si>
    <t>S11763</t>
  </si>
  <si>
    <t>S11764</t>
  </si>
  <si>
    <t>S11765</t>
  </si>
  <si>
    <t>S11766</t>
  </si>
  <si>
    <t>S11767</t>
  </si>
  <si>
    <t>S11768</t>
  </si>
  <si>
    <t>S11769</t>
  </si>
  <si>
    <t>S11770</t>
  </si>
  <si>
    <t>S11771</t>
  </si>
  <si>
    <t>S11772</t>
  </si>
  <si>
    <t>S11773</t>
  </si>
  <si>
    <t>S11774</t>
  </si>
  <si>
    <t>S11775</t>
  </si>
  <si>
    <t>S11776</t>
  </si>
  <si>
    <t>S11777</t>
  </si>
  <si>
    <t>S11778</t>
  </si>
  <si>
    <t>S11779</t>
  </si>
  <si>
    <t>S11780</t>
  </si>
  <si>
    <t>S11781</t>
  </si>
  <si>
    <t>S11782</t>
  </si>
  <si>
    <t>S11783</t>
  </si>
  <si>
    <t>S11784</t>
  </si>
  <si>
    <t>S11785</t>
  </si>
  <si>
    <t>S11786</t>
  </si>
  <si>
    <t>S11787</t>
  </si>
  <si>
    <t>S11788</t>
  </si>
  <si>
    <t>S11789</t>
  </si>
  <si>
    <t>S11790</t>
  </si>
  <si>
    <t>S11791</t>
  </si>
  <si>
    <t>S11792</t>
  </si>
  <si>
    <t>S11793</t>
  </si>
  <si>
    <t>S11794</t>
  </si>
  <si>
    <t>S11795</t>
  </si>
  <si>
    <t>S11796</t>
  </si>
  <si>
    <t>S11797</t>
  </si>
  <si>
    <t>S11798</t>
  </si>
  <si>
    <t>S11799</t>
  </si>
  <si>
    <t>S11800</t>
  </si>
  <si>
    <t>S11801</t>
  </si>
  <si>
    <t>S11802</t>
  </si>
  <si>
    <t>S11803</t>
  </si>
  <si>
    <t>S11804</t>
  </si>
  <si>
    <t>S11805</t>
  </si>
  <si>
    <t>S11806</t>
  </si>
  <si>
    <t>S11807</t>
  </si>
  <si>
    <t>S11808</t>
  </si>
  <si>
    <t>S11809</t>
  </si>
  <si>
    <t>S11810</t>
  </si>
  <si>
    <t>S11811</t>
  </si>
  <si>
    <t>S11812</t>
  </si>
  <si>
    <t>S11813</t>
  </si>
  <si>
    <t>S11814</t>
  </si>
  <si>
    <t>S11815</t>
  </si>
  <si>
    <t>S11816</t>
  </si>
  <si>
    <t>S11817</t>
  </si>
  <si>
    <t>S11818</t>
  </si>
  <si>
    <t>S11819</t>
  </si>
  <si>
    <t>S11820</t>
  </si>
  <si>
    <t>S11821</t>
  </si>
  <si>
    <t>S11822</t>
  </si>
  <si>
    <t>S11823</t>
  </si>
  <si>
    <t>S11824</t>
  </si>
  <si>
    <t>S11825</t>
  </si>
  <si>
    <t>S11826</t>
  </si>
  <si>
    <t>S11827</t>
  </si>
  <si>
    <t>S11828</t>
  </si>
  <si>
    <t>S11829</t>
  </si>
  <si>
    <t>S11830</t>
  </si>
  <si>
    <t>S11831</t>
  </si>
  <si>
    <t>S11832</t>
  </si>
  <si>
    <t>S11833</t>
  </si>
  <si>
    <t>S11834</t>
  </si>
  <si>
    <t>S11835</t>
  </si>
  <si>
    <t>S11836</t>
  </si>
  <si>
    <t>S11837</t>
  </si>
  <si>
    <t>S11838</t>
  </si>
  <si>
    <t>S11839</t>
  </si>
  <si>
    <t>S11840</t>
  </si>
  <si>
    <t>S11841</t>
  </si>
  <si>
    <t>S11842</t>
  </si>
  <si>
    <t>S11843</t>
  </si>
  <si>
    <t>S11844</t>
  </si>
  <si>
    <t>S11845</t>
  </si>
  <si>
    <t>S11846</t>
  </si>
  <si>
    <t>S11847</t>
  </si>
  <si>
    <t>S11848</t>
  </si>
  <si>
    <t>S11849</t>
  </si>
  <si>
    <t>S11850</t>
  </si>
  <si>
    <t>S11851</t>
  </si>
  <si>
    <t>S11852</t>
  </si>
  <si>
    <t>S11853</t>
  </si>
  <si>
    <t>S11854</t>
  </si>
  <si>
    <t>S11855</t>
  </si>
  <si>
    <t>S11856</t>
  </si>
  <si>
    <t>S11857</t>
  </si>
  <si>
    <t>S11858</t>
  </si>
  <si>
    <t>S11859</t>
  </si>
  <si>
    <t>S11860</t>
  </si>
  <si>
    <t>S11861</t>
  </si>
  <si>
    <t>S11862</t>
  </si>
  <si>
    <t>S11863</t>
  </si>
  <si>
    <t>S11864</t>
  </si>
  <si>
    <t>S11865</t>
  </si>
  <si>
    <t>S11866</t>
  </si>
  <si>
    <t>S11867</t>
  </si>
  <si>
    <t>S11868</t>
  </si>
  <si>
    <t>S11869</t>
  </si>
  <si>
    <t>S11870</t>
  </si>
  <si>
    <t>S11871</t>
  </si>
  <si>
    <t>S11872</t>
  </si>
  <si>
    <t>S11873</t>
  </si>
  <si>
    <t>S11874</t>
  </si>
  <si>
    <t>S11875</t>
  </si>
  <si>
    <t>S11876</t>
  </si>
  <si>
    <t>S11877</t>
  </si>
  <si>
    <t>S11878</t>
  </si>
  <si>
    <t>S11879</t>
  </si>
  <si>
    <t>S11880</t>
  </si>
  <si>
    <t>S11881</t>
  </si>
  <si>
    <t>S11882</t>
  </si>
  <si>
    <t>S11883</t>
  </si>
  <si>
    <t>S11884</t>
  </si>
  <si>
    <t>S11885</t>
  </si>
  <si>
    <t>S11886</t>
  </si>
  <si>
    <t>S11887</t>
  </si>
  <si>
    <t>S11888</t>
  </si>
  <si>
    <t>S11889</t>
  </si>
  <si>
    <t>S11890</t>
  </si>
  <si>
    <t>S11891</t>
  </si>
  <si>
    <t>S11892</t>
  </si>
  <si>
    <t>S11893</t>
  </si>
  <si>
    <t>S11894</t>
  </si>
  <si>
    <t>S11895</t>
  </si>
  <si>
    <t>S11896</t>
  </si>
  <si>
    <t>S11897</t>
  </si>
  <si>
    <t>S11898</t>
  </si>
  <si>
    <t>S11899</t>
  </si>
  <si>
    <t>S11900</t>
  </si>
  <si>
    <t>S11901</t>
  </si>
  <si>
    <t>S11902</t>
  </si>
  <si>
    <t>S11903</t>
  </si>
  <si>
    <t>S11904</t>
  </si>
  <si>
    <t>S11905</t>
  </si>
  <si>
    <t>S11906</t>
  </si>
  <si>
    <t>S11907</t>
  </si>
  <si>
    <t>S11908</t>
  </si>
  <si>
    <t>S11909</t>
  </si>
  <si>
    <t>S11910</t>
  </si>
  <si>
    <t>S11911</t>
  </si>
  <si>
    <t>S11912</t>
  </si>
  <si>
    <t>S11913</t>
  </si>
  <si>
    <t>S11914</t>
  </si>
  <si>
    <t>S11915</t>
  </si>
  <si>
    <t>S11916</t>
  </si>
  <si>
    <t>S11917</t>
  </si>
  <si>
    <t>S11918</t>
  </si>
  <si>
    <t>S11919</t>
  </si>
  <si>
    <t>S11920</t>
  </si>
  <si>
    <t>S11921</t>
  </si>
  <si>
    <t>S11922</t>
  </si>
  <si>
    <t>S11923</t>
  </si>
  <si>
    <t>S11924</t>
  </si>
  <si>
    <t>S11925</t>
  </si>
  <si>
    <t>S11926</t>
  </si>
  <si>
    <t>S11927</t>
  </si>
  <si>
    <t>S11928</t>
  </si>
  <si>
    <t>S11929</t>
  </si>
  <si>
    <t>S11930</t>
  </si>
  <si>
    <t>S11931</t>
  </si>
  <si>
    <t>S11932</t>
  </si>
  <si>
    <t>S11933</t>
  </si>
  <si>
    <t>S11934</t>
  </si>
  <si>
    <t>S11935</t>
  </si>
  <si>
    <t>S11936</t>
  </si>
  <si>
    <t>S11937</t>
  </si>
  <si>
    <t>S11938</t>
  </si>
  <si>
    <t>S11939</t>
  </si>
  <si>
    <t>S11940</t>
  </si>
  <si>
    <t>S11941</t>
  </si>
  <si>
    <t>S11942</t>
  </si>
  <si>
    <t>S11943</t>
  </si>
  <si>
    <t>S11944</t>
  </si>
  <si>
    <t>S11945</t>
  </si>
  <si>
    <t>S11946</t>
  </si>
  <si>
    <t>S11947</t>
  </si>
  <si>
    <t>S11948</t>
  </si>
  <si>
    <t>S11949</t>
  </si>
  <si>
    <t>S11950</t>
  </si>
  <si>
    <t>S11951</t>
  </si>
  <si>
    <t>S11952</t>
  </si>
  <si>
    <t>S11953</t>
  </si>
  <si>
    <t>S11954</t>
  </si>
  <si>
    <t>S11955</t>
  </si>
  <si>
    <t>S11956</t>
  </si>
  <si>
    <t>S11957</t>
  </si>
  <si>
    <t>S11958</t>
  </si>
  <si>
    <t>S11959</t>
  </si>
  <si>
    <t>S11960</t>
  </si>
  <si>
    <t>S11961</t>
  </si>
  <si>
    <t>S11962</t>
  </si>
  <si>
    <t>S11963</t>
  </si>
  <si>
    <t>S11964</t>
  </si>
  <si>
    <t>S11965</t>
  </si>
  <si>
    <t>S11966</t>
  </si>
  <si>
    <t>S11967</t>
  </si>
  <si>
    <t>S11968</t>
  </si>
  <si>
    <t>S11969</t>
  </si>
  <si>
    <t>S11970</t>
  </si>
  <si>
    <t>S11971</t>
  </si>
  <si>
    <t>S11972</t>
  </si>
  <si>
    <t>S11973</t>
  </si>
  <si>
    <t>S11974</t>
  </si>
  <si>
    <t>S11975</t>
  </si>
  <si>
    <t>S11976</t>
  </si>
  <si>
    <t>S11977</t>
  </si>
  <si>
    <t>S11978</t>
  </si>
  <si>
    <t>S11979</t>
  </si>
  <si>
    <t>S11980</t>
  </si>
  <si>
    <t>S11981</t>
  </si>
  <si>
    <t>S11982</t>
  </si>
  <si>
    <t>S11983</t>
  </si>
  <si>
    <t>S11984</t>
  </si>
  <si>
    <t>S11985</t>
  </si>
  <si>
    <t>S11986</t>
  </si>
  <si>
    <t>S11987</t>
  </si>
  <si>
    <t>S11988</t>
  </si>
  <si>
    <t>S11989</t>
  </si>
  <si>
    <t>S11990</t>
  </si>
  <si>
    <t>S11991</t>
  </si>
  <si>
    <t>S11992</t>
  </si>
  <si>
    <t>S11993</t>
  </si>
  <si>
    <t>S11994</t>
  </si>
  <si>
    <t>S11995</t>
  </si>
  <si>
    <t>S11996</t>
  </si>
  <si>
    <t>S11997</t>
  </si>
  <si>
    <t>S11998</t>
  </si>
  <si>
    <t>S11999</t>
  </si>
  <si>
    <t>Duration_months</t>
  </si>
  <si>
    <t>Daily_Learning_Time(hr)</t>
  </si>
  <si>
    <t>pending Revenue</t>
  </si>
  <si>
    <t>Revenue</t>
  </si>
  <si>
    <t>TOTAL STUDENTS</t>
  </si>
  <si>
    <t>TOTAL COURSE FEE/total potential revenue</t>
  </si>
  <si>
    <t>TOTAL REVENUE COLLECTED</t>
  </si>
  <si>
    <t>pending revenue</t>
  </si>
  <si>
    <t>AVERAGE COURSE FEE</t>
  </si>
  <si>
    <t>Highest student enrollment course category</t>
  </si>
  <si>
    <t>Highest revenue generated branch</t>
  </si>
  <si>
    <t>Lowest revenue generated branch</t>
  </si>
  <si>
    <t>Highest revenue generated course</t>
  </si>
  <si>
    <t>Instructor with highest students</t>
  </si>
  <si>
    <t>NUMBER OF COMPLETED STUDENTS</t>
  </si>
  <si>
    <t>NUMBER OF ONGOING STUDENTS</t>
  </si>
  <si>
    <t xml:space="preserve">Most enrolled course </t>
  </si>
  <si>
    <t>Least enrolled course</t>
  </si>
  <si>
    <t>students</t>
  </si>
  <si>
    <t>Payment status</t>
  </si>
  <si>
    <t>Row Labels</t>
  </si>
  <si>
    <t>Grand Total</t>
  </si>
  <si>
    <t>Column Labels</t>
  </si>
  <si>
    <t>Jan</t>
  </si>
  <si>
    <t>Feb</t>
  </si>
  <si>
    <t>Apr</t>
  </si>
  <si>
    <t>May</t>
  </si>
  <si>
    <t>Jun</t>
  </si>
  <si>
    <t>Jul</t>
  </si>
  <si>
    <t>Aug</t>
  </si>
  <si>
    <t>Oct</t>
  </si>
  <si>
    <t>Nov</t>
  </si>
  <si>
    <t>Dec</t>
  </si>
  <si>
    <t>Count of Student_ID</t>
  </si>
  <si>
    <t>Sum of Revenue</t>
  </si>
  <si>
    <t>PERCENTAGE OF TOTAL REVENUE COLLECTED</t>
  </si>
  <si>
    <t>PERCENTAGE OF TOTAL PENDING REVENUE</t>
  </si>
  <si>
    <t>PERCENTAGE OF COMPLETED STUDENTS</t>
  </si>
  <si>
    <t>PERCENTAGE OF ONGOING STUDENTS</t>
  </si>
  <si>
    <t>Mar</t>
  </si>
  <si>
    <t>Sep</t>
  </si>
  <si>
    <t>Sum of pending Revenue</t>
  </si>
  <si>
    <t xml:space="preserve"> Monthly enrollment trend</t>
  </si>
  <si>
    <t>Monthly Revenue Trend</t>
  </si>
  <si>
    <t>Payment Status Summery</t>
  </si>
  <si>
    <t>Course completion status vs pending Revenue</t>
  </si>
  <si>
    <t>Student enrollment vs Mode of class</t>
  </si>
  <si>
    <t>Revenue Generated by Branch and pending Revenue</t>
  </si>
  <si>
    <t>Instructor by Enrollment</t>
  </si>
  <si>
    <t xml:space="preserve">     CHARTS</t>
  </si>
  <si>
    <t>COURSE WISE ENROLLMENT</t>
  </si>
  <si>
    <t xml:space="preserve"> Enrollment by Branch</t>
  </si>
  <si>
    <t>course category wise level by enrollment</t>
  </si>
  <si>
    <t>Course wise Enrollment</t>
  </si>
  <si>
    <t>CHARTS FOR REVENUE</t>
  </si>
  <si>
    <t>REVENUE GENERATED BY COURSE AND PENDING REVENUE</t>
  </si>
  <si>
    <t>COMPLETION STATUS VS PENDING REVENUE</t>
  </si>
  <si>
    <t>Sum of Course_Fee_AED</t>
  </si>
  <si>
    <t>Average of Course_Fee_AED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</si>
</sst>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409]d\-mmm\-yyyy;@"/>
    <numFmt numFmtId="165" formatCode="0.0\%"/>
    <numFmt numFmtId="166" formatCode="0\.00%"/>
    <numFmt numFmtId="167" formatCode="0.00,,&quot;M&quot;\ &quot;AED&quot;"/>
    <numFmt numFmtId="168" formatCode="0.00\ &quot;AED&quot;"/>
    <numFmt numFmtId="169" formatCode="0.0,&quot;K&quot;"/>
  </numFmts>
  <fonts count="12" x14ac:knownFonts="1">
    <font>
      <sz val="11"/>
      <color theme="1"/>
      <name val="Calibri"/>
      <family val="2"/>
      <scheme val="minor"/>
    </font>
    <font>
      <b/>
      <sz val="11"/>
      <color theme="0"/>
      <name val="Calibri"/>
      <family val="2"/>
    </font>
    <font>
      <b/>
      <sz val="11"/>
      <color theme="0" tint="-4.9989318521683403E-2"/>
      <name val="Calibri"/>
      <family val="2"/>
    </font>
    <font>
      <sz val="1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color theme="1"/>
      <name val="Calibri"/>
      <family val="2"/>
      <scheme val="minor"/>
    </font>
    <font>
      <b/>
      <sz val="28"/>
      <color theme="1"/>
      <name val="Calibri"/>
      <family val="2"/>
      <scheme val="minor"/>
    </font>
    <font>
      <b/>
      <sz val="24"/>
      <color rgb="FFC00000"/>
      <name val="Calibri"/>
      <family val="2"/>
      <scheme val="minor"/>
    </font>
    <font>
      <b/>
      <sz val="11"/>
      <color rgb="FFC00000"/>
      <name val="Calibri"/>
      <family val="2"/>
      <scheme val="minor"/>
    </font>
  </fonts>
  <fills count="15">
    <fill>
      <patternFill patternType="none"/>
    </fill>
    <fill>
      <patternFill patternType="gray125"/>
    </fill>
    <fill>
      <patternFill patternType="solid">
        <fgColor theme="8" tint="0.79998168889431442"/>
        <bgColor indexed="64"/>
      </patternFill>
    </fill>
    <fill>
      <patternFill patternType="solid">
        <fgColor rgb="FF002060"/>
        <bgColor indexed="64"/>
      </patternFill>
    </fill>
    <fill>
      <patternFill patternType="solid">
        <fgColor rgb="FFFF0000"/>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FFC000"/>
        <bgColor indexed="64"/>
      </patternFill>
    </fill>
    <fill>
      <patternFill patternType="solid">
        <fgColor rgb="FF00B050"/>
        <bgColor indexed="64"/>
      </patternFill>
    </fill>
    <fill>
      <patternFill patternType="solid">
        <fgColor rgb="FFFFFF00"/>
        <bgColor indexed="64"/>
      </patternFill>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9" fontId="8" fillId="0" borderId="0" applyFont="0" applyFill="0" applyBorder="0" applyAlignment="0" applyProtection="0"/>
  </cellStyleXfs>
  <cellXfs count="59">
    <xf numFmtId="0" fontId="0" fillId="0" borderId="0" xfId="0"/>
    <xf numFmtId="0" fontId="1" fillId="0" borderId="1" xfId="0" applyFont="1" applyBorder="1" applyAlignment="1">
      <alignment horizontal="center" vertical="top"/>
    </xf>
    <xf numFmtId="164" fontId="0" fillId="0" borderId="0" xfId="0" applyNumberFormat="1"/>
    <xf numFmtId="0" fontId="1" fillId="0" borderId="1" xfId="0" applyFont="1" applyBorder="1" applyAlignment="1">
      <alignment horizontal="left" vertical="top"/>
    </xf>
    <xf numFmtId="1" fontId="1" fillId="0" borderId="1" xfId="0" applyNumberFormat="1" applyFont="1" applyBorder="1" applyAlignment="1">
      <alignment horizontal="left" vertical="top"/>
    </xf>
    <xf numFmtId="1" fontId="0" fillId="0" borderId="0" xfId="0" applyNumberFormat="1"/>
    <xf numFmtId="0" fontId="2" fillId="0" borderId="1" xfId="0" applyFont="1" applyBorder="1" applyAlignment="1">
      <alignment horizontal="left" vertical="top"/>
    </xf>
    <xf numFmtId="0" fontId="2" fillId="0" borderId="1" xfId="0" applyFont="1" applyBorder="1" applyAlignment="1">
      <alignment horizontal="center" vertical="top"/>
    </xf>
    <xf numFmtId="0" fontId="3" fillId="0" borderId="0" xfId="0" applyFont="1"/>
    <xf numFmtId="0" fontId="0" fillId="2" borderId="0" xfId="0" applyFill="1"/>
    <xf numFmtId="0" fontId="5" fillId="2" borderId="0" xfId="0" applyFont="1" applyFill="1"/>
    <xf numFmtId="0" fontId="4" fillId="3" borderId="0" xfId="0" applyFont="1" applyFill="1"/>
    <xf numFmtId="1" fontId="4" fillId="3" borderId="0" xfId="0" applyNumberFormat="1" applyFont="1" applyFill="1"/>
    <xf numFmtId="0" fontId="6" fillId="4" borderId="0" xfId="0" applyFont="1" applyFill="1"/>
    <xf numFmtId="0" fontId="4" fillId="4" borderId="0" xfId="0" applyFont="1" applyFill="1"/>
    <xf numFmtId="1" fontId="4" fillId="4" borderId="0" xfId="0" applyNumberFormat="1" applyFont="1" applyFill="1"/>
    <xf numFmtId="0" fontId="4" fillId="5" borderId="0" xfId="0" applyFont="1" applyFill="1"/>
    <xf numFmtId="1" fontId="4" fillId="5" borderId="0" xfId="0" applyNumberFormat="1" applyFont="1" applyFill="1"/>
    <xf numFmtId="0" fontId="7" fillId="6" borderId="0" xfId="0" applyFont="1" applyFill="1"/>
    <xf numFmtId="0" fontId="5" fillId="6" borderId="0" xfId="0" applyFont="1" applyFill="1"/>
    <xf numFmtId="0" fontId="7" fillId="7" borderId="0" xfId="0" applyFont="1" applyFill="1"/>
    <xf numFmtId="0" fontId="5" fillId="7" borderId="0" xfId="0" applyFont="1" applyFill="1"/>
    <xf numFmtId="0" fontId="7" fillId="8" borderId="0" xfId="0" applyFont="1" applyFill="1"/>
    <xf numFmtId="0" fontId="5" fillId="8" borderId="0" xfId="0" applyFont="1" applyFill="1"/>
    <xf numFmtId="0" fontId="7" fillId="9" borderId="0" xfId="0" applyFont="1" applyFill="1"/>
    <xf numFmtId="0" fontId="5" fillId="9" borderId="0" xfId="0" applyFont="1" applyFill="1"/>
    <xf numFmtId="0" fontId="7" fillId="10" borderId="0" xfId="0" applyFont="1" applyFill="1"/>
    <xf numFmtId="0" fontId="5" fillId="11" borderId="0" xfId="0" applyFont="1" applyFill="1"/>
    <xf numFmtId="0" fontId="0" fillId="12" borderId="2" xfId="0" applyFill="1" applyBorder="1"/>
    <xf numFmtId="0" fontId="4" fillId="5" borderId="2" xfId="0" applyFont="1" applyFill="1" applyBorder="1"/>
    <xf numFmtId="0" fontId="4" fillId="13" borderId="0" xfId="0" applyFont="1" applyFill="1"/>
    <xf numFmtId="1" fontId="4" fillId="13" borderId="0" xfId="0" applyNumberFormat="1" applyFont="1" applyFill="1"/>
    <xf numFmtId="0" fontId="5" fillId="12" borderId="2" xfId="0" applyFont="1" applyFill="1" applyBorder="1"/>
    <xf numFmtId="0" fontId="0" fillId="0" borderId="0" xfId="0" pivotButton="1"/>
    <xf numFmtId="0" fontId="0" fillId="0" borderId="0" xfId="0" applyAlignment="1">
      <alignment horizontal="left"/>
    </xf>
    <xf numFmtId="0" fontId="0" fillId="0" borderId="0" xfId="0" applyNumberFormat="1"/>
    <xf numFmtId="164" fontId="1" fillId="0" borderId="1" xfId="0" applyNumberFormat="1" applyFont="1" applyBorder="1" applyAlignment="1">
      <alignment horizontal="left" vertical="top"/>
    </xf>
    <xf numFmtId="0" fontId="5" fillId="14" borderId="0" xfId="0" applyFont="1" applyFill="1"/>
    <xf numFmtId="0" fontId="5" fillId="4" borderId="0" xfId="0" applyFont="1" applyFill="1"/>
    <xf numFmtId="165" fontId="5" fillId="14" borderId="0" xfId="1" applyNumberFormat="1" applyFont="1" applyFill="1"/>
    <xf numFmtId="166" fontId="5" fillId="14" borderId="0" xfId="1" applyNumberFormat="1" applyFont="1" applyFill="1"/>
    <xf numFmtId="0" fontId="0" fillId="0" borderId="0" xfId="0" applyFill="1" applyAlignment="1">
      <alignment horizontal="left"/>
    </xf>
    <xf numFmtId="0" fontId="0" fillId="0" borderId="0" xfId="0" applyNumberFormat="1" applyFill="1"/>
    <xf numFmtId="0" fontId="0" fillId="0" borderId="0" xfId="0" applyFill="1"/>
    <xf numFmtId="0" fontId="0" fillId="14" borderId="0" xfId="0" applyFill="1"/>
    <xf numFmtId="0" fontId="0" fillId="14" borderId="0" xfId="0" applyFill="1" applyAlignment="1">
      <alignment horizontal="left"/>
    </xf>
    <xf numFmtId="0" fontId="0" fillId="12" borderId="0" xfId="0" applyFill="1" applyAlignment="1">
      <alignment horizontal="left"/>
    </xf>
    <xf numFmtId="0" fontId="0" fillId="12" borderId="0" xfId="0" applyFill="1"/>
    <xf numFmtId="0" fontId="9" fillId="0" borderId="0" xfId="0" applyFont="1"/>
    <xf numFmtId="0" fontId="5" fillId="0" borderId="0" xfId="0" applyFont="1"/>
    <xf numFmtId="0" fontId="10" fillId="0" borderId="0" xfId="0" applyFont="1"/>
    <xf numFmtId="0" fontId="11" fillId="0" borderId="0" xfId="0" applyFont="1"/>
    <xf numFmtId="167" fontId="0" fillId="0" borderId="0" xfId="0" applyNumberFormat="1" applyAlignment="1">
      <alignment horizontal="left"/>
    </xf>
    <xf numFmtId="168" fontId="0" fillId="0" borderId="0" xfId="0" applyNumberFormat="1" applyAlignment="1">
      <alignment horizontal="left"/>
    </xf>
    <xf numFmtId="0" fontId="0" fillId="8" borderId="0" xfId="0" applyFill="1"/>
    <xf numFmtId="169" fontId="0" fillId="0" borderId="0" xfId="0" applyNumberFormat="1"/>
    <xf numFmtId="10" fontId="0" fillId="0" borderId="0" xfId="0" applyNumberFormat="1"/>
    <xf numFmtId="0" fontId="7" fillId="0" borderId="0" xfId="0" applyFont="1" applyFill="1"/>
    <xf numFmtId="0" fontId="5" fillId="0" borderId="0" xfId="0" applyFont="1" applyFill="1"/>
  </cellXfs>
  <cellStyles count="2">
    <cellStyle name="Normal" xfId="0" builtinId="0"/>
    <cellStyle name="Percent" xfId="1" builtinId="5"/>
  </cellStyles>
  <dxfs count="11">
    <dxf>
      <numFmt numFmtId="0" formatCode="General"/>
    </dxf>
    <dxf>
      <numFmt numFmtId="0" formatCode="General"/>
    </dxf>
    <dxf>
      <numFmt numFmtId="1" formatCode="0"/>
    </dxf>
    <dxf>
      <numFmt numFmtId="1" formatCode="0"/>
    </dxf>
    <dxf>
      <numFmt numFmtId="1" formatCode="0"/>
    </dxf>
    <dxf>
      <numFmt numFmtId="1" formatCode="0"/>
    </dxf>
    <dxf>
      <numFmt numFmtId="1" formatCode="0"/>
    </dxf>
    <dxf>
      <numFmt numFmtId="164" formatCode="[$-409]d\-m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4" defaultTableStyle="TableStyleMedium9" defaultPivotStyle="PivotStyleLight16">
    <tableStyle name="Slicer Style 1" pivot="0" table="0" count="1"/>
    <tableStyle name="Slicer Style 2" pivot="0" table="0" count="0"/>
    <tableStyle name="Slicer Style 3" pivot="0" table="0" count="1"/>
    <tableStyle name="Slicer Style 4" pivot="0" table="0" count="1"/>
  </tableStyles>
  <extLst>
    <ext xmlns:x14="http://schemas.microsoft.com/office/spreadsheetml/2009/9/main" uri="{46F421CA-312F-682f-3DD2-61675219B42D}">
      <x14:dxfs count="3">
        <dxf>
          <fill>
            <patternFill>
              <bgColor rgb="FF92D050"/>
            </patternFill>
          </fill>
        </dxf>
        <dxf>
          <fill>
            <patternFill>
              <bgColor rgb="FF00B050"/>
            </patternFill>
          </fill>
        </dxf>
        <dxf>
          <fill>
            <patternFill>
              <bgColor rgb="FFFFFF0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s>
        </x14:slicerStyle>
        <x14:slicerStyle name="Slicer Style 2"/>
        <x14:slicerStyle name="Slicer Style 3">
          <x14:slicerStyleElements>
            <x14:slicerStyleElement type="selectedItemWithData" dxfId="1"/>
          </x14:slicerStyleElements>
        </x14:slicerStyle>
        <x14:slicerStyle name="Slicer Style 4">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microsoft.com/office/2007/relationships/slicerCache" Target="slicerCaches/slicerCache10.xml"/><Relationship Id="rId2" Type="http://schemas.openxmlformats.org/officeDocument/2006/relationships/worksheet" Target="worksheets/sheet2.xml"/><Relationship Id="rId16" Type="http://schemas.microsoft.com/office/2007/relationships/slicerCache" Target="slicerCaches/slicerCache9.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Student enrollment and Revenue Analysis.xlsx]Pivot &amp;Calculations!PivotTable1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MONTHLY</a:t>
            </a:r>
            <a:r>
              <a:rPr lang="en-US" b="1" baseline="0">
                <a:solidFill>
                  <a:srgbClr val="C00000"/>
                </a:solidFill>
              </a:rPr>
              <a:t> ENROLLMENT TREND</a:t>
            </a:r>
            <a:endParaRPr lang="en-US" b="1">
              <a:solidFill>
                <a:srgbClr val="C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B050"/>
            </a:solidFill>
            <a:round/>
          </a:ln>
          <a:effectLst/>
        </c:spPr>
        <c:marker>
          <c:symbol val="circle"/>
          <c:size val="5"/>
          <c:spPr>
            <a:solidFill>
              <a:schemeClr val="accent1"/>
            </a:solidFill>
            <a:ln w="9525">
              <a:solidFill>
                <a:srgbClr val="00B050"/>
              </a:solidFill>
            </a:ln>
            <a:effectLst/>
          </c:spPr>
        </c:marker>
      </c:pivotFmt>
      <c:pivotFmt>
        <c:idx val="1"/>
        <c:spPr>
          <a:solidFill>
            <a:schemeClr val="accent1"/>
          </a:solidFill>
          <a:ln w="28575" cap="rnd">
            <a:solidFill>
              <a:srgbClr val="00B050"/>
            </a:solidFill>
            <a:round/>
          </a:ln>
          <a:effectLst/>
        </c:spPr>
        <c:marker>
          <c:symbol val="circle"/>
          <c:size val="5"/>
          <c:spPr>
            <a:solidFill>
              <a:schemeClr val="accent1"/>
            </a:solidFill>
            <a:ln w="9525">
              <a:solidFill>
                <a:srgbClr val="00B050"/>
              </a:solidFill>
            </a:ln>
            <a:effectLst/>
          </c:spPr>
        </c:marker>
      </c:pivotFmt>
      <c:pivotFmt>
        <c:idx val="2"/>
        <c:spPr>
          <a:ln w="28575" cap="rnd">
            <a:solidFill>
              <a:srgbClr val="00B050"/>
            </a:solidFill>
            <a:round/>
          </a:ln>
          <a:effectLst/>
        </c:spPr>
        <c:marker>
          <c:symbol val="circle"/>
          <c:size val="5"/>
          <c:spPr>
            <a:solidFill>
              <a:schemeClr val="accent1"/>
            </a:solidFill>
            <a:ln w="9525">
              <a:solidFill>
                <a:srgbClr val="00B050"/>
              </a:solidFill>
            </a:ln>
            <a:effectLst/>
          </c:spPr>
        </c:marker>
      </c:pivotFmt>
    </c:pivotFmts>
    <c:plotArea>
      <c:layout>
        <c:manualLayout>
          <c:layoutTarget val="inner"/>
          <c:xMode val="edge"/>
          <c:yMode val="edge"/>
          <c:x val="6.8648077178431244E-2"/>
          <c:y val="0.26558940806852749"/>
          <c:w val="0.88467065249228971"/>
          <c:h val="0.63461655929372462"/>
        </c:manualLayout>
      </c:layout>
      <c:lineChart>
        <c:grouping val="standard"/>
        <c:varyColors val="0"/>
        <c:ser>
          <c:idx val="0"/>
          <c:order val="0"/>
          <c:tx>
            <c:strRef>
              <c:f>'Pivot &amp;Calculations'!$J$3</c:f>
              <c:strCache>
                <c:ptCount val="1"/>
                <c:pt idx="0">
                  <c:v>Total</c:v>
                </c:pt>
              </c:strCache>
            </c:strRef>
          </c:tx>
          <c:spPr>
            <a:ln w="28575" cap="rnd">
              <a:solidFill>
                <a:srgbClr val="00B050"/>
              </a:solidFill>
              <a:round/>
            </a:ln>
            <a:effectLst/>
          </c:spPr>
          <c:marker>
            <c:symbol val="circle"/>
            <c:size val="5"/>
            <c:spPr>
              <a:solidFill>
                <a:schemeClr val="accent1"/>
              </a:solidFill>
              <a:ln w="9525">
                <a:solidFill>
                  <a:srgbClr val="00B050"/>
                </a:solidFill>
              </a:ln>
              <a:effectLst/>
            </c:spPr>
          </c:marker>
          <c:cat>
            <c:strRef>
              <c:f>'Pivot &amp;Calculations'!$I$4:$I$16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&amp;Calculations'!$J$4:$J$16</c:f>
              <c:numCache>
                <c:formatCode>General</c:formatCode>
                <c:ptCount val="12"/>
                <c:pt idx="0">
                  <c:v>167</c:v>
                </c:pt>
                <c:pt idx="1">
                  <c:v>158</c:v>
                </c:pt>
                <c:pt idx="2">
                  <c:v>146</c:v>
                </c:pt>
                <c:pt idx="3">
                  <c:v>162</c:v>
                </c:pt>
                <c:pt idx="4">
                  <c:v>157</c:v>
                </c:pt>
                <c:pt idx="5">
                  <c:v>154</c:v>
                </c:pt>
                <c:pt idx="6">
                  <c:v>160</c:v>
                </c:pt>
                <c:pt idx="7">
                  <c:v>187</c:v>
                </c:pt>
                <c:pt idx="8">
                  <c:v>185</c:v>
                </c:pt>
                <c:pt idx="9">
                  <c:v>164</c:v>
                </c:pt>
                <c:pt idx="10">
                  <c:v>174</c:v>
                </c:pt>
                <c:pt idx="11">
                  <c:v>186</c:v>
                </c:pt>
              </c:numCache>
            </c:numRef>
          </c:val>
          <c:smooth val="0"/>
          <c:extLst>
            <c:ext xmlns:c16="http://schemas.microsoft.com/office/drawing/2014/chart" uri="{C3380CC4-5D6E-409C-BE32-E72D297353CC}">
              <c16:uniqueId val="{00000000-BA07-4E9C-B58D-B5321750C77E}"/>
            </c:ext>
          </c:extLst>
        </c:ser>
        <c:dLbls>
          <c:showLegendKey val="0"/>
          <c:showVal val="0"/>
          <c:showCatName val="0"/>
          <c:showSerName val="0"/>
          <c:showPercent val="0"/>
          <c:showBubbleSize val="0"/>
        </c:dLbls>
        <c:marker val="1"/>
        <c:smooth val="0"/>
        <c:axId val="1151109231"/>
        <c:axId val="1151106735"/>
      </c:lineChart>
      <c:catAx>
        <c:axId val="115110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106735"/>
        <c:crosses val="autoZero"/>
        <c:auto val="1"/>
        <c:lblAlgn val="ctr"/>
        <c:lblOffset val="100"/>
        <c:noMultiLvlLbl val="0"/>
      </c:catAx>
      <c:valAx>
        <c:axId val="1151106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1092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Student enrollment and Revenue Analysis.xlsx]Pivot &amp;Calculations!PivotTable3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ENROLLMENT</a:t>
            </a:r>
            <a:r>
              <a:rPr lang="en-US" b="1" baseline="0">
                <a:solidFill>
                  <a:srgbClr val="C00000"/>
                </a:solidFill>
              </a:rPr>
              <a:t> VS MODE OF CLASS</a:t>
            </a:r>
            <a:endParaRPr lang="en-US" b="1">
              <a:solidFill>
                <a:srgbClr val="C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tx2"/>
          </a:solidFill>
          <a:ln w="19050">
            <a:solidFill>
              <a:schemeClr val="lt1"/>
            </a:solidFill>
          </a:ln>
          <a:effectLst/>
        </c:spPr>
      </c:pivotFmt>
      <c:pivotFmt>
        <c:idx val="2"/>
        <c:spPr>
          <a:solidFill>
            <a:srgbClr val="C00000"/>
          </a:solidFill>
          <a:ln w="19050">
            <a:solidFill>
              <a:schemeClr val="lt1"/>
            </a:solidFill>
          </a:ln>
          <a:effectLst/>
        </c:spPr>
      </c:pivotFmt>
      <c:pivotFmt>
        <c:idx val="3"/>
        <c:spPr>
          <a:solidFill>
            <a:srgbClr val="00B050"/>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tx2"/>
          </a:solidFill>
          <a:ln w="19050">
            <a:solidFill>
              <a:schemeClr val="lt1"/>
            </a:solidFill>
          </a:ln>
          <a:effectLst/>
        </c:spPr>
      </c:pivotFmt>
      <c:pivotFmt>
        <c:idx val="6"/>
        <c:spPr>
          <a:solidFill>
            <a:srgbClr val="C00000"/>
          </a:solidFill>
          <a:ln w="19050">
            <a:solidFill>
              <a:schemeClr val="lt1"/>
            </a:solidFill>
          </a:ln>
          <a:effectLst/>
        </c:spPr>
      </c:pivotFmt>
      <c:pivotFmt>
        <c:idx val="7"/>
        <c:spPr>
          <a:solidFill>
            <a:srgbClr val="00B050"/>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tx2"/>
          </a:solidFill>
          <a:ln w="19050">
            <a:solidFill>
              <a:schemeClr val="lt1"/>
            </a:solidFill>
          </a:ln>
          <a:effectLst/>
        </c:spPr>
      </c:pivotFmt>
      <c:pivotFmt>
        <c:idx val="10"/>
        <c:spPr>
          <a:solidFill>
            <a:srgbClr val="C00000"/>
          </a:solidFill>
          <a:ln w="19050">
            <a:solidFill>
              <a:schemeClr val="lt1"/>
            </a:solidFill>
          </a:ln>
          <a:effectLst/>
        </c:spPr>
      </c:pivotFmt>
      <c:pivotFmt>
        <c:idx val="11"/>
        <c:spPr>
          <a:solidFill>
            <a:srgbClr val="00B050"/>
          </a:solidFill>
          <a:ln w="19050">
            <a:solidFill>
              <a:schemeClr val="lt1"/>
            </a:solidFill>
          </a:ln>
          <a:effectLst/>
        </c:spPr>
      </c:pivotFmt>
    </c:pivotFmts>
    <c:plotArea>
      <c:layout>
        <c:manualLayout>
          <c:layoutTarget val="inner"/>
          <c:xMode val="edge"/>
          <c:yMode val="edge"/>
          <c:x val="0.16973299010700588"/>
          <c:y val="0.17536643026004731"/>
          <c:w val="0.52375000000000005"/>
          <c:h val="0.77262411347517734"/>
        </c:manualLayout>
      </c:layout>
      <c:doughnutChart>
        <c:varyColors val="1"/>
        <c:ser>
          <c:idx val="0"/>
          <c:order val="0"/>
          <c:tx>
            <c:strRef>
              <c:f>'Pivot &amp;Calculations'!$J$21</c:f>
              <c:strCache>
                <c:ptCount val="1"/>
                <c:pt idx="0">
                  <c:v>Total</c:v>
                </c:pt>
              </c:strCache>
            </c:strRef>
          </c:tx>
          <c:dPt>
            <c:idx val="0"/>
            <c:bubble3D val="0"/>
            <c:spPr>
              <a:solidFill>
                <a:schemeClr val="tx2"/>
              </a:solidFill>
              <a:ln w="19050">
                <a:solidFill>
                  <a:schemeClr val="lt1"/>
                </a:solidFill>
              </a:ln>
              <a:effectLst/>
            </c:spPr>
            <c:extLst>
              <c:ext xmlns:c16="http://schemas.microsoft.com/office/drawing/2014/chart" uri="{C3380CC4-5D6E-409C-BE32-E72D297353CC}">
                <c16:uniqueId val="{00000001-1AF8-45D5-82EC-DEE7ED4B9CBD}"/>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1AF8-45D5-82EC-DEE7ED4B9CBD}"/>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1AF8-45D5-82EC-DEE7ED4B9CBD}"/>
              </c:ext>
            </c:extLst>
          </c:dPt>
          <c:cat>
            <c:strRef>
              <c:f>'Pivot &amp;Calculations'!$I$22:$I$25</c:f>
              <c:strCache>
                <c:ptCount val="3"/>
                <c:pt idx="0">
                  <c:v>Hybrid</c:v>
                </c:pt>
                <c:pt idx="1">
                  <c:v>Offline</c:v>
                </c:pt>
                <c:pt idx="2">
                  <c:v>Online</c:v>
                </c:pt>
              </c:strCache>
            </c:strRef>
          </c:cat>
          <c:val>
            <c:numRef>
              <c:f>'Pivot &amp;Calculations'!$J$22:$J$25</c:f>
              <c:numCache>
                <c:formatCode>General</c:formatCode>
                <c:ptCount val="3"/>
                <c:pt idx="0">
                  <c:v>685</c:v>
                </c:pt>
                <c:pt idx="1">
                  <c:v>668</c:v>
                </c:pt>
                <c:pt idx="2">
                  <c:v>647</c:v>
                </c:pt>
              </c:numCache>
            </c:numRef>
          </c:val>
          <c:extLst>
            <c:ext xmlns:c16="http://schemas.microsoft.com/office/drawing/2014/chart" uri="{C3380CC4-5D6E-409C-BE32-E72D297353CC}">
              <c16:uniqueId val="{00000006-1AF8-45D5-82EC-DEE7ED4B9CB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Student enrollment and Revenue Analysis.xlsx]Pivot &amp;Calculations!PivotTable2</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Branch</a:t>
            </a:r>
            <a:r>
              <a:rPr lang="en-US" b="1" baseline="0">
                <a:solidFill>
                  <a:srgbClr val="C00000"/>
                </a:solidFill>
              </a:rPr>
              <a:t> wise enrollment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pivotFmt>
      <c:pivotFmt>
        <c:idx val="1"/>
        <c:spPr>
          <a:solidFill>
            <a:srgbClr val="00B050"/>
          </a:solidFill>
          <a:ln>
            <a:noFill/>
          </a:ln>
          <a:effectLst/>
        </c:spPr>
        <c:marker>
          <c:symbol val="none"/>
        </c:marker>
      </c:pivotFmt>
      <c:pivotFmt>
        <c:idx val="2"/>
        <c:spPr>
          <a:solidFill>
            <a:srgbClr val="00B050"/>
          </a:solidFill>
          <a:ln>
            <a:noFill/>
          </a:ln>
          <a:effectLst/>
        </c:spPr>
        <c:marker>
          <c:symbol val="none"/>
        </c:marker>
      </c:pivotFmt>
    </c:pivotFmts>
    <c:plotArea>
      <c:layout/>
      <c:barChart>
        <c:barDir val="col"/>
        <c:grouping val="stacked"/>
        <c:varyColors val="0"/>
        <c:ser>
          <c:idx val="0"/>
          <c:order val="0"/>
          <c:tx>
            <c:strRef>
              <c:f>'Pivot &amp;Calculations'!$E$71</c:f>
              <c:strCache>
                <c:ptCount val="1"/>
                <c:pt idx="0">
                  <c:v>Total</c:v>
                </c:pt>
              </c:strCache>
            </c:strRef>
          </c:tx>
          <c:spPr>
            <a:solidFill>
              <a:srgbClr val="00B050"/>
            </a:solidFill>
            <a:ln>
              <a:noFill/>
            </a:ln>
            <a:effectLst/>
          </c:spPr>
          <c:invertIfNegative val="0"/>
          <c:cat>
            <c:strRef>
              <c:f>'Pivot &amp;Calculations'!$D$72:$D$78</c:f>
              <c:strCache>
                <c:ptCount val="6"/>
                <c:pt idx="0">
                  <c:v>Abu Dhabi</c:v>
                </c:pt>
                <c:pt idx="1">
                  <c:v>Ajman</c:v>
                </c:pt>
                <c:pt idx="2">
                  <c:v>Al Ain</c:v>
                </c:pt>
                <c:pt idx="3">
                  <c:v>Dubai</c:v>
                </c:pt>
                <c:pt idx="4">
                  <c:v>Ras Al Khaimah</c:v>
                </c:pt>
                <c:pt idx="5">
                  <c:v>Sharjah</c:v>
                </c:pt>
              </c:strCache>
            </c:strRef>
          </c:cat>
          <c:val>
            <c:numRef>
              <c:f>'Pivot &amp;Calculations'!$E$72:$E$78</c:f>
              <c:numCache>
                <c:formatCode>General</c:formatCode>
                <c:ptCount val="6"/>
                <c:pt idx="0">
                  <c:v>363</c:v>
                </c:pt>
                <c:pt idx="1">
                  <c:v>308</c:v>
                </c:pt>
                <c:pt idx="2">
                  <c:v>348</c:v>
                </c:pt>
                <c:pt idx="3">
                  <c:v>317</c:v>
                </c:pt>
                <c:pt idx="4">
                  <c:v>325</c:v>
                </c:pt>
                <c:pt idx="5">
                  <c:v>339</c:v>
                </c:pt>
              </c:numCache>
            </c:numRef>
          </c:val>
          <c:extLst>
            <c:ext xmlns:c16="http://schemas.microsoft.com/office/drawing/2014/chart" uri="{C3380CC4-5D6E-409C-BE32-E72D297353CC}">
              <c16:uniqueId val="{00000000-ADBB-498B-B030-E4A5933595E8}"/>
            </c:ext>
          </c:extLst>
        </c:ser>
        <c:dLbls>
          <c:showLegendKey val="0"/>
          <c:showVal val="0"/>
          <c:showCatName val="0"/>
          <c:showSerName val="0"/>
          <c:showPercent val="0"/>
          <c:showBubbleSize val="0"/>
        </c:dLbls>
        <c:gapWidth val="150"/>
        <c:overlap val="100"/>
        <c:axId val="1163339887"/>
        <c:axId val="1163333231"/>
      </c:barChart>
      <c:catAx>
        <c:axId val="116333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63333231"/>
        <c:crosses val="autoZero"/>
        <c:auto val="1"/>
        <c:lblAlgn val="ctr"/>
        <c:lblOffset val="100"/>
        <c:noMultiLvlLbl val="0"/>
      </c:catAx>
      <c:valAx>
        <c:axId val="1163333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633398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Student enrollment and Revenue Analysis.xlsx]Pivot &amp;Calculations!PivotTable4</c:name>
    <c:fmtId val="7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Course</a:t>
            </a:r>
            <a:r>
              <a:rPr lang="en-US" b="1" baseline="0">
                <a:solidFill>
                  <a:srgbClr val="C00000"/>
                </a:solidFill>
              </a:rPr>
              <a:t> category Level vs Enrollment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a:noFill/>
          </a:ln>
          <a:effectLst/>
        </c:spPr>
        <c:marker>
          <c:symbol val="none"/>
        </c:marker>
      </c:pivotFmt>
      <c:pivotFmt>
        <c:idx val="4"/>
        <c:spPr>
          <a:solidFill>
            <a:srgbClr val="92D050"/>
          </a:solidFill>
          <a:ln>
            <a:noFill/>
          </a:ln>
          <a:effectLst/>
        </c:spPr>
      </c:pivotFmt>
      <c:pivotFmt>
        <c:idx val="5"/>
        <c:spPr>
          <a:solidFill>
            <a:srgbClr val="92D050"/>
          </a:solidFill>
          <a:ln>
            <a:noFill/>
          </a:ln>
          <a:effectLst/>
        </c:spPr>
        <c:marker>
          <c:symbol val="none"/>
        </c:marker>
      </c:pivotFmt>
      <c:pivotFmt>
        <c:idx val="6"/>
        <c:spPr>
          <a:solidFill>
            <a:schemeClr val="accent1"/>
          </a:solidFill>
          <a:ln>
            <a:noFill/>
          </a:ln>
          <a:effectLst/>
        </c:spPr>
        <c:marker>
          <c:symbol val="none"/>
        </c:marker>
      </c:pivotFmt>
      <c:pivotFmt>
        <c:idx val="7"/>
        <c:spPr>
          <a:solidFill>
            <a:srgbClr val="92D050"/>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manualLayout>
          <c:layoutTarget val="inner"/>
          <c:xMode val="edge"/>
          <c:yMode val="edge"/>
          <c:x val="0.12950984251968503"/>
          <c:y val="8.8379629629629614E-2"/>
          <c:w val="0.70132152230971123"/>
          <c:h val="0.55177165354330704"/>
        </c:manualLayout>
      </c:layout>
      <c:barChart>
        <c:barDir val="col"/>
        <c:grouping val="clustered"/>
        <c:varyColors val="0"/>
        <c:ser>
          <c:idx val="0"/>
          <c:order val="0"/>
          <c:tx>
            <c:strRef>
              <c:f>'Pivot &amp;Calculations'!$J$47:$J$48</c:f>
              <c:strCache>
                <c:ptCount val="1"/>
                <c:pt idx="0">
                  <c:v>Advanced</c:v>
                </c:pt>
              </c:strCache>
            </c:strRef>
          </c:tx>
          <c:spPr>
            <a:solidFill>
              <a:srgbClr val="92D050"/>
            </a:solidFill>
            <a:ln>
              <a:noFill/>
            </a:ln>
            <a:effectLst/>
          </c:spPr>
          <c:invertIfNegative val="0"/>
          <c:cat>
            <c:strRef>
              <c:f>'Pivot &amp;Calculations'!$I$49:$I$61</c:f>
              <c:strCache>
                <c:ptCount val="12"/>
                <c:pt idx="0">
                  <c:v>Administration</c:v>
                </c:pt>
                <c:pt idx="1">
                  <c:v>AI</c:v>
                </c:pt>
                <c:pt idx="2">
                  <c:v>Analytics</c:v>
                </c:pt>
                <c:pt idx="3">
                  <c:v>Construction</c:v>
                </c:pt>
                <c:pt idx="4">
                  <c:v>ERP</c:v>
                </c:pt>
                <c:pt idx="5">
                  <c:v>Finance</c:v>
                </c:pt>
                <c:pt idx="6">
                  <c:v>IT Security</c:v>
                </c:pt>
                <c:pt idx="7">
                  <c:v>Logistics</c:v>
                </c:pt>
                <c:pt idx="8">
                  <c:v>Management</c:v>
                </c:pt>
                <c:pt idx="9">
                  <c:v>Marketing</c:v>
                </c:pt>
                <c:pt idx="10">
                  <c:v>Programming</c:v>
                </c:pt>
                <c:pt idx="11">
                  <c:v>Tax</c:v>
                </c:pt>
              </c:strCache>
            </c:strRef>
          </c:cat>
          <c:val>
            <c:numRef>
              <c:f>'Pivot &amp;Calculations'!$J$49:$J$61</c:f>
              <c:numCache>
                <c:formatCode>General</c:formatCode>
                <c:ptCount val="12"/>
                <c:pt idx="0">
                  <c:v>78</c:v>
                </c:pt>
                <c:pt idx="1">
                  <c:v>57</c:v>
                </c:pt>
                <c:pt idx="2">
                  <c:v>158</c:v>
                </c:pt>
                <c:pt idx="3">
                  <c:v>63</c:v>
                </c:pt>
                <c:pt idx="4">
                  <c:v>125</c:v>
                </c:pt>
                <c:pt idx="5">
                  <c:v>69</c:v>
                </c:pt>
                <c:pt idx="6">
                  <c:v>76</c:v>
                </c:pt>
                <c:pt idx="7">
                  <c:v>74</c:v>
                </c:pt>
                <c:pt idx="8">
                  <c:v>68</c:v>
                </c:pt>
                <c:pt idx="9">
                  <c:v>83</c:v>
                </c:pt>
                <c:pt idx="10">
                  <c:v>73</c:v>
                </c:pt>
                <c:pt idx="11">
                  <c:v>61</c:v>
                </c:pt>
              </c:numCache>
            </c:numRef>
          </c:val>
          <c:extLst>
            <c:ext xmlns:c16="http://schemas.microsoft.com/office/drawing/2014/chart" uri="{C3380CC4-5D6E-409C-BE32-E72D297353CC}">
              <c16:uniqueId val="{00000000-5562-4976-83A1-27C7B790FDB4}"/>
            </c:ext>
          </c:extLst>
        </c:ser>
        <c:ser>
          <c:idx val="1"/>
          <c:order val="1"/>
          <c:tx>
            <c:strRef>
              <c:f>'Pivot &amp;Calculations'!$K$47:$K$48</c:f>
              <c:strCache>
                <c:ptCount val="1"/>
                <c:pt idx="0">
                  <c:v>Basic</c:v>
                </c:pt>
              </c:strCache>
            </c:strRef>
          </c:tx>
          <c:spPr>
            <a:solidFill>
              <a:schemeClr val="accent2"/>
            </a:solidFill>
            <a:ln>
              <a:noFill/>
            </a:ln>
            <a:effectLst/>
          </c:spPr>
          <c:invertIfNegative val="0"/>
          <c:cat>
            <c:strRef>
              <c:f>'Pivot &amp;Calculations'!$I$49:$I$61</c:f>
              <c:strCache>
                <c:ptCount val="12"/>
                <c:pt idx="0">
                  <c:v>Administration</c:v>
                </c:pt>
                <c:pt idx="1">
                  <c:v>AI</c:v>
                </c:pt>
                <c:pt idx="2">
                  <c:v>Analytics</c:v>
                </c:pt>
                <c:pt idx="3">
                  <c:v>Construction</c:v>
                </c:pt>
                <c:pt idx="4">
                  <c:v>ERP</c:v>
                </c:pt>
                <c:pt idx="5">
                  <c:v>Finance</c:v>
                </c:pt>
                <c:pt idx="6">
                  <c:v>IT Security</c:v>
                </c:pt>
                <c:pt idx="7">
                  <c:v>Logistics</c:v>
                </c:pt>
                <c:pt idx="8">
                  <c:v>Management</c:v>
                </c:pt>
                <c:pt idx="9">
                  <c:v>Marketing</c:v>
                </c:pt>
                <c:pt idx="10">
                  <c:v>Programming</c:v>
                </c:pt>
                <c:pt idx="11">
                  <c:v>Tax</c:v>
                </c:pt>
              </c:strCache>
            </c:strRef>
          </c:cat>
          <c:val>
            <c:numRef>
              <c:f>'Pivot &amp;Calculations'!$K$49:$K$61</c:f>
              <c:numCache>
                <c:formatCode>General</c:formatCode>
                <c:ptCount val="12"/>
                <c:pt idx="0">
                  <c:v>80</c:v>
                </c:pt>
                <c:pt idx="1">
                  <c:v>77</c:v>
                </c:pt>
                <c:pt idx="2">
                  <c:v>143</c:v>
                </c:pt>
                <c:pt idx="3">
                  <c:v>88</c:v>
                </c:pt>
                <c:pt idx="4">
                  <c:v>137</c:v>
                </c:pt>
                <c:pt idx="5">
                  <c:v>69</c:v>
                </c:pt>
                <c:pt idx="6">
                  <c:v>82</c:v>
                </c:pt>
                <c:pt idx="7">
                  <c:v>66</c:v>
                </c:pt>
                <c:pt idx="8">
                  <c:v>54</c:v>
                </c:pt>
                <c:pt idx="9">
                  <c:v>73</c:v>
                </c:pt>
                <c:pt idx="10">
                  <c:v>84</c:v>
                </c:pt>
                <c:pt idx="11">
                  <c:v>62</c:v>
                </c:pt>
              </c:numCache>
            </c:numRef>
          </c:val>
          <c:extLst>
            <c:ext xmlns:c16="http://schemas.microsoft.com/office/drawing/2014/chart" uri="{C3380CC4-5D6E-409C-BE32-E72D297353CC}">
              <c16:uniqueId val="{00000000-296C-4E19-AECE-F53D1D4FEDE1}"/>
            </c:ext>
          </c:extLst>
        </c:ser>
        <c:dLbls>
          <c:showLegendKey val="0"/>
          <c:showVal val="0"/>
          <c:showCatName val="0"/>
          <c:showSerName val="0"/>
          <c:showPercent val="0"/>
          <c:showBubbleSize val="0"/>
        </c:dLbls>
        <c:gapWidth val="150"/>
        <c:axId val="17707151"/>
        <c:axId val="17700495"/>
      </c:barChart>
      <c:catAx>
        <c:axId val="1770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700495"/>
        <c:crosses val="autoZero"/>
        <c:auto val="1"/>
        <c:lblAlgn val="ctr"/>
        <c:lblOffset val="100"/>
        <c:noMultiLvlLbl val="0"/>
      </c:catAx>
      <c:valAx>
        <c:axId val="17700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7071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Student enrollment and Revenue Analysis.xlsx]Pivot &amp;Calculations!PivotTable6</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Course</a:t>
            </a:r>
            <a:r>
              <a:rPr lang="en-US" b="1" baseline="0">
                <a:solidFill>
                  <a:srgbClr val="C00000"/>
                </a:solidFill>
              </a:rPr>
              <a:t> wise enrollment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B050"/>
          </a:solidFill>
          <a:ln>
            <a:noFill/>
          </a:ln>
          <a:effectLst/>
        </c:spPr>
        <c:marker>
          <c:symbol val="none"/>
        </c:marker>
      </c:pivotFmt>
    </c:pivotFmts>
    <c:plotArea>
      <c:layout/>
      <c:barChart>
        <c:barDir val="bar"/>
        <c:grouping val="stacked"/>
        <c:varyColors val="0"/>
        <c:ser>
          <c:idx val="0"/>
          <c:order val="0"/>
          <c:tx>
            <c:strRef>
              <c:f>'Pivot &amp;Calculations'!$J$28</c:f>
              <c:strCache>
                <c:ptCount val="1"/>
                <c:pt idx="0">
                  <c:v>Total</c:v>
                </c:pt>
              </c:strCache>
            </c:strRef>
          </c:tx>
          <c:spPr>
            <a:solidFill>
              <a:srgbClr val="00B050"/>
            </a:solidFill>
            <a:ln>
              <a:noFill/>
            </a:ln>
            <a:effectLst/>
          </c:spPr>
          <c:invertIfNegative val="0"/>
          <c:cat>
            <c:strRef>
              <c:f>'Pivot &amp;Calculations'!$I$29:$I$39</c:f>
              <c:strCache>
                <c:ptCount val="10"/>
                <c:pt idx="0">
                  <c:v>AI Generalist</c:v>
                </c:pt>
                <c:pt idx="1">
                  <c:v>Financial Accounting</c:v>
                </c:pt>
                <c:pt idx="2">
                  <c:v>Logistics &amp; Supply Chain</c:v>
                </c:pt>
                <c:pt idx="3">
                  <c:v>Power BI &amp; Business Intelligence</c:v>
                </c:pt>
                <c:pt idx="4">
                  <c:v>Quantity Surveying (QS)</c:v>
                </c:pt>
                <c:pt idx="5">
                  <c:v>Digital Marketing</c:v>
                </c:pt>
                <c:pt idx="6">
                  <c:v>Python for Data Analysis</c:v>
                </c:pt>
                <c:pt idx="7">
                  <c:v>Corporate Administration (ATCA)</c:v>
                </c:pt>
                <c:pt idx="8">
                  <c:v>Cyber Security</c:v>
                </c:pt>
                <c:pt idx="9">
                  <c:v>Data Analytics</c:v>
                </c:pt>
              </c:strCache>
            </c:strRef>
          </c:cat>
          <c:val>
            <c:numRef>
              <c:f>'Pivot &amp;Calculations'!$J$29:$J$39</c:f>
              <c:numCache>
                <c:formatCode>General</c:formatCode>
                <c:ptCount val="10"/>
                <c:pt idx="0">
                  <c:v>134</c:v>
                </c:pt>
                <c:pt idx="1">
                  <c:v>138</c:v>
                </c:pt>
                <c:pt idx="2">
                  <c:v>140</c:v>
                </c:pt>
                <c:pt idx="3">
                  <c:v>142</c:v>
                </c:pt>
                <c:pt idx="4">
                  <c:v>151</c:v>
                </c:pt>
                <c:pt idx="5">
                  <c:v>156</c:v>
                </c:pt>
                <c:pt idx="6">
                  <c:v>157</c:v>
                </c:pt>
                <c:pt idx="7">
                  <c:v>158</c:v>
                </c:pt>
                <c:pt idx="8">
                  <c:v>158</c:v>
                </c:pt>
                <c:pt idx="9">
                  <c:v>159</c:v>
                </c:pt>
              </c:numCache>
            </c:numRef>
          </c:val>
          <c:extLst>
            <c:ext xmlns:c16="http://schemas.microsoft.com/office/drawing/2014/chart" uri="{C3380CC4-5D6E-409C-BE32-E72D297353CC}">
              <c16:uniqueId val="{00000000-C20D-44ED-B487-81BC032749AA}"/>
            </c:ext>
          </c:extLst>
        </c:ser>
        <c:dLbls>
          <c:showLegendKey val="0"/>
          <c:showVal val="0"/>
          <c:showCatName val="0"/>
          <c:showSerName val="0"/>
          <c:showPercent val="0"/>
          <c:showBubbleSize val="0"/>
        </c:dLbls>
        <c:gapWidth val="150"/>
        <c:overlap val="100"/>
        <c:axId val="17705487"/>
        <c:axId val="17693423"/>
      </c:barChart>
      <c:catAx>
        <c:axId val="17705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3423"/>
        <c:crosses val="autoZero"/>
        <c:auto val="1"/>
        <c:lblAlgn val="ctr"/>
        <c:lblOffset val="100"/>
        <c:noMultiLvlLbl val="0"/>
      </c:catAx>
      <c:valAx>
        <c:axId val="17693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54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Student enrollment and Revenue Analysis.xlsx]Pivot &amp;Calculations!PivotTable7</c:name>
    <c:fmtId val="15"/>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b="1">
                <a:solidFill>
                  <a:srgbClr val="C00000"/>
                </a:solidFill>
              </a:rPr>
              <a:t>REVENUE</a:t>
            </a:r>
            <a:r>
              <a:rPr lang="en-US" b="1" baseline="0">
                <a:solidFill>
                  <a:srgbClr val="C00000"/>
                </a:solidFill>
              </a:rPr>
              <a:t> GENERATED BY COURSE AND PENDING REVENUE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rgbClr val="00B050"/>
          </a:solidFill>
          <a:ln>
            <a:noFill/>
          </a:ln>
          <a:effectLst/>
        </c:spPr>
        <c:marker>
          <c:symbol val="none"/>
        </c:marker>
      </c:pivotFmt>
      <c:pivotFmt>
        <c:idx val="5"/>
        <c:spPr>
          <a:ln w="28575" cap="rnd">
            <a:solidFill>
              <a:schemeClr val="accent1"/>
            </a:solidFill>
            <a:round/>
          </a:ln>
          <a:effectLst/>
        </c:spPr>
        <c:marker>
          <c:symbol val="none"/>
        </c:marker>
      </c:pivotFmt>
    </c:pivotFmts>
    <c:plotArea>
      <c:layout/>
      <c:barChart>
        <c:barDir val="col"/>
        <c:grouping val="clustered"/>
        <c:varyColors val="0"/>
        <c:ser>
          <c:idx val="0"/>
          <c:order val="0"/>
          <c:tx>
            <c:strRef>
              <c:f>'Pivot &amp;Calculations'!$N$3</c:f>
              <c:strCache>
                <c:ptCount val="1"/>
                <c:pt idx="0">
                  <c:v>Sum of Revenue</c:v>
                </c:pt>
              </c:strCache>
            </c:strRef>
          </c:tx>
          <c:spPr>
            <a:solidFill>
              <a:srgbClr val="00B050"/>
            </a:solidFill>
            <a:ln>
              <a:noFill/>
            </a:ln>
            <a:effectLst/>
          </c:spPr>
          <c:invertIfNegative val="0"/>
          <c:cat>
            <c:strRef>
              <c:f>'Pivot &amp;Calculations'!$M$4:$M$18</c:f>
              <c:strCache>
                <c:ptCount val="14"/>
                <c:pt idx="0">
                  <c:v>AI Generalist</c:v>
                </c:pt>
                <c:pt idx="1">
                  <c:v>Corporate Administration (ATCA)</c:v>
                </c:pt>
                <c:pt idx="2">
                  <c:v>Cyber Security</c:v>
                </c:pt>
                <c:pt idx="3">
                  <c:v>Data Analytics</c:v>
                </c:pt>
                <c:pt idx="4">
                  <c:v>Digital Marketing</c:v>
                </c:pt>
                <c:pt idx="5">
                  <c:v>Financial Accounting</c:v>
                </c:pt>
                <c:pt idx="6">
                  <c:v>Logistics &amp; Supply Chain</c:v>
                </c:pt>
                <c:pt idx="7">
                  <c:v>Power BI &amp; Business Intelligence</c:v>
                </c:pt>
                <c:pt idx="8">
                  <c:v>Project Management</c:v>
                </c:pt>
                <c:pt idx="9">
                  <c:v>Python for Data Analysis</c:v>
                </c:pt>
                <c:pt idx="10">
                  <c:v>Quantity Surveying (QS)</c:v>
                </c:pt>
                <c:pt idx="11">
                  <c:v>SAP FICO</c:v>
                </c:pt>
                <c:pt idx="12">
                  <c:v>SAP MM</c:v>
                </c:pt>
                <c:pt idx="13">
                  <c:v>UAE VAT &amp; Taxation</c:v>
                </c:pt>
              </c:strCache>
            </c:strRef>
          </c:cat>
          <c:val>
            <c:numRef>
              <c:f>'Pivot &amp;Calculations'!$N$4:$N$18</c:f>
              <c:numCache>
                <c:formatCode>General</c:formatCode>
                <c:ptCount val="14"/>
                <c:pt idx="0">
                  <c:v>1028315</c:v>
                </c:pt>
                <c:pt idx="1">
                  <c:v>616867</c:v>
                </c:pt>
                <c:pt idx="2">
                  <c:v>1177143</c:v>
                </c:pt>
                <c:pt idx="3">
                  <c:v>630554</c:v>
                </c:pt>
                <c:pt idx="4">
                  <c:v>594293</c:v>
                </c:pt>
                <c:pt idx="5">
                  <c:v>555789</c:v>
                </c:pt>
                <c:pt idx="6">
                  <c:v>492344</c:v>
                </c:pt>
                <c:pt idx="7">
                  <c:v>360011</c:v>
                </c:pt>
                <c:pt idx="8">
                  <c:v>567794</c:v>
                </c:pt>
                <c:pt idx="9">
                  <c:v>513322</c:v>
                </c:pt>
                <c:pt idx="10">
                  <c:v>651504</c:v>
                </c:pt>
                <c:pt idx="11">
                  <c:v>778273</c:v>
                </c:pt>
                <c:pt idx="12">
                  <c:v>782798</c:v>
                </c:pt>
                <c:pt idx="13">
                  <c:v>393736</c:v>
                </c:pt>
              </c:numCache>
            </c:numRef>
          </c:val>
          <c:extLst>
            <c:ext xmlns:c16="http://schemas.microsoft.com/office/drawing/2014/chart" uri="{C3380CC4-5D6E-409C-BE32-E72D297353CC}">
              <c16:uniqueId val="{00000000-6CD4-4235-B37B-0F3303D2E992}"/>
            </c:ext>
          </c:extLst>
        </c:ser>
        <c:dLbls>
          <c:showLegendKey val="0"/>
          <c:showVal val="0"/>
          <c:showCatName val="0"/>
          <c:showSerName val="0"/>
          <c:showPercent val="0"/>
          <c:showBubbleSize val="0"/>
        </c:dLbls>
        <c:gapWidth val="150"/>
        <c:axId val="839793200"/>
        <c:axId val="839796528"/>
      </c:barChart>
      <c:lineChart>
        <c:grouping val="standard"/>
        <c:varyColors val="0"/>
        <c:ser>
          <c:idx val="1"/>
          <c:order val="1"/>
          <c:tx>
            <c:strRef>
              <c:f>'Pivot &amp;Calculations'!$O$3</c:f>
              <c:strCache>
                <c:ptCount val="1"/>
                <c:pt idx="0">
                  <c:v>Sum of pending Revenue</c:v>
                </c:pt>
              </c:strCache>
            </c:strRef>
          </c:tx>
          <c:spPr>
            <a:ln w="28575" cap="rnd">
              <a:solidFill>
                <a:schemeClr val="accent2"/>
              </a:solidFill>
              <a:round/>
            </a:ln>
            <a:effectLst/>
          </c:spPr>
          <c:marker>
            <c:symbol val="none"/>
          </c:marker>
          <c:cat>
            <c:strRef>
              <c:f>'Pivot &amp;Calculations'!$M$4:$M$18</c:f>
              <c:strCache>
                <c:ptCount val="14"/>
                <c:pt idx="0">
                  <c:v>AI Generalist</c:v>
                </c:pt>
                <c:pt idx="1">
                  <c:v>Corporate Administration (ATCA)</c:v>
                </c:pt>
                <c:pt idx="2">
                  <c:v>Cyber Security</c:v>
                </c:pt>
                <c:pt idx="3">
                  <c:v>Data Analytics</c:v>
                </c:pt>
                <c:pt idx="4">
                  <c:v>Digital Marketing</c:v>
                </c:pt>
                <c:pt idx="5">
                  <c:v>Financial Accounting</c:v>
                </c:pt>
                <c:pt idx="6">
                  <c:v>Logistics &amp; Supply Chain</c:v>
                </c:pt>
                <c:pt idx="7">
                  <c:v>Power BI &amp; Business Intelligence</c:v>
                </c:pt>
                <c:pt idx="8">
                  <c:v>Project Management</c:v>
                </c:pt>
                <c:pt idx="9">
                  <c:v>Python for Data Analysis</c:v>
                </c:pt>
                <c:pt idx="10">
                  <c:v>Quantity Surveying (QS)</c:v>
                </c:pt>
                <c:pt idx="11">
                  <c:v>SAP FICO</c:v>
                </c:pt>
                <c:pt idx="12">
                  <c:v>SAP MM</c:v>
                </c:pt>
                <c:pt idx="13">
                  <c:v>UAE VAT &amp; Taxation</c:v>
                </c:pt>
              </c:strCache>
            </c:strRef>
          </c:cat>
          <c:val>
            <c:numRef>
              <c:f>'Pivot &amp;Calculations'!$O$4:$O$18</c:f>
              <c:numCache>
                <c:formatCode>General</c:formatCode>
                <c:ptCount val="14"/>
                <c:pt idx="0">
                  <c:v>474269</c:v>
                </c:pt>
                <c:pt idx="1">
                  <c:v>296972</c:v>
                </c:pt>
                <c:pt idx="2">
                  <c:v>665896</c:v>
                </c:pt>
                <c:pt idx="3">
                  <c:v>365153</c:v>
                </c:pt>
                <c:pt idx="4">
                  <c:v>307166</c:v>
                </c:pt>
                <c:pt idx="5">
                  <c:v>275432</c:v>
                </c:pt>
                <c:pt idx="6">
                  <c:v>272335</c:v>
                </c:pt>
                <c:pt idx="7">
                  <c:v>202335</c:v>
                </c:pt>
                <c:pt idx="8">
                  <c:v>269384</c:v>
                </c:pt>
                <c:pt idx="9">
                  <c:v>226920</c:v>
                </c:pt>
                <c:pt idx="10">
                  <c:v>316648</c:v>
                </c:pt>
                <c:pt idx="11">
                  <c:v>453766</c:v>
                </c:pt>
                <c:pt idx="12">
                  <c:v>460279</c:v>
                </c:pt>
                <c:pt idx="13">
                  <c:v>194155</c:v>
                </c:pt>
              </c:numCache>
            </c:numRef>
          </c:val>
          <c:smooth val="0"/>
          <c:extLst>
            <c:ext xmlns:c16="http://schemas.microsoft.com/office/drawing/2014/chart" uri="{C3380CC4-5D6E-409C-BE32-E72D297353CC}">
              <c16:uniqueId val="{00000001-6CD4-4235-B37B-0F3303D2E992}"/>
            </c:ext>
          </c:extLst>
        </c:ser>
        <c:dLbls>
          <c:showLegendKey val="0"/>
          <c:showVal val="0"/>
          <c:showCatName val="0"/>
          <c:showSerName val="0"/>
          <c:showPercent val="0"/>
          <c:showBubbleSize val="0"/>
        </c:dLbls>
        <c:marker val="1"/>
        <c:smooth val="0"/>
        <c:axId val="839798192"/>
        <c:axId val="839796944"/>
      </c:lineChart>
      <c:catAx>
        <c:axId val="83979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39796528"/>
        <c:crosses val="autoZero"/>
        <c:auto val="1"/>
        <c:lblAlgn val="ctr"/>
        <c:lblOffset val="100"/>
        <c:noMultiLvlLbl val="0"/>
      </c:catAx>
      <c:valAx>
        <c:axId val="839796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39793200"/>
        <c:crosses val="autoZero"/>
        <c:crossBetween val="between"/>
      </c:valAx>
      <c:valAx>
        <c:axId val="83979694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39798192"/>
        <c:crosses val="max"/>
        <c:crossBetween val="between"/>
      </c:valAx>
      <c:catAx>
        <c:axId val="839798192"/>
        <c:scaling>
          <c:orientation val="minMax"/>
        </c:scaling>
        <c:delete val="1"/>
        <c:axPos val="b"/>
        <c:numFmt formatCode="General" sourceLinked="1"/>
        <c:majorTickMark val="none"/>
        <c:minorTickMark val="none"/>
        <c:tickLblPos val="nextTo"/>
        <c:crossAx val="839796944"/>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Student enrollment and Revenue Analysis.xlsx]Pivot &amp;Calculations!PivotTable8</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rgbClr val="C00000"/>
                </a:solidFill>
              </a:rPr>
              <a:t>MONTHLY</a:t>
            </a:r>
            <a:r>
              <a:rPr lang="en-US" b="1" baseline="0">
                <a:solidFill>
                  <a:srgbClr val="C00000"/>
                </a:solidFill>
              </a:rPr>
              <a:t> REVENUE TREND</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B050"/>
            </a:solidFill>
            <a:round/>
          </a:ln>
          <a:effectLst/>
        </c:spPr>
        <c:marker>
          <c:symbol val="circle"/>
          <c:size val="5"/>
          <c:spPr>
            <a:solidFill>
              <a:srgbClr val="C00000"/>
            </a:solidFill>
            <a:ln w="9525">
              <a:solidFill>
                <a:srgbClr val="00B050"/>
              </a:solidFill>
            </a:ln>
            <a:effectLst/>
          </c:spPr>
        </c:marker>
      </c:pivotFmt>
      <c:pivotFmt>
        <c:idx val="1"/>
        <c:spPr>
          <a:solidFill>
            <a:schemeClr val="accent1"/>
          </a:solidFill>
          <a:ln w="28575" cap="rnd">
            <a:solidFill>
              <a:srgbClr val="00B050"/>
            </a:solidFill>
            <a:round/>
          </a:ln>
          <a:effectLst/>
        </c:spPr>
        <c:marker>
          <c:symbol val="circle"/>
          <c:size val="5"/>
          <c:spPr>
            <a:solidFill>
              <a:srgbClr val="C00000"/>
            </a:solidFill>
            <a:ln w="9525">
              <a:solidFill>
                <a:srgbClr val="00B050"/>
              </a:solidFill>
            </a:ln>
            <a:effectLst/>
          </c:spPr>
        </c:marker>
      </c:pivotFmt>
      <c:pivotFmt>
        <c:idx val="2"/>
        <c:spPr>
          <a:ln w="28575" cap="rnd">
            <a:solidFill>
              <a:srgbClr val="00B050"/>
            </a:solidFill>
            <a:round/>
          </a:ln>
          <a:effectLst/>
        </c:spPr>
        <c:marker>
          <c:symbol val="circle"/>
          <c:size val="5"/>
          <c:spPr>
            <a:solidFill>
              <a:srgbClr val="C00000"/>
            </a:solidFill>
            <a:ln w="9525">
              <a:solidFill>
                <a:srgbClr val="00B050"/>
              </a:solidFill>
            </a:ln>
            <a:effectLst/>
          </c:spPr>
        </c:marker>
      </c:pivotFmt>
    </c:pivotFmts>
    <c:plotArea>
      <c:layout>
        <c:manualLayout>
          <c:layoutTarget val="inner"/>
          <c:xMode val="edge"/>
          <c:yMode val="edge"/>
          <c:x val="0.13561165906893216"/>
          <c:y val="0.26224299065420559"/>
          <c:w val="0.83953018372703414"/>
          <c:h val="0.6243721637599039"/>
        </c:manualLayout>
      </c:layout>
      <c:lineChart>
        <c:grouping val="standard"/>
        <c:varyColors val="0"/>
        <c:ser>
          <c:idx val="0"/>
          <c:order val="0"/>
          <c:tx>
            <c:strRef>
              <c:f>'Pivot &amp;Calculations'!$N$21</c:f>
              <c:strCache>
                <c:ptCount val="1"/>
                <c:pt idx="0">
                  <c:v>Total</c:v>
                </c:pt>
              </c:strCache>
            </c:strRef>
          </c:tx>
          <c:spPr>
            <a:ln w="28575" cap="rnd">
              <a:solidFill>
                <a:srgbClr val="00B050"/>
              </a:solidFill>
              <a:round/>
            </a:ln>
            <a:effectLst/>
          </c:spPr>
          <c:marker>
            <c:symbol val="circle"/>
            <c:size val="5"/>
            <c:spPr>
              <a:solidFill>
                <a:srgbClr val="C00000"/>
              </a:solidFill>
              <a:ln w="9525">
                <a:solidFill>
                  <a:srgbClr val="00B050"/>
                </a:solidFill>
              </a:ln>
              <a:effectLst/>
            </c:spPr>
          </c:marker>
          <c:cat>
            <c:strRef>
              <c:f>'Pivot &amp;Calculations'!$M$22:$M$34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&amp;Calculations'!$N$22:$N$34</c:f>
              <c:numCache>
                <c:formatCode>General</c:formatCode>
                <c:ptCount val="12"/>
                <c:pt idx="0">
                  <c:v>785223</c:v>
                </c:pt>
                <c:pt idx="1">
                  <c:v>787157</c:v>
                </c:pt>
                <c:pt idx="2">
                  <c:v>668857</c:v>
                </c:pt>
                <c:pt idx="3">
                  <c:v>703982</c:v>
                </c:pt>
                <c:pt idx="4">
                  <c:v>718073</c:v>
                </c:pt>
                <c:pt idx="5">
                  <c:v>673453</c:v>
                </c:pt>
                <c:pt idx="6">
                  <c:v>769688</c:v>
                </c:pt>
                <c:pt idx="7">
                  <c:v>827722</c:v>
                </c:pt>
                <c:pt idx="8">
                  <c:v>831971</c:v>
                </c:pt>
                <c:pt idx="9">
                  <c:v>778108</c:v>
                </c:pt>
                <c:pt idx="10">
                  <c:v>804913</c:v>
                </c:pt>
                <c:pt idx="11">
                  <c:v>793596</c:v>
                </c:pt>
              </c:numCache>
            </c:numRef>
          </c:val>
          <c:smooth val="0"/>
          <c:extLst>
            <c:ext xmlns:c16="http://schemas.microsoft.com/office/drawing/2014/chart" uri="{C3380CC4-5D6E-409C-BE32-E72D297353CC}">
              <c16:uniqueId val="{00000000-5549-4DD1-B29C-A145E11F45E2}"/>
            </c:ext>
          </c:extLst>
        </c:ser>
        <c:dLbls>
          <c:showLegendKey val="0"/>
          <c:showVal val="0"/>
          <c:showCatName val="0"/>
          <c:showSerName val="0"/>
          <c:showPercent val="0"/>
          <c:showBubbleSize val="0"/>
        </c:dLbls>
        <c:marker val="1"/>
        <c:smooth val="0"/>
        <c:axId val="954366752"/>
        <c:axId val="954367168"/>
      </c:lineChart>
      <c:catAx>
        <c:axId val="95436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4367168"/>
        <c:crosses val="autoZero"/>
        <c:auto val="1"/>
        <c:lblAlgn val="ctr"/>
        <c:lblOffset val="100"/>
        <c:noMultiLvlLbl val="0"/>
      </c:catAx>
      <c:valAx>
        <c:axId val="954367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4366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Student enrollment and Revenue Analysis.xlsx]Pivot &amp;Calculations!PivotTable9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REVENUE</a:t>
            </a:r>
            <a:r>
              <a:rPr lang="en-US" b="1" baseline="0">
                <a:solidFill>
                  <a:srgbClr val="C00000"/>
                </a:solidFill>
              </a:rPr>
              <a:t> GENERATED BY BRANCH AND PENDING REVENUE</a:t>
            </a:r>
            <a:endParaRPr lang="en-US" b="1">
              <a:solidFill>
                <a:srgbClr val="C00000"/>
              </a:solidFill>
            </a:endParaRPr>
          </a:p>
        </c:rich>
      </c:tx>
      <c:layout>
        <c:manualLayout>
          <c:xMode val="edge"/>
          <c:yMode val="edge"/>
          <c:x val="0.18309011373578302"/>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pivotFmt>
      <c:pivotFmt>
        <c:idx val="1"/>
        <c:spPr>
          <a:solidFill>
            <a:srgbClr val="FF0000"/>
          </a:solidFill>
          <a:ln>
            <a:noFill/>
          </a:ln>
          <a:effectLst/>
        </c:spPr>
        <c:marker>
          <c:symbol val="none"/>
        </c:marker>
      </c:pivotFmt>
      <c:pivotFmt>
        <c:idx val="2"/>
        <c:spPr>
          <a:solidFill>
            <a:srgbClr val="00B050"/>
          </a:solidFill>
          <a:ln>
            <a:noFill/>
          </a:ln>
          <a:effectLst/>
        </c:spPr>
        <c:marker>
          <c:symbol val="none"/>
        </c:marker>
      </c:pivotFmt>
      <c:pivotFmt>
        <c:idx val="3"/>
        <c:spPr>
          <a:solidFill>
            <a:srgbClr val="FF0000"/>
          </a:solidFill>
          <a:ln>
            <a:noFill/>
          </a:ln>
          <a:effectLst/>
        </c:spPr>
        <c:marker>
          <c:symbol val="none"/>
        </c:marker>
      </c:pivotFmt>
      <c:pivotFmt>
        <c:idx val="4"/>
        <c:spPr>
          <a:solidFill>
            <a:srgbClr val="00B050"/>
          </a:solidFill>
          <a:ln>
            <a:noFill/>
          </a:ln>
          <a:effectLst/>
        </c:spPr>
        <c:marker>
          <c:symbol val="none"/>
        </c:marker>
      </c:pivotFmt>
      <c:pivotFmt>
        <c:idx val="5"/>
        <c:spPr>
          <a:solidFill>
            <a:srgbClr val="FF0000"/>
          </a:solidFill>
          <a:ln>
            <a:noFill/>
          </a:ln>
          <a:effectLst/>
        </c:spPr>
        <c:marker>
          <c:symbol val="none"/>
        </c:marker>
      </c:pivotFmt>
    </c:pivotFmts>
    <c:plotArea>
      <c:layout/>
      <c:barChart>
        <c:barDir val="col"/>
        <c:grouping val="clustered"/>
        <c:varyColors val="0"/>
        <c:ser>
          <c:idx val="0"/>
          <c:order val="0"/>
          <c:tx>
            <c:strRef>
              <c:f>'Pivot &amp;Calculations'!$N$37</c:f>
              <c:strCache>
                <c:ptCount val="1"/>
                <c:pt idx="0">
                  <c:v>Sum of Revenue</c:v>
                </c:pt>
              </c:strCache>
            </c:strRef>
          </c:tx>
          <c:spPr>
            <a:solidFill>
              <a:srgbClr val="00B050"/>
            </a:solidFill>
            <a:ln>
              <a:noFill/>
            </a:ln>
            <a:effectLst/>
          </c:spPr>
          <c:invertIfNegative val="0"/>
          <c:cat>
            <c:strRef>
              <c:f>'Pivot &amp;Calculations'!$M$38:$M$44</c:f>
              <c:strCache>
                <c:ptCount val="6"/>
                <c:pt idx="0">
                  <c:v>Abu Dhabi</c:v>
                </c:pt>
                <c:pt idx="1">
                  <c:v>Sharjah</c:v>
                </c:pt>
                <c:pt idx="2">
                  <c:v>Al Ain</c:v>
                </c:pt>
                <c:pt idx="3">
                  <c:v>Ras Al Khaimah</c:v>
                </c:pt>
                <c:pt idx="4">
                  <c:v>Dubai</c:v>
                </c:pt>
                <c:pt idx="5">
                  <c:v>Ajman</c:v>
                </c:pt>
              </c:strCache>
            </c:strRef>
          </c:cat>
          <c:val>
            <c:numRef>
              <c:f>'Pivot &amp;Calculations'!$N$38:$N$44</c:f>
              <c:numCache>
                <c:formatCode>General</c:formatCode>
                <c:ptCount val="6"/>
                <c:pt idx="0">
                  <c:v>1648335</c:v>
                </c:pt>
                <c:pt idx="1">
                  <c:v>1576710</c:v>
                </c:pt>
                <c:pt idx="2">
                  <c:v>1564026</c:v>
                </c:pt>
                <c:pt idx="3">
                  <c:v>1488258</c:v>
                </c:pt>
                <c:pt idx="4">
                  <c:v>1444381</c:v>
                </c:pt>
                <c:pt idx="5">
                  <c:v>1421033</c:v>
                </c:pt>
              </c:numCache>
            </c:numRef>
          </c:val>
          <c:extLst>
            <c:ext xmlns:c16="http://schemas.microsoft.com/office/drawing/2014/chart" uri="{C3380CC4-5D6E-409C-BE32-E72D297353CC}">
              <c16:uniqueId val="{00000000-8BCD-42BE-929B-25A3A1E1177A}"/>
            </c:ext>
          </c:extLst>
        </c:ser>
        <c:ser>
          <c:idx val="1"/>
          <c:order val="1"/>
          <c:tx>
            <c:strRef>
              <c:f>'Pivot &amp;Calculations'!$O$37</c:f>
              <c:strCache>
                <c:ptCount val="1"/>
                <c:pt idx="0">
                  <c:v>Sum of pending Revenue</c:v>
                </c:pt>
              </c:strCache>
            </c:strRef>
          </c:tx>
          <c:spPr>
            <a:solidFill>
              <a:srgbClr val="FF0000"/>
            </a:solidFill>
            <a:ln>
              <a:noFill/>
            </a:ln>
            <a:effectLst/>
          </c:spPr>
          <c:invertIfNegative val="0"/>
          <c:cat>
            <c:strRef>
              <c:f>'Pivot &amp;Calculations'!$M$38:$M$44</c:f>
              <c:strCache>
                <c:ptCount val="6"/>
                <c:pt idx="0">
                  <c:v>Abu Dhabi</c:v>
                </c:pt>
                <c:pt idx="1">
                  <c:v>Sharjah</c:v>
                </c:pt>
                <c:pt idx="2">
                  <c:v>Al Ain</c:v>
                </c:pt>
                <c:pt idx="3">
                  <c:v>Ras Al Khaimah</c:v>
                </c:pt>
                <c:pt idx="4">
                  <c:v>Dubai</c:v>
                </c:pt>
                <c:pt idx="5">
                  <c:v>Ajman</c:v>
                </c:pt>
              </c:strCache>
            </c:strRef>
          </c:cat>
          <c:val>
            <c:numRef>
              <c:f>'Pivot &amp;Calculations'!$O$38:$O$44</c:f>
              <c:numCache>
                <c:formatCode>General</c:formatCode>
                <c:ptCount val="6"/>
                <c:pt idx="0">
                  <c:v>879346</c:v>
                </c:pt>
                <c:pt idx="1">
                  <c:v>781842</c:v>
                </c:pt>
                <c:pt idx="2">
                  <c:v>850377</c:v>
                </c:pt>
                <c:pt idx="3">
                  <c:v>684396</c:v>
                </c:pt>
                <c:pt idx="4">
                  <c:v>764554</c:v>
                </c:pt>
                <c:pt idx="5">
                  <c:v>820195</c:v>
                </c:pt>
              </c:numCache>
            </c:numRef>
          </c:val>
          <c:extLst>
            <c:ext xmlns:c16="http://schemas.microsoft.com/office/drawing/2014/chart" uri="{C3380CC4-5D6E-409C-BE32-E72D297353CC}">
              <c16:uniqueId val="{00000001-8BCD-42BE-929B-25A3A1E1177A}"/>
            </c:ext>
          </c:extLst>
        </c:ser>
        <c:dLbls>
          <c:showLegendKey val="0"/>
          <c:showVal val="0"/>
          <c:showCatName val="0"/>
          <c:showSerName val="0"/>
          <c:showPercent val="0"/>
          <c:showBubbleSize val="0"/>
        </c:dLbls>
        <c:gapWidth val="219"/>
        <c:overlap val="-27"/>
        <c:axId val="954375072"/>
        <c:axId val="954382144"/>
      </c:barChart>
      <c:catAx>
        <c:axId val="95437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4382144"/>
        <c:crosses val="autoZero"/>
        <c:auto val="1"/>
        <c:lblAlgn val="ctr"/>
        <c:lblOffset val="100"/>
        <c:noMultiLvlLbl val="0"/>
      </c:catAx>
      <c:valAx>
        <c:axId val="954382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4375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Student enrollment and Revenue Analysis.xlsx]Pivot &amp;Calculations!PivotTable10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PAYMENT</a:t>
            </a:r>
            <a:r>
              <a:rPr lang="en-US" b="1" baseline="0">
                <a:solidFill>
                  <a:srgbClr val="C00000"/>
                </a:solidFill>
              </a:rPr>
              <a:t> STATUS SUMMERY</a:t>
            </a:r>
            <a:endParaRPr lang="en-US" b="1">
              <a:solidFill>
                <a:srgbClr val="C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rgbClr val="00B050"/>
          </a:solidFill>
          <a:ln w="19050">
            <a:solidFill>
              <a:schemeClr val="lt1"/>
            </a:solidFill>
          </a:ln>
          <a:effectLst/>
        </c:spPr>
      </c:pivotFmt>
      <c:pivotFmt>
        <c:idx val="2"/>
        <c:spPr>
          <a:solidFill>
            <a:srgbClr val="FF0000"/>
          </a:soli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rgbClr val="00B050"/>
          </a:solidFill>
          <a:ln w="19050">
            <a:solidFill>
              <a:schemeClr val="lt1"/>
            </a:solidFill>
          </a:ln>
          <a:effectLst/>
        </c:spPr>
      </c:pivotFmt>
      <c:pivotFmt>
        <c:idx val="5"/>
        <c:spPr>
          <a:solidFill>
            <a:srgbClr val="FF0000"/>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rgbClr val="00B050"/>
          </a:solidFill>
          <a:ln w="19050">
            <a:solidFill>
              <a:schemeClr val="lt1"/>
            </a:solidFill>
          </a:ln>
          <a:effectLst/>
        </c:spPr>
      </c:pivotFmt>
      <c:pivotFmt>
        <c:idx val="8"/>
        <c:spPr>
          <a:solidFill>
            <a:srgbClr val="FF0000"/>
          </a:solidFill>
          <a:ln w="19050">
            <a:solidFill>
              <a:schemeClr val="lt1"/>
            </a:solidFill>
          </a:ln>
          <a:effectLst/>
        </c:spPr>
      </c:pivotFmt>
    </c:pivotFmts>
    <c:plotArea>
      <c:layout/>
      <c:pieChart>
        <c:varyColors val="1"/>
        <c:ser>
          <c:idx val="0"/>
          <c:order val="0"/>
          <c:tx>
            <c:strRef>
              <c:f>'Pivot &amp;Calculations'!$R$3</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C2EC-431B-8108-CB14B1B7B65B}"/>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C2EC-431B-8108-CB14B1B7B65B}"/>
              </c:ext>
            </c:extLst>
          </c:dPt>
          <c:cat>
            <c:strRef>
              <c:f>'Pivot &amp;Calculations'!$Q$4:$Q$6</c:f>
              <c:strCache>
                <c:ptCount val="2"/>
                <c:pt idx="0">
                  <c:v>Cleared</c:v>
                </c:pt>
                <c:pt idx="1">
                  <c:v>Ongoing</c:v>
                </c:pt>
              </c:strCache>
            </c:strRef>
          </c:cat>
          <c:val>
            <c:numRef>
              <c:f>'Pivot &amp;Calculations'!$R$4:$R$6</c:f>
              <c:numCache>
                <c:formatCode>General</c:formatCode>
                <c:ptCount val="2"/>
                <c:pt idx="0">
                  <c:v>214</c:v>
                </c:pt>
                <c:pt idx="1">
                  <c:v>1786</c:v>
                </c:pt>
              </c:numCache>
            </c:numRef>
          </c:val>
          <c:extLst>
            <c:ext xmlns:c16="http://schemas.microsoft.com/office/drawing/2014/chart" uri="{C3380CC4-5D6E-409C-BE32-E72D297353CC}">
              <c16:uniqueId val="{00000004-C2EC-431B-8108-CB14B1B7B65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Student enrollment and Revenue Analysis.xlsx]Pivot &amp;Calculations!PivotTable15</c:name>
    <c:fmtId val="19"/>
  </c:pivotSource>
  <c:chart>
    <c:title>
      <c:tx>
        <c:rich>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r>
              <a:rPr lang="en-US" b="1">
                <a:solidFill>
                  <a:srgbClr val="C00000"/>
                </a:solidFill>
              </a:rPr>
              <a:t>COURSE</a:t>
            </a:r>
            <a:r>
              <a:rPr lang="en-US" b="1" baseline="0">
                <a:solidFill>
                  <a:srgbClr val="C00000"/>
                </a:solidFill>
              </a:rPr>
              <a:t> COMPLETION STATUS VS PENDING REVENUE</a:t>
            </a:r>
            <a:endParaRPr lang="en-US" b="1">
              <a:solidFill>
                <a:srgbClr val="C00000"/>
              </a:solidFill>
            </a:endParaRPr>
          </a:p>
        </c:rich>
      </c:tx>
      <c:layout>
        <c:manualLayout>
          <c:xMode val="edge"/>
          <c:yMode val="edge"/>
          <c:x val="0.15876377952755907"/>
          <c:y val="4.178537511870845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pivotFmt>
      <c:pivotFmt>
        <c:idx val="1"/>
        <c:spPr>
          <a:solidFill>
            <a:srgbClr val="00B050"/>
          </a:solidFill>
          <a:ln>
            <a:noFill/>
          </a:ln>
          <a:effectLst/>
        </c:spPr>
        <c:marker>
          <c:symbol val="none"/>
        </c:marker>
      </c:pivotFmt>
      <c:pivotFmt>
        <c:idx val="2"/>
        <c:spPr>
          <a:solidFill>
            <a:srgbClr val="FF0000"/>
          </a:solidFill>
          <a:ln>
            <a:noFill/>
          </a:ln>
          <a:effectLst/>
        </c:spPr>
        <c:marker>
          <c:symbol val="none"/>
        </c:marker>
      </c:pivotFmt>
      <c:pivotFmt>
        <c:idx val="3"/>
        <c:spPr>
          <a:solidFill>
            <a:srgbClr val="00B050"/>
          </a:solidFill>
          <a:ln>
            <a:noFill/>
          </a:ln>
          <a:effectLst/>
        </c:spPr>
        <c:marker>
          <c:symbol val="none"/>
        </c:marker>
      </c:pivotFmt>
      <c:pivotFmt>
        <c:idx val="4"/>
        <c:spPr>
          <a:solidFill>
            <a:srgbClr val="FF0000"/>
          </a:solidFill>
          <a:ln>
            <a:noFill/>
          </a:ln>
          <a:effectLst/>
        </c:spPr>
        <c:marker>
          <c:symbol val="none"/>
        </c:marker>
      </c:pivotFmt>
      <c:pivotFmt>
        <c:idx val="5"/>
        <c:spPr>
          <a:solidFill>
            <a:srgbClr val="00B050"/>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bar"/>
        <c:grouping val="clustered"/>
        <c:varyColors val="0"/>
        <c:ser>
          <c:idx val="0"/>
          <c:order val="0"/>
          <c:tx>
            <c:strRef>
              <c:f>'Pivot &amp;Calculations'!$R$17:$R$18</c:f>
              <c:strCache>
                <c:ptCount val="1"/>
                <c:pt idx="0">
                  <c:v>Completed</c:v>
                </c:pt>
              </c:strCache>
            </c:strRef>
          </c:tx>
          <c:spPr>
            <a:solidFill>
              <a:srgbClr val="FF0000"/>
            </a:solidFill>
            <a:ln>
              <a:noFill/>
            </a:ln>
            <a:effectLst/>
          </c:spPr>
          <c:invertIfNegative val="0"/>
          <c:cat>
            <c:strRef>
              <c:f>'Pivot &amp;Calculations'!$Q$19:$Q$33</c:f>
              <c:strCache>
                <c:ptCount val="14"/>
                <c:pt idx="0">
                  <c:v>AI Generalist</c:v>
                </c:pt>
                <c:pt idx="1">
                  <c:v>Corporate Administration (ATCA)</c:v>
                </c:pt>
                <c:pt idx="2">
                  <c:v>Cyber Security</c:v>
                </c:pt>
                <c:pt idx="3">
                  <c:v>Data Analytics</c:v>
                </c:pt>
                <c:pt idx="4">
                  <c:v>Digital Marketing</c:v>
                </c:pt>
                <c:pt idx="5">
                  <c:v>Financial Accounting</c:v>
                </c:pt>
                <c:pt idx="6">
                  <c:v>Logistics &amp; Supply Chain</c:v>
                </c:pt>
                <c:pt idx="7">
                  <c:v>Power BI &amp; Business Intelligence</c:v>
                </c:pt>
                <c:pt idx="8">
                  <c:v>Project Management</c:v>
                </c:pt>
                <c:pt idx="9">
                  <c:v>Python for Data Analysis</c:v>
                </c:pt>
                <c:pt idx="10">
                  <c:v>Quantity Surveying (QS)</c:v>
                </c:pt>
                <c:pt idx="11">
                  <c:v>SAP FICO</c:v>
                </c:pt>
                <c:pt idx="12">
                  <c:v>SAP MM</c:v>
                </c:pt>
                <c:pt idx="13">
                  <c:v>UAE VAT &amp; Taxation</c:v>
                </c:pt>
              </c:strCache>
            </c:strRef>
          </c:cat>
          <c:val>
            <c:numRef>
              <c:f>'Pivot &amp;Calculations'!$R$19:$R$33</c:f>
              <c:numCache>
                <c:formatCode>General</c:formatCode>
                <c:ptCount val="14"/>
                <c:pt idx="0">
                  <c:v>222809</c:v>
                </c:pt>
                <c:pt idx="1">
                  <c:v>163304</c:v>
                </c:pt>
                <c:pt idx="2">
                  <c:v>315593</c:v>
                </c:pt>
                <c:pt idx="3">
                  <c:v>140967</c:v>
                </c:pt>
                <c:pt idx="4">
                  <c:v>125237</c:v>
                </c:pt>
                <c:pt idx="5">
                  <c:v>141585</c:v>
                </c:pt>
                <c:pt idx="6">
                  <c:v>169667</c:v>
                </c:pt>
                <c:pt idx="7">
                  <c:v>96950</c:v>
                </c:pt>
                <c:pt idx="8">
                  <c:v>135261</c:v>
                </c:pt>
                <c:pt idx="9">
                  <c:v>109321</c:v>
                </c:pt>
                <c:pt idx="10">
                  <c:v>172967</c:v>
                </c:pt>
                <c:pt idx="11">
                  <c:v>200242</c:v>
                </c:pt>
                <c:pt idx="12">
                  <c:v>170309</c:v>
                </c:pt>
                <c:pt idx="13">
                  <c:v>111990</c:v>
                </c:pt>
              </c:numCache>
            </c:numRef>
          </c:val>
          <c:extLst>
            <c:ext xmlns:c16="http://schemas.microsoft.com/office/drawing/2014/chart" uri="{C3380CC4-5D6E-409C-BE32-E72D297353CC}">
              <c16:uniqueId val="{00000000-A08B-402E-8F5C-415421547D6C}"/>
            </c:ext>
          </c:extLst>
        </c:ser>
        <c:ser>
          <c:idx val="1"/>
          <c:order val="1"/>
          <c:tx>
            <c:strRef>
              <c:f>'Pivot &amp;Calculations'!$S$17:$S$18</c:f>
              <c:strCache>
                <c:ptCount val="1"/>
                <c:pt idx="0">
                  <c:v>Ongoing</c:v>
                </c:pt>
              </c:strCache>
            </c:strRef>
          </c:tx>
          <c:spPr>
            <a:solidFill>
              <a:srgbClr val="00B050"/>
            </a:solidFill>
            <a:ln>
              <a:noFill/>
            </a:ln>
            <a:effectLst/>
          </c:spPr>
          <c:invertIfNegative val="0"/>
          <c:cat>
            <c:strRef>
              <c:f>'Pivot &amp;Calculations'!$Q$19:$Q$33</c:f>
              <c:strCache>
                <c:ptCount val="14"/>
                <c:pt idx="0">
                  <c:v>AI Generalist</c:v>
                </c:pt>
                <c:pt idx="1">
                  <c:v>Corporate Administration (ATCA)</c:v>
                </c:pt>
                <c:pt idx="2">
                  <c:v>Cyber Security</c:v>
                </c:pt>
                <c:pt idx="3">
                  <c:v>Data Analytics</c:v>
                </c:pt>
                <c:pt idx="4">
                  <c:v>Digital Marketing</c:v>
                </c:pt>
                <c:pt idx="5">
                  <c:v>Financial Accounting</c:v>
                </c:pt>
                <c:pt idx="6">
                  <c:v>Logistics &amp; Supply Chain</c:v>
                </c:pt>
                <c:pt idx="7">
                  <c:v>Power BI &amp; Business Intelligence</c:v>
                </c:pt>
                <c:pt idx="8">
                  <c:v>Project Management</c:v>
                </c:pt>
                <c:pt idx="9">
                  <c:v>Python for Data Analysis</c:v>
                </c:pt>
                <c:pt idx="10">
                  <c:v>Quantity Surveying (QS)</c:v>
                </c:pt>
                <c:pt idx="11">
                  <c:v>SAP FICO</c:v>
                </c:pt>
                <c:pt idx="12">
                  <c:v>SAP MM</c:v>
                </c:pt>
                <c:pt idx="13">
                  <c:v>UAE VAT &amp; Taxation</c:v>
                </c:pt>
              </c:strCache>
            </c:strRef>
          </c:cat>
          <c:val>
            <c:numRef>
              <c:f>'Pivot &amp;Calculations'!$S$19:$S$33</c:f>
              <c:numCache>
                <c:formatCode>General</c:formatCode>
                <c:ptCount val="14"/>
                <c:pt idx="0">
                  <c:v>251460</c:v>
                </c:pt>
                <c:pt idx="1">
                  <c:v>133668</c:v>
                </c:pt>
                <c:pt idx="2">
                  <c:v>350303</c:v>
                </c:pt>
                <c:pt idx="3">
                  <c:v>224186</c:v>
                </c:pt>
                <c:pt idx="4">
                  <c:v>181929</c:v>
                </c:pt>
                <c:pt idx="5">
                  <c:v>133847</c:v>
                </c:pt>
                <c:pt idx="6">
                  <c:v>102668</c:v>
                </c:pt>
                <c:pt idx="7">
                  <c:v>105385</c:v>
                </c:pt>
                <c:pt idx="8">
                  <c:v>134123</c:v>
                </c:pt>
                <c:pt idx="9">
                  <c:v>117599</c:v>
                </c:pt>
                <c:pt idx="10">
                  <c:v>143681</c:v>
                </c:pt>
                <c:pt idx="11">
                  <c:v>253524</c:v>
                </c:pt>
                <c:pt idx="12">
                  <c:v>289970</c:v>
                </c:pt>
                <c:pt idx="13">
                  <c:v>82165</c:v>
                </c:pt>
              </c:numCache>
            </c:numRef>
          </c:val>
          <c:extLst>
            <c:ext xmlns:c16="http://schemas.microsoft.com/office/drawing/2014/chart" uri="{C3380CC4-5D6E-409C-BE32-E72D297353CC}">
              <c16:uniqueId val="{00000000-ECBA-4544-A31C-43C15BE92EEC}"/>
            </c:ext>
          </c:extLst>
        </c:ser>
        <c:dLbls>
          <c:showLegendKey val="0"/>
          <c:showVal val="0"/>
          <c:showCatName val="0"/>
          <c:showSerName val="0"/>
          <c:showPercent val="0"/>
          <c:showBubbleSize val="0"/>
        </c:dLbls>
        <c:gapWidth val="182"/>
        <c:axId val="954378400"/>
        <c:axId val="954368832"/>
      </c:barChart>
      <c:catAx>
        <c:axId val="954378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4368832"/>
        <c:crosses val="autoZero"/>
        <c:auto val="1"/>
        <c:lblAlgn val="ctr"/>
        <c:lblOffset val="100"/>
        <c:noMultiLvlLbl val="0"/>
      </c:catAx>
      <c:valAx>
        <c:axId val="954368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43784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Student enrollment and Revenue Analysis.xlsx]Pivot &amp;Calculations!PivotTable11</c:name>
    <c:fmtId val="6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COMPLETION</a:t>
            </a:r>
            <a:r>
              <a:rPr lang="en-US" b="1" baseline="0">
                <a:solidFill>
                  <a:srgbClr val="C00000"/>
                </a:solidFill>
              </a:rPr>
              <a:t> STATUS VS PENDING REVENUE</a:t>
            </a:r>
            <a:endParaRPr lang="en-US" b="1">
              <a:solidFill>
                <a:srgbClr val="C00000"/>
              </a:solidFill>
            </a:endParaRPr>
          </a:p>
        </c:rich>
      </c:tx>
      <c:layout>
        <c:manualLayout>
          <c:xMode val="edge"/>
          <c:yMode val="edge"/>
          <c:x val="0.1408123359580052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circle"/>
          <c:size val="5"/>
          <c:spPr>
            <a:solidFill>
              <a:schemeClr val="accent1"/>
            </a:solidFill>
            <a:ln w="9525">
              <a:solidFill>
                <a:schemeClr val="accent1"/>
              </a:solidFill>
            </a:ln>
            <a:effectLst/>
          </c:spPr>
        </c:marker>
      </c:pivotFmt>
      <c:pivotFmt>
        <c:idx val="1"/>
        <c:spPr>
          <a:solidFill>
            <a:srgbClr val="FF0000"/>
          </a:solidFill>
          <a:ln>
            <a:noFill/>
          </a:ln>
          <a:effectLst/>
        </c:spPr>
        <c:marker>
          <c:symbol val="circle"/>
          <c:size val="5"/>
          <c:spPr>
            <a:solidFill>
              <a:schemeClr val="accent2"/>
            </a:solidFill>
            <a:ln w="9525">
              <a:solidFill>
                <a:schemeClr val="accent2"/>
              </a:solidFill>
            </a:ln>
            <a:effectLst/>
          </c:spPr>
        </c:marker>
      </c:pivotFmt>
      <c:pivotFmt>
        <c:idx val="2"/>
        <c:spPr>
          <a:solidFill>
            <a:srgbClr val="00B050"/>
          </a:solidFill>
          <a:ln>
            <a:noFill/>
          </a:ln>
          <a:effectLst/>
        </c:spPr>
        <c:marker>
          <c:symbol val="none"/>
        </c:marker>
      </c:pivotFmt>
      <c:pivotFmt>
        <c:idx val="3"/>
        <c:spPr>
          <a:solidFill>
            <a:srgbClr val="FF0000"/>
          </a:solidFill>
          <a:ln>
            <a:noFill/>
          </a:ln>
          <a:effectLst/>
        </c:spPr>
        <c:marker>
          <c:symbol val="none"/>
        </c:marker>
      </c:pivotFmt>
      <c:pivotFmt>
        <c:idx val="4"/>
        <c:spPr>
          <a:solidFill>
            <a:srgbClr val="00B050"/>
          </a:solidFill>
          <a:ln>
            <a:noFill/>
          </a:ln>
          <a:effectLst/>
        </c:spPr>
        <c:marker>
          <c:symbol val="none"/>
        </c:marker>
      </c:pivotFmt>
      <c:pivotFmt>
        <c:idx val="5"/>
        <c:spPr>
          <a:solidFill>
            <a:srgbClr val="FF0000"/>
          </a:solidFill>
          <a:ln>
            <a:noFill/>
          </a:ln>
          <a:effectLst/>
        </c:spPr>
        <c:marker>
          <c:symbol val="none"/>
        </c:marker>
      </c:pivotFmt>
    </c:pivotFmts>
    <c:plotArea>
      <c:layout>
        <c:manualLayout>
          <c:layoutTarget val="inner"/>
          <c:xMode val="edge"/>
          <c:yMode val="edge"/>
          <c:x val="0.1283103532375591"/>
          <c:y val="0.19507868383404867"/>
          <c:w val="0.53125918769986114"/>
          <c:h val="0.65500275984815204"/>
        </c:manualLayout>
      </c:layout>
      <c:barChart>
        <c:barDir val="col"/>
        <c:grouping val="clustered"/>
        <c:varyColors val="0"/>
        <c:ser>
          <c:idx val="0"/>
          <c:order val="0"/>
          <c:tx>
            <c:strRef>
              <c:f>'Pivot &amp;Calculations'!$R$9</c:f>
              <c:strCache>
                <c:ptCount val="1"/>
                <c:pt idx="0">
                  <c:v>Sum of Revenue</c:v>
                </c:pt>
              </c:strCache>
            </c:strRef>
          </c:tx>
          <c:spPr>
            <a:solidFill>
              <a:srgbClr val="00B050"/>
            </a:solidFill>
            <a:ln>
              <a:noFill/>
            </a:ln>
            <a:effectLst/>
          </c:spPr>
          <c:invertIfNegative val="0"/>
          <c:cat>
            <c:strRef>
              <c:f>'Pivot &amp;Calculations'!$Q$10:$Q$12</c:f>
              <c:strCache>
                <c:ptCount val="2"/>
                <c:pt idx="0">
                  <c:v>Completed</c:v>
                </c:pt>
                <c:pt idx="1">
                  <c:v>Ongoing</c:v>
                </c:pt>
              </c:strCache>
            </c:strRef>
          </c:cat>
          <c:val>
            <c:numRef>
              <c:f>'Pivot &amp;Calculations'!$R$10:$R$12</c:f>
              <c:numCache>
                <c:formatCode>General</c:formatCode>
                <c:ptCount val="2"/>
                <c:pt idx="0">
                  <c:v>4557988</c:v>
                </c:pt>
                <c:pt idx="1">
                  <c:v>4584755</c:v>
                </c:pt>
              </c:numCache>
            </c:numRef>
          </c:val>
          <c:extLst>
            <c:ext xmlns:c16="http://schemas.microsoft.com/office/drawing/2014/chart" uri="{C3380CC4-5D6E-409C-BE32-E72D297353CC}">
              <c16:uniqueId val="{00000000-9422-48DE-ADEE-EA93B87E9E5E}"/>
            </c:ext>
          </c:extLst>
        </c:ser>
        <c:ser>
          <c:idx val="1"/>
          <c:order val="1"/>
          <c:tx>
            <c:strRef>
              <c:f>'Pivot &amp;Calculations'!$S$9</c:f>
              <c:strCache>
                <c:ptCount val="1"/>
                <c:pt idx="0">
                  <c:v>Sum of pending Revenue</c:v>
                </c:pt>
              </c:strCache>
            </c:strRef>
          </c:tx>
          <c:spPr>
            <a:solidFill>
              <a:srgbClr val="FF0000"/>
            </a:solidFill>
            <a:ln>
              <a:noFill/>
            </a:ln>
            <a:effectLst/>
          </c:spPr>
          <c:invertIfNegative val="0"/>
          <c:cat>
            <c:strRef>
              <c:f>'Pivot &amp;Calculations'!$Q$10:$Q$12</c:f>
              <c:strCache>
                <c:ptCount val="2"/>
                <c:pt idx="0">
                  <c:v>Completed</c:v>
                </c:pt>
                <c:pt idx="1">
                  <c:v>Ongoing</c:v>
                </c:pt>
              </c:strCache>
            </c:strRef>
          </c:cat>
          <c:val>
            <c:numRef>
              <c:f>'Pivot &amp;Calculations'!$S$10:$S$12</c:f>
              <c:numCache>
                <c:formatCode>General</c:formatCode>
                <c:ptCount val="2"/>
                <c:pt idx="0">
                  <c:v>2276202</c:v>
                </c:pt>
                <c:pt idx="1">
                  <c:v>2504508</c:v>
                </c:pt>
              </c:numCache>
            </c:numRef>
          </c:val>
          <c:extLst>
            <c:ext xmlns:c16="http://schemas.microsoft.com/office/drawing/2014/chart" uri="{C3380CC4-5D6E-409C-BE32-E72D297353CC}">
              <c16:uniqueId val="{00000001-9422-48DE-ADEE-EA93B87E9E5E}"/>
            </c:ext>
          </c:extLst>
        </c:ser>
        <c:dLbls>
          <c:showLegendKey val="0"/>
          <c:showVal val="0"/>
          <c:showCatName val="0"/>
          <c:showSerName val="0"/>
          <c:showPercent val="0"/>
          <c:showBubbleSize val="0"/>
        </c:dLbls>
        <c:gapWidth val="219"/>
        <c:axId val="1060846768"/>
        <c:axId val="1060863824"/>
      </c:barChart>
      <c:catAx>
        <c:axId val="106084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863824"/>
        <c:crosses val="autoZero"/>
        <c:auto val="1"/>
        <c:lblAlgn val="ctr"/>
        <c:lblOffset val="100"/>
        <c:noMultiLvlLbl val="0"/>
      </c:catAx>
      <c:valAx>
        <c:axId val="1060863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8467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Student enrollment and Revenue Analysis.xlsx]Pivot &amp;Calculations!PivotTable6</c:name>
    <c:fmtId val="40"/>
  </c:pivotSource>
  <c:chart>
    <c:title>
      <c:tx>
        <c:rich>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r>
              <a:rPr lang="en-US" b="1">
                <a:solidFill>
                  <a:schemeClr val="accent4">
                    <a:lumMod val="50000"/>
                  </a:schemeClr>
                </a:solidFill>
              </a:rPr>
              <a:t>Course</a:t>
            </a:r>
            <a:r>
              <a:rPr lang="en-US" b="1" baseline="0">
                <a:solidFill>
                  <a:schemeClr val="accent4">
                    <a:lumMod val="50000"/>
                  </a:schemeClr>
                </a:solidFill>
              </a:rPr>
              <a:t> wise enrollment</a:t>
            </a:r>
          </a:p>
        </c:rich>
      </c:tx>
      <c:layout>
        <c:manualLayout>
          <c:xMode val="edge"/>
          <c:yMode val="edge"/>
          <c:x val="0.17560319856164611"/>
          <c:y val="3.075318494973330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B050"/>
          </a:solidFill>
          <a:ln>
            <a:noFill/>
          </a:ln>
          <a:effectLst/>
        </c:spPr>
        <c:marker>
          <c:symbol val="none"/>
        </c:marker>
      </c:pivotFmt>
      <c:pivotFmt>
        <c:idx val="3"/>
        <c:spPr>
          <a:solidFill>
            <a:srgbClr val="00B050"/>
          </a:solidFill>
          <a:ln>
            <a:noFill/>
          </a:ln>
          <a:effectLst/>
        </c:spPr>
        <c:marker>
          <c:symbol val="none"/>
        </c:marker>
      </c:pivotFmt>
      <c:pivotFmt>
        <c:idx val="4"/>
        <c:spPr>
          <a:solidFill>
            <a:schemeClr val="accent4">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4">
              <a:lumMod val="50000"/>
            </a:schemeClr>
          </a:solidFill>
          <a:ln>
            <a:noFill/>
          </a:ln>
          <a:effectLst/>
        </c:spPr>
        <c:dLbl>
          <c:idx val="0"/>
          <c:layout>
            <c:manualLayout>
              <c:x val="0.25136612021857924"/>
              <c:y val="-1.6510298623360127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3412021857923498"/>
                  <c:h val="3.1730878502574833E-2"/>
                </c:manualLayout>
              </c15:layout>
            </c:ext>
          </c:extLst>
        </c:dLbl>
      </c:pivotFmt>
      <c:pivotFmt>
        <c:idx val="6"/>
        <c:spPr>
          <a:solidFill>
            <a:schemeClr val="accent4">
              <a:lumMod val="50000"/>
            </a:schemeClr>
          </a:solidFill>
          <a:ln>
            <a:noFill/>
          </a:ln>
          <a:effectLst/>
        </c:spPr>
      </c:pivotFmt>
      <c:pivotFmt>
        <c:idx val="7"/>
        <c:spPr>
          <a:solidFill>
            <a:schemeClr val="accent4">
              <a:lumMod val="50000"/>
            </a:schemeClr>
          </a:solidFill>
          <a:ln>
            <a:noFill/>
          </a:ln>
          <a:effectLst/>
        </c:spPr>
      </c:pivotFmt>
      <c:pivotFmt>
        <c:idx val="8"/>
        <c:spPr>
          <a:solidFill>
            <a:schemeClr val="accent4">
              <a:lumMod val="50000"/>
            </a:schemeClr>
          </a:solidFill>
          <a:ln>
            <a:noFill/>
          </a:ln>
          <a:effectLst/>
        </c:spPr>
      </c:pivotFmt>
      <c:pivotFmt>
        <c:idx val="9"/>
        <c:spPr>
          <a:solidFill>
            <a:schemeClr val="accent4">
              <a:lumMod val="50000"/>
            </a:schemeClr>
          </a:solidFill>
          <a:ln>
            <a:noFill/>
          </a:ln>
          <a:effectLst/>
        </c:spPr>
      </c:pivotFmt>
      <c:pivotFmt>
        <c:idx val="10"/>
        <c:spPr>
          <a:solidFill>
            <a:schemeClr val="accent4">
              <a:lumMod val="50000"/>
            </a:schemeClr>
          </a:solidFill>
          <a:ln>
            <a:noFill/>
          </a:ln>
          <a:effectLst/>
        </c:spPr>
        <c:dLbl>
          <c:idx val="0"/>
          <c:layout>
            <c:manualLayout>
              <c:x val="0.21857923497267742"/>
              <c:y val="-3.527336860670258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50000"/>
            </a:schemeClr>
          </a:solidFill>
          <a:ln>
            <a:noFill/>
          </a:ln>
          <a:effectLst/>
        </c:spPr>
      </c:pivotFmt>
      <c:pivotFmt>
        <c:idx val="12"/>
        <c:spPr>
          <a:solidFill>
            <a:schemeClr val="accent4">
              <a:lumMod val="50000"/>
            </a:schemeClr>
          </a:solidFill>
          <a:ln>
            <a:noFill/>
          </a:ln>
          <a:effectLst/>
        </c:spPr>
      </c:pivotFmt>
      <c:pivotFmt>
        <c:idx val="13"/>
        <c:spPr>
          <a:solidFill>
            <a:schemeClr val="accent4">
              <a:lumMod val="50000"/>
            </a:schemeClr>
          </a:solidFill>
          <a:ln>
            <a:noFill/>
          </a:ln>
          <a:effectLst/>
        </c:spPr>
      </c:pivotFmt>
      <c:pivotFmt>
        <c:idx val="14"/>
        <c:spPr>
          <a:solidFill>
            <a:schemeClr val="accent4">
              <a:lumMod val="50000"/>
            </a:schemeClr>
          </a:solidFill>
          <a:ln>
            <a:noFill/>
          </a:ln>
          <a:effectLst/>
        </c:spPr>
      </c:pivotFmt>
      <c:pivotFmt>
        <c:idx val="15"/>
        <c:spPr>
          <a:solidFill>
            <a:schemeClr val="accent4">
              <a:lumMod val="50000"/>
            </a:schemeClr>
          </a:solidFill>
          <a:ln>
            <a:noFill/>
          </a:ln>
          <a:effectLst/>
        </c:spPr>
      </c:pivotFmt>
      <c:pivotFmt>
        <c:idx val="16"/>
        <c:spPr>
          <a:solidFill>
            <a:schemeClr val="accent4">
              <a:lumMod val="50000"/>
            </a:schemeClr>
          </a:solidFill>
          <a:ln>
            <a:noFill/>
          </a:ln>
          <a:effectLst/>
        </c:spPr>
      </c:pivotFmt>
      <c:pivotFmt>
        <c:idx val="17"/>
        <c:spPr>
          <a:solidFill>
            <a:schemeClr val="accent4">
              <a:lumMod val="50000"/>
            </a:schemeClr>
          </a:solidFill>
          <a:ln>
            <a:noFill/>
          </a:ln>
          <a:effectLst/>
        </c:spPr>
      </c:pivotFmt>
      <c:pivotFmt>
        <c:idx val="18"/>
        <c:spPr>
          <a:solidFill>
            <a:schemeClr val="accent4">
              <a:lumMod val="50000"/>
            </a:schemeClr>
          </a:solidFill>
          <a:ln>
            <a:noFill/>
          </a:ln>
          <a:effectLst/>
        </c:spPr>
      </c:pivotFmt>
    </c:pivotFmts>
    <c:plotArea>
      <c:layout>
        <c:manualLayout>
          <c:layoutTarget val="inner"/>
          <c:xMode val="edge"/>
          <c:yMode val="edge"/>
          <c:x val="0.42757279515589419"/>
          <c:y val="9.3499950330317411E-2"/>
          <c:w val="0.5603555785035067"/>
          <c:h val="0.78734297101751172"/>
        </c:manualLayout>
      </c:layout>
      <c:barChart>
        <c:barDir val="bar"/>
        <c:grouping val="stacked"/>
        <c:varyColors val="0"/>
        <c:ser>
          <c:idx val="0"/>
          <c:order val="0"/>
          <c:tx>
            <c:strRef>
              <c:f>'Pivot &amp;Calculations'!$J$28</c:f>
              <c:strCache>
                <c:ptCount val="1"/>
                <c:pt idx="0">
                  <c:v>Total</c:v>
                </c:pt>
              </c:strCache>
            </c:strRef>
          </c:tx>
          <c:spPr>
            <a:solidFill>
              <a:schemeClr val="accent4">
                <a:lumMod val="50000"/>
              </a:schemeClr>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E-859C-46FE-ABAE-1EBDD08AD803}"/>
              </c:ext>
            </c:extLst>
          </c:dPt>
          <c:dPt>
            <c:idx val="1"/>
            <c:invertIfNegative val="0"/>
            <c:bubble3D val="0"/>
            <c:spPr>
              <a:solidFill>
                <a:schemeClr val="accent4">
                  <a:lumMod val="50000"/>
                </a:schemeClr>
              </a:solidFill>
              <a:ln>
                <a:noFill/>
              </a:ln>
              <a:effectLst/>
            </c:spPr>
            <c:extLst>
              <c:ext xmlns:c16="http://schemas.microsoft.com/office/drawing/2014/chart" uri="{C3380CC4-5D6E-409C-BE32-E72D297353CC}">
                <c16:uniqueId val="{0000000D-859C-46FE-ABAE-1EBDD08AD803}"/>
              </c:ext>
            </c:extLst>
          </c:dPt>
          <c:dPt>
            <c:idx val="2"/>
            <c:invertIfNegative val="0"/>
            <c:bubble3D val="0"/>
            <c:spPr>
              <a:solidFill>
                <a:schemeClr val="accent4">
                  <a:lumMod val="50000"/>
                </a:schemeClr>
              </a:solidFill>
              <a:ln>
                <a:noFill/>
              </a:ln>
              <a:effectLst/>
            </c:spPr>
            <c:extLst>
              <c:ext xmlns:c16="http://schemas.microsoft.com/office/drawing/2014/chart" uri="{C3380CC4-5D6E-409C-BE32-E72D297353CC}">
                <c16:uniqueId val="{0000000C-859C-46FE-ABAE-1EBDD08AD803}"/>
              </c:ext>
            </c:extLst>
          </c:dPt>
          <c:dPt>
            <c:idx val="3"/>
            <c:invertIfNegative val="0"/>
            <c:bubble3D val="0"/>
            <c:spPr>
              <a:solidFill>
                <a:schemeClr val="accent4">
                  <a:lumMod val="50000"/>
                </a:schemeClr>
              </a:solidFill>
              <a:ln>
                <a:noFill/>
              </a:ln>
              <a:effectLst/>
            </c:spPr>
            <c:extLst>
              <c:ext xmlns:c16="http://schemas.microsoft.com/office/drawing/2014/chart" uri="{C3380CC4-5D6E-409C-BE32-E72D297353CC}">
                <c16:uniqueId val="{0000000B-859C-46FE-ABAE-1EBDD08AD803}"/>
              </c:ext>
            </c:extLst>
          </c:dPt>
          <c:dPt>
            <c:idx val="4"/>
            <c:invertIfNegative val="0"/>
            <c:bubble3D val="0"/>
            <c:spPr>
              <a:solidFill>
                <a:schemeClr val="accent4">
                  <a:lumMod val="50000"/>
                </a:schemeClr>
              </a:solidFill>
              <a:ln>
                <a:noFill/>
              </a:ln>
              <a:effectLst/>
            </c:spPr>
            <c:extLst>
              <c:ext xmlns:c16="http://schemas.microsoft.com/office/drawing/2014/chart" uri="{C3380CC4-5D6E-409C-BE32-E72D297353CC}">
                <c16:uniqueId val="{0000000A-859C-46FE-ABAE-1EBDD08AD803}"/>
              </c:ext>
            </c:extLst>
          </c:dPt>
          <c:dPt>
            <c:idx val="5"/>
            <c:invertIfNegative val="0"/>
            <c:bubble3D val="0"/>
            <c:spPr>
              <a:solidFill>
                <a:schemeClr val="accent4">
                  <a:lumMod val="50000"/>
                </a:schemeClr>
              </a:solidFill>
              <a:ln>
                <a:noFill/>
              </a:ln>
              <a:effectLst/>
            </c:spPr>
            <c:extLst>
              <c:ext xmlns:c16="http://schemas.microsoft.com/office/drawing/2014/chart" uri="{C3380CC4-5D6E-409C-BE32-E72D297353CC}">
                <c16:uniqueId val="{00000009-859C-46FE-ABAE-1EBDD08AD803}"/>
              </c:ext>
            </c:extLst>
          </c:dPt>
          <c:dPt>
            <c:idx val="6"/>
            <c:invertIfNegative val="0"/>
            <c:bubble3D val="0"/>
            <c:spPr>
              <a:solidFill>
                <a:schemeClr val="accent4">
                  <a:lumMod val="50000"/>
                </a:schemeClr>
              </a:solidFill>
              <a:ln>
                <a:noFill/>
              </a:ln>
              <a:effectLst/>
            </c:spPr>
            <c:extLst>
              <c:ext xmlns:c16="http://schemas.microsoft.com/office/drawing/2014/chart" uri="{C3380CC4-5D6E-409C-BE32-E72D297353CC}">
                <c16:uniqueId val="{00000008-859C-46FE-ABAE-1EBDD08AD803}"/>
              </c:ext>
            </c:extLst>
          </c:dPt>
          <c:dPt>
            <c:idx val="7"/>
            <c:invertIfNegative val="0"/>
            <c:bubble3D val="0"/>
            <c:spPr>
              <a:solidFill>
                <a:schemeClr val="accent4">
                  <a:lumMod val="50000"/>
                </a:schemeClr>
              </a:solidFill>
              <a:ln>
                <a:noFill/>
              </a:ln>
              <a:effectLst/>
            </c:spPr>
            <c:extLst>
              <c:ext xmlns:c16="http://schemas.microsoft.com/office/drawing/2014/chart" uri="{C3380CC4-5D6E-409C-BE32-E72D297353CC}">
                <c16:uniqueId val="{00000007-859C-46FE-ABAE-1EBDD08AD803}"/>
              </c:ext>
            </c:extLst>
          </c:dPt>
          <c:dPt>
            <c:idx val="8"/>
            <c:invertIfNegative val="0"/>
            <c:bubble3D val="0"/>
            <c:spPr>
              <a:solidFill>
                <a:schemeClr val="accent4">
                  <a:lumMod val="50000"/>
                </a:schemeClr>
              </a:solidFill>
              <a:ln>
                <a:noFill/>
              </a:ln>
              <a:effectLst/>
            </c:spPr>
            <c:extLst>
              <c:ext xmlns:c16="http://schemas.microsoft.com/office/drawing/2014/chart" uri="{C3380CC4-5D6E-409C-BE32-E72D297353CC}">
                <c16:uniqueId val="{00000006-859C-46FE-ABAE-1EBDD08AD803}"/>
              </c:ext>
            </c:extLst>
          </c:dPt>
          <c:dPt>
            <c:idx val="9"/>
            <c:invertIfNegative val="0"/>
            <c:bubble3D val="0"/>
            <c:spPr>
              <a:solidFill>
                <a:schemeClr val="accent4">
                  <a:lumMod val="50000"/>
                </a:schemeClr>
              </a:solidFill>
              <a:ln>
                <a:noFill/>
              </a:ln>
              <a:effectLst/>
            </c:spPr>
            <c:extLst>
              <c:ext xmlns:c16="http://schemas.microsoft.com/office/drawing/2014/chart" uri="{C3380CC4-5D6E-409C-BE32-E72D297353CC}">
                <c16:uniqueId val="{00000005-859C-46FE-ABAE-1EBDD08AD803}"/>
              </c:ext>
            </c:extLst>
          </c:dPt>
          <c:dPt>
            <c:idx val="10"/>
            <c:invertIfNegative val="0"/>
            <c:bubble3D val="0"/>
            <c:extLst>
              <c:ext xmlns:c16="http://schemas.microsoft.com/office/drawing/2014/chart" uri="{C3380CC4-5D6E-409C-BE32-E72D297353CC}">
                <c16:uniqueId val="{00000004-859C-46FE-ABAE-1EBDD08AD803}"/>
              </c:ext>
            </c:extLst>
          </c:dPt>
          <c:dPt>
            <c:idx val="11"/>
            <c:invertIfNegative val="0"/>
            <c:bubble3D val="0"/>
            <c:extLst>
              <c:ext xmlns:c16="http://schemas.microsoft.com/office/drawing/2014/chart" uri="{C3380CC4-5D6E-409C-BE32-E72D297353CC}">
                <c16:uniqueId val="{00000003-859C-46FE-ABAE-1EBDD08AD803}"/>
              </c:ext>
            </c:extLst>
          </c:dPt>
          <c:dPt>
            <c:idx val="12"/>
            <c:invertIfNegative val="0"/>
            <c:bubble3D val="0"/>
            <c:extLst>
              <c:ext xmlns:c16="http://schemas.microsoft.com/office/drawing/2014/chart" uri="{C3380CC4-5D6E-409C-BE32-E72D297353CC}">
                <c16:uniqueId val="{00000002-859C-46FE-ABAE-1EBDD08AD803}"/>
              </c:ext>
            </c:extLst>
          </c:dPt>
          <c:dPt>
            <c:idx val="13"/>
            <c:invertIfNegative val="0"/>
            <c:bubble3D val="0"/>
            <c:extLst>
              <c:ext xmlns:c16="http://schemas.microsoft.com/office/drawing/2014/chart" uri="{C3380CC4-5D6E-409C-BE32-E72D297353CC}">
                <c16:uniqueId val="{00000001-859C-46FE-ABAE-1EBDD08AD803}"/>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&amp;Calculations'!$I$29:$I$39</c:f>
              <c:strCache>
                <c:ptCount val="10"/>
                <c:pt idx="0">
                  <c:v>AI Generalist</c:v>
                </c:pt>
                <c:pt idx="1">
                  <c:v>Financial Accounting</c:v>
                </c:pt>
                <c:pt idx="2">
                  <c:v>Logistics &amp; Supply Chain</c:v>
                </c:pt>
                <c:pt idx="3">
                  <c:v>Power BI &amp; Business Intelligence</c:v>
                </c:pt>
                <c:pt idx="4">
                  <c:v>Quantity Surveying (QS)</c:v>
                </c:pt>
                <c:pt idx="5">
                  <c:v>Digital Marketing</c:v>
                </c:pt>
                <c:pt idx="6">
                  <c:v>Python for Data Analysis</c:v>
                </c:pt>
                <c:pt idx="7">
                  <c:v>Corporate Administration (ATCA)</c:v>
                </c:pt>
                <c:pt idx="8">
                  <c:v>Cyber Security</c:v>
                </c:pt>
                <c:pt idx="9">
                  <c:v>Data Analytics</c:v>
                </c:pt>
              </c:strCache>
            </c:strRef>
          </c:cat>
          <c:val>
            <c:numRef>
              <c:f>'Pivot &amp;Calculations'!$J$29:$J$39</c:f>
              <c:numCache>
                <c:formatCode>General</c:formatCode>
                <c:ptCount val="10"/>
                <c:pt idx="0">
                  <c:v>134</c:v>
                </c:pt>
                <c:pt idx="1">
                  <c:v>138</c:v>
                </c:pt>
                <c:pt idx="2">
                  <c:v>140</c:v>
                </c:pt>
                <c:pt idx="3">
                  <c:v>142</c:v>
                </c:pt>
                <c:pt idx="4">
                  <c:v>151</c:v>
                </c:pt>
                <c:pt idx="5">
                  <c:v>156</c:v>
                </c:pt>
                <c:pt idx="6">
                  <c:v>157</c:v>
                </c:pt>
                <c:pt idx="7">
                  <c:v>158</c:v>
                </c:pt>
                <c:pt idx="8">
                  <c:v>158</c:v>
                </c:pt>
                <c:pt idx="9">
                  <c:v>159</c:v>
                </c:pt>
              </c:numCache>
            </c:numRef>
          </c:val>
          <c:extLst>
            <c:ext xmlns:c16="http://schemas.microsoft.com/office/drawing/2014/chart" uri="{C3380CC4-5D6E-409C-BE32-E72D297353CC}">
              <c16:uniqueId val="{00000000-859C-46FE-ABAE-1EBDD08AD803}"/>
            </c:ext>
          </c:extLst>
        </c:ser>
        <c:dLbls>
          <c:dLblPos val="ctr"/>
          <c:showLegendKey val="0"/>
          <c:showVal val="1"/>
          <c:showCatName val="0"/>
          <c:showSerName val="0"/>
          <c:showPercent val="0"/>
          <c:showBubbleSize val="0"/>
        </c:dLbls>
        <c:gapWidth val="150"/>
        <c:overlap val="100"/>
        <c:axId val="17705487"/>
        <c:axId val="17693423"/>
      </c:barChart>
      <c:catAx>
        <c:axId val="17705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693423"/>
        <c:crosses val="autoZero"/>
        <c:auto val="1"/>
        <c:lblAlgn val="ctr"/>
        <c:lblOffset val="100"/>
        <c:noMultiLvlLbl val="0"/>
      </c:catAx>
      <c:valAx>
        <c:axId val="17693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70548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Student enrollment and Revenue Analysis.xlsx]Pivot &amp;Calculations!PivotTable3</c:name>
    <c:fmtId val="11"/>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tx2"/>
          </a:solidFill>
          <a:ln w="19050">
            <a:solidFill>
              <a:schemeClr val="lt1"/>
            </a:solidFill>
          </a:ln>
          <a:effectLst/>
        </c:spPr>
      </c:pivotFmt>
      <c:pivotFmt>
        <c:idx val="2"/>
        <c:spPr>
          <a:solidFill>
            <a:srgbClr val="C00000"/>
          </a:solidFill>
          <a:ln w="19050">
            <a:solidFill>
              <a:schemeClr val="lt1"/>
            </a:solidFill>
          </a:ln>
          <a:effectLst/>
        </c:spPr>
      </c:pivotFmt>
      <c:pivotFmt>
        <c:idx val="3"/>
        <c:spPr>
          <a:solidFill>
            <a:srgbClr val="00B050"/>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tx2"/>
          </a:solidFill>
          <a:ln w="19050">
            <a:solidFill>
              <a:schemeClr val="lt1"/>
            </a:solidFill>
          </a:ln>
          <a:effectLst/>
        </c:spPr>
      </c:pivotFmt>
      <c:pivotFmt>
        <c:idx val="6"/>
        <c:spPr>
          <a:solidFill>
            <a:srgbClr val="C00000"/>
          </a:solidFill>
          <a:ln w="19050">
            <a:solidFill>
              <a:schemeClr val="lt1"/>
            </a:solidFill>
          </a:ln>
          <a:effectLst/>
        </c:spPr>
      </c:pivotFmt>
      <c:pivotFmt>
        <c:idx val="7"/>
        <c:spPr>
          <a:solidFill>
            <a:srgbClr val="00B050"/>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tx2"/>
          </a:solidFill>
          <a:ln w="19050">
            <a:solidFill>
              <a:schemeClr val="lt1"/>
            </a:solidFill>
          </a:ln>
          <a:effectLst/>
        </c:spPr>
      </c:pivotFmt>
      <c:pivotFmt>
        <c:idx val="10"/>
        <c:spPr>
          <a:solidFill>
            <a:srgbClr val="C00000"/>
          </a:solidFill>
          <a:ln w="19050">
            <a:solidFill>
              <a:schemeClr val="lt1"/>
            </a:solidFill>
          </a:ln>
          <a:effectLst/>
        </c:spPr>
      </c:pivotFmt>
      <c:pivotFmt>
        <c:idx val="11"/>
        <c:spPr>
          <a:solidFill>
            <a:srgbClr val="00B050"/>
          </a:solidFill>
          <a:ln w="19050">
            <a:solidFill>
              <a:schemeClr val="lt1"/>
            </a:solidFill>
          </a:ln>
          <a:effectLst/>
        </c:spPr>
      </c:pivotFmt>
      <c:pivotFmt>
        <c:idx val="12"/>
        <c:spPr>
          <a:solidFill>
            <a:schemeClr val="accent1"/>
          </a:solidFill>
          <a:ln w="19050">
            <a:solidFill>
              <a:schemeClr val="lt1"/>
            </a:solidFill>
          </a:ln>
          <a:effectLst/>
        </c:spPr>
        <c:marker>
          <c:symbol val="none"/>
        </c:marker>
      </c:pivotFmt>
      <c:pivotFmt>
        <c:idx val="13"/>
        <c:spPr>
          <a:solidFill>
            <a:schemeClr val="tx2"/>
          </a:solidFill>
          <a:ln w="19050">
            <a:solidFill>
              <a:schemeClr val="lt1"/>
            </a:solidFill>
          </a:ln>
          <a:effectLst/>
        </c:spPr>
      </c:pivotFmt>
      <c:pivotFmt>
        <c:idx val="14"/>
        <c:spPr>
          <a:solidFill>
            <a:srgbClr val="C00000"/>
          </a:solidFill>
          <a:ln w="19050">
            <a:solidFill>
              <a:schemeClr val="lt1"/>
            </a:solidFill>
          </a:ln>
          <a:effectLst/>
        </c:spPr>
      </c:pivotFmt>
      <c:pivotFmt>
        <c:idx val="15"/>
        <c:spPr>
          <a:solidFill>
            <a:srgbClr val="00B050"/>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4">
              <a:lumMod val="60000"/>
              <a:lumOff val="40000"/>
            </a:schemeClr>
          </a:solidFill>
          <a:ln w="19050">
            <a:solidFill>
              <a:schemeClr val="lt1"/>
            </a:solidFill>
          </a:ln>
          <a:effectLst/>
        </c:spPr>
        <c:dLbl>
          <c:idx val="0"/>
          <c:layout>
            <c:manualLayout>
              <c:x val="9.350157496365033E-2"/>
              <c:y val="0.2545420042368887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8"/>
        <c:spPr>
          <a:solidFill>
            <a:schemeClr val="accent4">
              <a:lumMod val="50000"/>
            </a:schemeClr>
          </a:solidFill>
          <a:ln w="19050">
            <a:solidFill>
              <a:schemeClr val="lt1"/>
            </a:solidFill>
          </a:ln>
          <a:effectLst/>
        </c:spPr>
        <c:dLbl>
          <c:idx val="0"/>
          <c:layout>
            <c:manualLayout>
              <c:x val="9.7337308403111882E-3"/>
              <c:y val="9.165868735829492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rgbClr val="7030A0"/>
          </a:solidFill>
          <a:ln w="19050">
            <a:solidFill>
              <a:schemeClr val="lt1"/>
            </a:solidFill>
          </a:ln>
          <a:effectLst/>
        </c:spPr>
        <c:dLbl>
          <c:idx val="0"/>
          <c:layout>
            <c:manualLayout>
              <c:x val="1.3150859782264658E-2"/>
              <c:y val="-0.1563848168583161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6160589978052872"/>
                  <c:h val="0.12743045930139904"/>
                </c:manualLayout>
              </c15:layout>
            </c:ext>
          </c:extLst>
        </c:dLbl>
      </c:pivotFmt>
    </c:pivotFmts>
    <c:plotArea>
      <c:layout>
        <c:manualLayout>
          <c:layoutTarget val="inner"/>
          <c:xMode val="edge"/>
          <c:yMode val="edge"/>
          <c:x val="2.7671655022479102E-3"/>
          <c:y val="0.27250500506019548"/>
          <c:w val="0.52375000000000005"/>
          <c:h val="0.77262411347517734"/>
        </c:manualLayout>
      </c:layout>
      <c:doughnutChart>
        <c:varyColors val="1"/>
        <c:ser>
          <c:idx val="0"/>
          <c:order val="0"/>
          <c:tx>
            <c:strRef>
              <c:f>'Pivot &amp;Calculations'!$J$21</c:f>
              <c:strCache>
                <c:ptCount val="1"/>
                <c:pt idx="0">
                  <c:v>Total</c:v>
                </c:pt>
              </c:strCache>
            </c:strRef>
          </c:tx>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4AA7-4741-9019-1E03518B186D}"/>
              </c:ext>
            </c:extLst>
          </c:dPt>
          <c:dPt>
            <c:idx val="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3-4AA7-4741-9019-1E03518B186D}"/>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4AA7-4741-9019-1E03518B186D}"/>
              </c:ext>
            </c:extLst>
          </c:dPt>
          <c:dLbls>
            <c:dLbl>
              <c:idx val="0"/>
              <c:layout>
                <c:manualLayout>
                  <c:x val="9.350157496365033E-2"/>
                  <c:y val="0.2545420042368887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4AA7-4741-9019-1E03518B186D}"/>
                </c:ext>
              </c:extLst>
            </c:dLbl>
            <c:dLbl>
              <c:idx val="1"/>
              <c:layout>
                <c:manualLayout>
                  <c:x val="9.7337308403111882E-3"/>
                  <c:y val="9.165868735829492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4AA7-4741-9019-1E03518B186D}"/>
                </c:ext>
              </c:extLst>
            </c:dLbl>
            <c:dLbl>
              <c:idx val="2"/>
              <c:layout>
                <c:manualLayout>
                  <c:x val="1.3150859782264658E-2"/>
                  <c:y val="-0.1563848168583161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6160589978052872"/>
                      <c:h val="0.12743045930139904"/>
                    </c:manualLayout>
                  </c15:layout>
                </c:ext>
                <c:ext xmlns:c16="http://schemas.microsoft.com/office/drawing/2014/chart" uri="{C3380CC4-5D6E-409C-BE32-E72D297353CC}">
                  <c16:uniqueId val="{00000005-4AA7-4741-9019-1E03518B186D}"/>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&amp;Calculations'!$I$22:$I$25</c:f>
              <c:strCache>
                <c:ptCount val="3"/>
                <c:pt idx="0">
                  <c:v>Hybrid</c:v>
                </c:pt>
                <c:pt idx="1">
                  <c:v>Offline</c:v>
                </c:pt>
                <c:pt idx="2">
                  <c:v>Online</c:v>
                </c:pt>
              </c:strCache>
            </c:strRef>
          </c:cat>
          <c:val>
            <c:numRef>
              <c:f>'Pivot &amp;Calculations'!$J$22:$J$25</c:f>
              <c:numCache>
                <c:formatCode>General</c:formatCode>
                <c:ptCount val="3"/>
                <c:pt idx="0">
                  <c:v>685</c:v>
                </c:pt>
                <c:pt idx="1">
                  <c:v>668</c:v>
                </c:pt>
                <c:pt idx="2">
                  <c:v>647</c:v>
                </c:pt>
              </c:numCache>
            </c:numRef>
          </c:val>
          <c:extLst>
            <c:ext xmlns:c16="http://schemas.microsoft.com/office/drawing/2014/chart" uri="{C3380CC4-5D6E-409C-BE32-E72D297353CC}">
              <c16:uniqueId val="{00000006-4AA7-4741-9019-1E03518B186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Student enrollment and Revenue Analysis.xlsx]Pivot &amp;Calculations!PivotTable1</c:name>
    <c:fmtId val="7"/>
  </c:pivotSource>
  <c:chart>
    <c:title>
      <c:tx>
        <c:rich>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r>
              <a:rPr lang="en-US" b="1">
                <a:solidFill>
                  <a:schemeClr val="accent4">
                    <a:lumMod val="50000"/>
                  </a:schemeClr>
                </a:solidFill>
              </a:rPr>
              <a:t>MONTHLY</a:t>
            </a:r>
            <a:r>
              <a:rPr lang="en-US" b="1" baseline="0">
                <a:solidFill>
                  <a:schemeClr val="accent4">
                    <a:lumMod val="50000"/>
                  </a:schemeClr>
                </a:solidFill>
              </a:rPr>
              <a:t> ENROLLMENT TREND</a:t>
            </a:r>
            <a:endParaRPr lang="en-US" b="1">
              <a:solidFill>
                <a:schemeClr val="accent4">
                  <a:lumMod val="50000"/>
                </a:schemeClr>
              </a:solidFill>
            </a:endParaRPr>
          </a:p>
        </c:rich>
      </c:tx>
      <c:layout>
        <c:manualLayout>
          <c:xMode val="edge"/>
          <c:yMode val="edge"/>
          <c:x val="9.3161503566418932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w="28575" cap="rnd">
            <a:solidFill>
              <a:srgbClr val="00B050"/>
            </a:solidFill>
            <a:round/>
          </a:ln>
          <a:effectLst/>
        </c:spPr>
        <c:marker>
          <c:symbol val="circle"/>
          <c:size val="5"/>
          <c:spPr>
            <a:solidFill>
              <a:schemeClr val="accent1"/>
            </a:solidFill>
            <a:ln w="9525">
              <a:solidFill>
                <a:srgbClr val="00B050"/>
              </a:solidFill>
            </a:ln>
            <a:effectLst/>
          </c:spPr>
        </c:marker>
      </c:pivotFmt>
      <c:pivotFmt>
        <c:idx val="1"/>
        <c:spPr>
          <a:solidFill>
            <a:schemeClr val="accent1"/>
          </a:solidFill>
          <a:ln w="28575" cap="rnd">
            <a:solidFill>
              <a:srgbClr val="00B050"/>
            </a:solidFill>
            <a:round/>
          </a:ln>
          <a:effectLst/>
        </c:spPr>
        <c:marker>
          <c:symbol val="circle"/>
          <c:size val="5"/>
          <c:spPr>
            <a:solidFill>
              <a:schemeClr val="accent1"/>
            </a:solidFill>
            <a:ln w="9525">
              <a:solidFill>
                <a:srgbClr val="00B050"/>
              </a:solidFill>
            </a:ln>
            <a:effectLst/>
          </c:spPr>
        </c:marker>
      </c:pivotFmt>
      <c:pivotFmt>
        <c:idx val="2"/>
        <c:spPr>
          <a:solidFill>
            <a:schemeClr val="accent1"/>
          </a:solidFill>
          <a:ln w="28575" cap="rnd">
            <a:solidFill>
              <a:srgbClr val="00B050"/>
            </a:solidFill>
            <a:round/>
          </a:ln>
          <a:effectLst/>
        </c:spPr>
        <c:marker>
          <c:symbol val="circle"/>
          <c:size val="5"/>
          <c:spPr>
            <a:solidFill>
              <a:schemeClr val="accent1"/>
            </a:solidFill>
            <a:ln w="9525">
              <a:solidFill>
                <a:srgbClr val="00B050"/>
              </a:solidFill>
            </a:ln>
            <a:effectLst/>
          </c:spPr>
        </c:marker>
      </c:pivotFmt>
      <c:pivotFmt>
        <c:idx val="3"/>
        <c:spPr>
          <a:solidFill>
            <a:schemeClr val="accent1"/>
          </a:solidFill>
          <a:ln w="28575" cap="rnd">
            <a:solidFill>
              <a:srgbClr val="00B050"/>
            </a:solidFill>
            <a:round/>
          </a:ln>
          <a:effectLst/>
        </c:spPr>
        <c:marker>
          <c:symbol val="circle"/>
          <c:size val="5"/>
          <c:spPr>
            <a:solidFill>
              <a:schemeClr val="accent1"/>
            </a:solidFill>
            <a:ln w="9525">
              <a:solidFill>
                <a:srgbClr val="00B050"/>
              </a:solidFill>
            </a:ln>
            <a:effectLst/>
          </c:spPr>
        </c:marker>
      </c:pivotFmt>
      <c:pivotFmt>
        <c:idx val="4"/>
        <c:spPr>
          <a:ln w="28575" cap="rnd">
            <a:solidFill>
              <a:schemeClr val="accent4"/>
            </a:solidFill>
            <a:round/>
          </a:ln>
          <a:effectLst/>
        </c:spPr>
        <c:marker>
          <c:symbol val="circle"/>
          <c:size val="5"/>
          <c:spPr>
            <a:solidFill>
              <a:schemeClr val="accent4">
                <a:lumMod val="50000"/>
              </a:schemeClr>
            </a:solidFill>
            <a:ln w="9525">
              <a:solidFill>
                <a:schemeClr val="accent4"/>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chemeClr val="accent4"/>
            </a:solidFill>
            <a:round/>
          </a:ln>
          <a:effectLst/>
        </c:spPr>
        <c:marker>
          <c:symbol val="circle"/>
          <c:size val="5"/>
          <c:spPr>
            <a:solidFill>
              <a:schemeClr val="accent4">
                <a:lumMod val="50000"/>
              </a:schemeClr>
            </a:solidFill>
            <a:ln w="9525">
              <a:solidFill>
                <a:schemeClr val="accent4"/>
              </a:solidFill>
            </a:ln>
            <a:effectLst/>
          </c:spPr>
        </c:marker>
        <c:dLbl>
          <c:idx val="0"/>
          <c:layout>
            <c:manualLayout>
              <c:x val="-6.0565080928363227E-2"/>
              <c:y val="8.37664044999164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ln w="28575" cap="rnd">
            <a:solidFill>
              <a:schemeClr val="accent4"/>
            </a:solidFill>
            <a:round/>
          </a:ln>
          <a:effectLst/>
        </c:spPr>
        <c:marker>
          <c:symbol val="circle"/>
          <c:size val="5"/>
          <c:spPr>
            <a:solidFill>
              <a:schemeClr val="accent4">
                <a:lumMod val="50000"/>
              </a:schemeClr>
            </a:solidFill>
            <a:ln w="9525">
              <a:solidFill>
                <a:schemeClr val="accent4"/>
              </a:solidFill>
            </a:ln>
            <a:effectLst/>
          </c:spPr>
        </c:marker>
        <c:dLbl>
          <c:idx val="0"/>
          <c:layout>
            <c:manualLayout>
              <c:x val="-6.0565080928363227E-2"/>
              <c:y val="0.110198140898498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ln w="28575" cap="rnd">
            <a:solidFill>
              <a:schemeClr val="accent4"/>
            </a:solidFill>
            <a:round/>
          </a:ln>
          <a:effectLst/>
        </c:spPr>
        <c:marker>
          <c:symbol val="circle"/>
          <c:size val="5"/>
          <c:spPr>
            <a:solidFill>
              <a:schemeClr val="accent4">
                <a:lumMod val="50000"/>
              </a:schemeClr>
            </a:solidFill>
            <a:ln w="9525">
              <a:solidFill>
                <a:schemeClr val="accent4"/>
              </a:solidFill>
            </a:ln>
            <a:effectLst/>
          </c:spPr>
        </c:marker>
      </c:pivotFmt>
    </c:pivotFmts>
    <c:plotArea>
      <c:layout>
        <c:manualLayout>
          <c:layoutTarget val="inner"/>
          <c:xMode val="edge"/>
          <c:yMode val="edge"/>
          <c:x val="8.9466348257385059E-2"/>
          <c:y val="0.19626813603824983"/>
          <c:w val="0.88467065249228971"/>
          <c:h val="0.63461655929372462"/>
        </c:manualLayout>
      </c:layout>
      <c:lineChart>
        <c:grouping val="standard"/>
        <c:varyColors val="0"/>
        <c:ser>
          <c:idx val="0"/>
          <c:order val="0"/>
          <c:tx>
            <c:strRef>
              <c:f>'Pivot &amp;Calculations'!$J$3</c:f>
              <c:strCache>
                <c:ptCount val="1"/>
                <c:pt idx="0">
                  <c:v>Total</c:v>
                </c:pt>
              </c:strCache>
            </c:strRef>
          </c:tx>
          <c:spPr>
            <a:ln w="28575" cap="rnd">
              <a:solidFill>
                <a:schemeClr val="accent4"/>
              </a:solidFill>
              <a:round/>
            </a:ln>
            <a:effectLst/>
          </c:spPr>
          <c:marker>
            <c:symbol val="circle"/>
            <c:size val="5"/>
            <c:spPr>
              <a:solidFill>
                <a:schemeClr val="accent4">
                  <a:lumMod val="50000"/>
                </a:schemeClr>
              </a:solidFill>
              <a:ln w="9525">
                <a:solidFill>
                  <a:schemeClr val="accent4"/>
                </a:solidFill>
              </a:ln>
              <a:effectLst/>
            </c:spPr>
          </c:marker>
          <c:dPt>
            <c:idx val="7"/>
            <c:marker>
              <c:symbol val="circle"/>
              <c:size val="5"/>
              <c:spPr>
                <a:solidFill>
                  <a:schemeClr val="accent4">
                    <a:lumMod val="50000"/>
                  </a:schemeClr>
                </a:solidFill>
                <a:ln w="9525">
                  <a:solidFill>
                    <a:schemeClr val="accent4"/>
                  </a:solidFill>
                </a:ln>
                <a:effectLst/>
              </c:spPr>
            </c:marker>
            <c:bubble3D val="0"/>
            <c:spPr>
              <a:ln w="28575" cap="rnd">
                <a:solidFill>
                  <a:schemeClr val="accent4"/>
                </a:solidFill>
                <a:round/>
              </a:ln>
              <a:effectLst/>
            </c:spPr>
            <c:extLst>
              <c:ext xmlns:c16="http://schemas.microsoft.com/office/drawing/2014/chart" uri="{C3380CC4-5D6E-409C-BE32-E72D297353CC}">
                <c16:uniqueId val="{00000000-53FD-47C3-80F6-CD8A723F0579}"/>
              </c:ext>
            </c:extLst>
          </c:dPt>
          <c:dPt>
            <c:idx val="8"/>
            <c:marker>
              <c:symbol val="circle"/>
              <c:size val="5"/>
              <c:spPr>
                <a:solidFill>
                  <a:schemeClr val="accent4">
                    <a:lumMod val="50000"/>
                  </a:schemeClr>
                </a:solidFill>
                <a:ln w="9525">
                  <a:solidFill>
                    <a:schemeClr val="accent4"/>
                  </a:solidFill>
                </a:ln>
                <a:effectLst/>
              </c:spPr>
            </c:marker>
            <c:bubble3D val="0"/>
            <c:spPr>
              <a:ln w="28575" cap="rnd">
                <a:solidFill>
                  <a:schemeClr val="accent4"/>
                </a:solidFill>
                <a:round/>
              </a:ln>
              <a:effectLst/>
            </c:spPr>
            <c:extLst>
              <c:ext xmlns:c16="http://schemas.microsoft.com/office/drawing/2014/chart" uri="{C3380CC4-5D6E-409C-BE32-E72D297353CC}">
                <c16:uniqueId val="{00000001-53FD-47C3-80F6-CD8A723F0579}"/>
              </c:ext>
            </c:extLst>
          </c:dPt>
          <c:dLbls>
            <c:dLbl>
              <c:idx val="7"/>
              <c:layout>
                <c:manualLayout>
                  <c:x val="-6.0565080928363227E-2"/>
                  <c:y val="8.3766404499916403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53FD-47C3-80F6-CD8A723F0579}"/>
                </c:ext>
              </c:extLst>
            </c:dLbl>
            <c:dLbl>
              <c:idx val="8"/>
              <c:layout>
                <c:manualLayout>
                  <c:x val="-6.0565080928363227E-2"/>
                  <c:y val="0.11019814089849871"/>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53FD-47C3-80F6-CD8A723F05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&amp;Calculations'!$I$4:$I$16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&amp;Calculations'!$J$4:$J$16</c:f>
              <c:numCache>
                <c:formatCode>General</c:formatCode>
                <c:ptCount val="12"/>
                <c:pt idx="0">
                  <c:v>167</c:v>
                </c:pt>
                <c:pt idx="1">
                  <c:v>158</c:v>
                </c:pt>
                <c:pt idx="2">
                  <c:v>146</c:v>
                </c:pt>
                <c:pt idx="3">
                  <c:v>162</c:v>
                </c:pt>
                <c:pt idx="4">
                  <c:v>157</c:v>
                </c:pt>
                <c:pt idx="5">
                  <c:v>154</c:v>
                </c:pt>
                <c:pt idx="6">
                  <c:v>160</c:v>
                </c:pt>
                <c:pt idx="7">
                  <c:v>187</c:v>
                </c:pt>
                <c:pt idx="8">
                  <c:v>185</c:v>
                </c:pt>
                <c:pt idx="9">
                  <c:v>164</c:v>
                </c:pt>
                <c:pt idx="10">
                  <c:v>174</c:v>
                </c:pt>
                <c:pt idx="11">
                  <c:v>186</c:v>
                </c:pt>
              </c:numCache>
            </c:numRef>
          </c:val>
          <c:smooth val="0"/>
          <c:extLst>
            <c:ext xmlns:c16="http://schemas.microsoft.com/office/drawing/2014/chart" uri="{C3380CC4-5D6E-409C-BE32-E72D297353CC}">
              <c16:uniqueId val="{00000000-29E2-4894-AAFE-970A7F8C0E73}"/>
            </c:ext>
          </c:extLst>
        </c:ser>
        <c:dLbls>
          <c:showLegendKey val="0"/>
          <c:showVal val="0"/>
          <c:showCatName val="0"/>
          <c:showSerName val="0"/>
          <c:showPercent val="0"/>
          <c:showBubbleSize val="0"/>
        </c:dLbls>
        <c:marker val="1"/>
        <c:smooth val="0"/>
        <c:axId val="1151109231"/>
        <c:axId val="1151106735"/>
      </c:lineChart>
      <c:catAx>
        <c:axId val="115110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51106735"/>
        <c:crosses val="autoZero"/>
        <c:auto val="1"/>
        <c:lblAlgn val="ctr"/>
        <c:lblOffset val="100"/>
        <c:noMultiLvlLbl val="0"/>
      </c:catAx>
      <c:valAx>
        <c:axId val="1151106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5110923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Student enrollment and Revenue Analysis.xlsx]Pivot &amp;Calculations!PivotTable2</c:name>
    <c:fmtId val="51"/>
  </c:pivotSource>
  <c:chart>
    <c:title>
      <c:tx>
        <c:rich>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r>
              <a:rPr lang="en-US" b="1">
                <a:solidFill>
                  <a:schemeClr val="accent4">
                    <a:lumMod val="50000"/>
                  </a:schemeClr>
                </a:solidFill>
              </a:rPr>
              <a:t>Branch</a:t>
            </a:r>
            <a:r>
              <a:rPr lang="en-US" b="1" baseline="0">
                <a:solidFill>
                  <a:schemeClr val="accent4">
                    <a:lumMod val="50000"/>
                  </a:schemeClr>
                </a:solidFill>
              </a:rPr>
              <a:t> wise enrollment</a:t>
            </a:r>
          </a:p>
        </c:rich>
      </c:tx>
      <c:layout>
        <c:manualLayout>
          <c:xMode val="edge"/>
          <c:yMode val="edge"/>
          <c:x val="0.24837103034900856"/>
          <c:y val="6.52022975446569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pivotFmt>
      <c:pivotFmt>
        <c:idx val="1"/>
        <c:spPr>
          <a:solidFill>
            <a:srgbClr val="00B050"/>
          </a:solidFill>
          <a:ln>
            <a:noFill/>
          </a:ln>
          <a:effectLst/>
        </c:spPr>
        <c:marker>
          <c:symbol val="none"/>
        </c:marker>
      </c:pivotFmt>
      <c:pivotFmt>
        <c:idx val="2"/>
        <c:spPr>
          <a:solidFill>
            <a:srgbClr val="00B050"/>
          </a:solidFill>
          <a:ln>
            <a:noFill/>
          </a:ln>
          <a:effectLst/>
        </c:spPr>
        <c:marker>
          <c:symbol val="none"/>
        </c:marker>
      </c:pivotFmt>
      <c:pivotFmt>
        <c:idx val="3"/>
        <c:spPr>
          <a:solidFill>
            <a:srgbClr val="00B050"/>
          </a:solidFill>
          <a:ln>
            <a:noFill/>
          </a:ln>
          <a:effectLst/>
        </c:spPr>
        <c:marker>
          <c:symbol val="none"/>
        </c:marker>
      </c:pivotFmt>
      <c:pivotFmt>
        <c:idx val="4"/>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c:spPr>
        <c:dLbl>
          <c:idx val="0"/>
          <c:layout>
            <c:manualLayout>
              <c:x val="-1.2011873249827217E-16"/>
              <c:y val="-0.242962962962963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4">
              <a:lumMod val="75000"/>
            </a:schemeClr>
          </a:solidFill>
          <a:ln>
            <a:noFill/>
          </a:ln>
          <a:effectLst/>
        </c:spPr>
        <c:dLbl>
          <c:idx val="0"/>
          <c:layout>
            <c:manualLayout>
              <c:x val="8.2194024615024674E-17"/>
              <c:y val="-0.278518242512720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4">
              <a:lumMod val="40000"/>
              <a:lumOff val="60000"/>
            </a:schemeClr>
          </a:solidFill>
          <a:ln>
            <a:noFill/>
          </a:ln>
          <a:effectLst/>
        </c:spPr>
        <c:dLbl>
          <c:idx val="0"/>
          <c:layout>
            <c:manualLayout>
              <c:x val="0"/>
              <c:y val="-0.171851851851851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4">
              <a:lumMod val="60000"/>
              <a:lumOff val="40000"/>
            </a:schemeClr>
          </a:solidFill>
          <a:ln>
            <a:noFill/>
          </a:ln>
          <a:effectLst/>
        </c:spPr>
        <c:dLbl>
          <c:idx val="0"/>
          <c:layout>
            <c:manualLayout>
              <c:x val="-9.8280098280098885E-3"/>
              <c:y val="-0.266666666666666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4">
              <a:lumMod val="20000"/>
              <a:lumOff val="80000"/>
            </a:schemeClr>
          </a:solidFill>
          <a:ln>
            <a:noFill/>
          </a:ln>
          <a:effectLst/>
        </c:spPr>
        <c:dLbl>
          <c:idx val="0"/>
          <c:layout>
            <c:manualLayout>
              <c:x val="0"/>
              <c:y val="-0.13629629629629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4">
              <a:lumMod val="50000"/>
            </a:schemeClr>
          </a:solidFill>
          <a:ln>
            <a:noFill/>
          </a:ln>
          <a:effectLst/>
        </c:spPr>
        <c:dLbl>
          <c:idx val="0"/>
          <c:layout>
            <c:manualLayout>
              <c:x val="0"/>
              <c:y val="-0.314074074074074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7.6732889768244272E-2"/>
          <c:y val="0.2020830671453242"/>
          <c:w val="0.87421118899517036"/>
          <c:h val="0.62289255509727948"/>
        </c:manualLayout>
      </c:layout>
      <c:barChart>
        <c:barDir val="col"/>
        <c:grouping val="stacked"/>
        <c:varyColors val="0"/>
        <c:ser>
          <c:idx val="0"/>
          <c:order val="0"/>
          <c:tx>
            <c:strRef>
              <c:f>'Pivot &amp;Calculations'!$E$71</c:f>
              <c:strCache>
                <c:ptCount val="1"/>
                <c:pt idx="0">
                  <c:v>Total</c:v>
                </c:pt>
              </c:strCache>
            </c:strRef>
          </c:tx>
          <c:spPr>
            <a:solidFill>
              <a:schemeClr val="accent4">
                <a:lumMod val="50000"/>
              </a:schemeClr>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6-D7B3-4D85-81FA-B12D94F93AB7}"/>
              </c:ext>
            </c:extLst>
          </c:dPt>
          <c:dPt>
            <c:idx val="1"/>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5-D7B3-4D85-81FA-B12D94F93AB7}"/>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4-D7B3-4D85-81FA-B12D94F93AB7}"/>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7B3-4D85-81FA-B12D94F93AB7}"/>
              </c:ext>
            </c:extLst>
          </c:dPt>
          <c:dPt>
            <c:idx val="4"/>
            <c:invertIfNegative val="0"/>
            <c:bubble3D val="0"/>
            <c:spPr>
              <a:solidFill>
                <a:schemeClr val="accent4">
                  <a:lumMod val="75000"/>
                </a:schemeClr>
              </a:solidFill>
              <a:ln>
                <a:noFill/>
              </a:ln>
              <a:effectLst/>
            </c:spPr>
            <c:extLst>
              <c:ext xmlns:c16="http://schemas.microsoft.com/office/drawing/2014/chart" uri="{C3380CC4-5D6E-409C-BE32-E72D297353CC}">
                <c16:uniqueId val="{00000002-D7B3-4D85-81FA-B12D94F93AB7}"/>
              </c:ext>
            </c:extLst>
          </c:dPt>
          <c:dPt>
            <c:idx val="5"/>
            <c:invertIfNegative val="0"/>
            <c:bubble3D val="0"/>
            <c:spPr>
              <a:solidFill>
                <a:srgbClr val="7030A0"/>
              </a:solidFill>
              <a:ln>
                <a:noFill/>
              </a:ln>
              <a:effectLst/>
            </c:spPr>
            <c:extLst>
              <c:ext xmlns:c16="http://schemas.microsoft.com/office/drawing/2014/chart" uri="{C3380CC4-5D6E-409C-BE32-E72D297353CC}">
                <c16:uniqueId val="{00000001-D7B3-4D85-81FA-B12D94F93AB7}"/>
              </c:ext>
            </c:extLst>
          </c:dPt>
          <c:dLbls>
            <c:dLbl>
              <c:idx val="0"/>
              <c:layout>
                <c:manualLayout>
                  <c:x val="0"/>
                  <c:y val="-0.3140740740740740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D7B3-4D85-81FA-B12D94F93AB7}"/>
                </c:ext>
              </c:extLst>
            </c:dLbl>
            <c:dLbl>
              <c:idx val="1"/>
              <c:layout>
                <c:manualLayout>
                  <c:x val="0"/>
                  <c:y val="-0.136296296296296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D7B3-4D85-81FA-B12D94F93AB7}"/>
                </c:ext>
              </c:extLst>
            </c:dLbl>
            <c:dLbl>
              <c:idx val="2"/>
              <c:layout>
                <c:manualLayout>
                  <c:x val="-9.8280098280098885E-3"/>
                  <c:y val="-0.26666666666666672"/>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D7B3-4D85-81FA-B12D94F93AB7}"/>
                </c:ext>
              </c:extLst>
            </c:dLbl>
            <c:dLbl>
              <c:idx val="3"/>
              <c:layout>
                <c:manualLayout>
                  <c:x val="0"/>
                  <c:y val="-0.17185185185185184"/>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D7B3-4D85-81FA-B12D94F93AB7}"/>
                </c:ext>
              </c:extLst>
            </c:dLbl>
            <c:dLbl>
              <c:idx val="4"/>
              <c:layout>
                <c:manualLayout>
                  <c:x val="8.2194024615024674E-17"/>
                  <c:y val="-0.27851824251272067"/>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D7B3-4D85-81FA-B12D94F93AB7}"/>
                </c:ext>
              </c:extLst>
            </c:dLbl>
            <c:dLbl>
              <c:idx val="5"/>
              <c:layout>
                <c:manualLayout>
                  <c:x val="-1.2011873249827217E-16"/>
                  <c:y val="-0.24296296296296302"/>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D7B3-4D85-81FA-B12D94F93A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&amp;Calculations'!$D$72:$D$78</c:f>
              <c:strCache>
                <c:ptCount val="6"/>
                <c:pt idx="0">
                  <c:v>Abu Dhabi</c:v>
                </c:pt>
                <c:pt idx="1">
                  <c:v>Ajman</c:v>
                </c:pt>
                <c:pt idx="2">
                  <c:v>Al Ain</c:v>
                </c:pt>
                <c:pt idx="3">
                  <c:v>Dubai</c:v>
                </c:pt>
                <c:pt idx="4">
                  <c:v>Ras Al Khaimah</c:v>
                </c:pt>
                <c:pt idx="5">
                  <c:v>Sharjah</c:v>
                </c:pt>
              </c:strCache>
            </c:strRef>
          </c:cat>
          <c:val>
            <c:numRef>
              <c:f>'Pivot &amp;Calculations'!$E$72:$E$78</c:f>
              <c:numCache>
                <c:formatCode>General</c:formatCode>
                <c:ptCount val="6"/>
                <c:pt idx="0">
                  <c:v>363</c:v>
                </c:pt>
                <c:pt idx="1">
                  <c:v>308</c:v>
                </c:pt>
                <c:pt idx="2">
                  <c:v>348</c:v>
                </c:pt>
                <c:pt idx="3">
                  <c:v>317</c:v>
                </c:pt>
                <c:pt idx="4">
                  <c:v>325</c:v>
                </c:pt>
                <c:pt idx="5">
                  <c:v>339</c:v>
                </c:pt>
              </c:numCache>
            </c:numRef>
          </c:val>
          <c:extLst>
            <c:ext xmlns:c16="http://schemas.microsoft.com/office/drawing/2014/chart" uri="{C3380CC4-5D6E-409C-BE32-E72D297353CC}">
              <c16:uniqueId val="{00000000-D7B3-4D85-81FA-B12D94F93AB7}"/>
            </c:ext>
          </c:extLst>
        </c:ser>
        <c:dLbls>
          <c:showLegendKey val="0"/>
          <c:showVal val="0"/>
          <c:showCatName val="0"/>
          <c:showSerName val="0"/>
          <c:showPercent val="0"/>
          <c:showBubbleSize val="0"/>
        </c:dLbls>
        <c:gapWidth val="150"/>
        <c:overlap val="100"/>
        <c:axId val="1163339887"/>
        <c:axId val="1163333231"/>
      </c:barChart>
      <c:catAx>
        <c:axId val="116333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63333231"/>
        <c:crosses val="autoZero"/>
        <c:auto val="1"/>
        <c:lblAlgn val="ctr"/>
        <c:lblOffset val="100"/>
        <c:noMultiLvlLbl val="0"/>
      </c:catAx>
      <c:valAx>
        <c:axId val="1163333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6333988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Student enrollment and Revenue Analysis.xlsx]Pivot &amp;Calculations!PivotTable9</c:name>
    <c:fmtId val="15"/>
  </c:pivotSource>
  <c:chart>
    <c:autoTitleDeleted val="1"/>
    <c:pivotFmts>
      <c:pivotFmt>
        <c:idx val="0"/>
        <c:spPr>
          <a:solidFill>
            <a:srgbClr val="00B050"/>
          </a:solidFill>
          <a:ln>
            <a:noFill/>
          </a:ln>
          <a:effectLst/>
        </c:spPr>
        <c:marker>
          <c:symbol val="none"/>
        </c:marker>
      </c:pivotFmt>
      <c:pivotFmt>
        <c:idx val="1"/>
        <c:spPr>
          <a:solidFill>
            <a:srgbClr val="FF0000"/>
          </a:solidFill>
          <a:ln>
            <a:noFill/>
          </a:ln>
          <a:effectLst/>
        </c:spPr>
        <c:marker>
          <c:symbol val="none"/>
        </c:marker>
      </c:pivotFmt>
      <c:pivotFmt>
        <c:idx val="2"/>
        <c:spPr>
          <a:solidFill>
            <a:srgbClr val="00B050"/>
          </a:solidFill>
          <a:ln>
            <a:noFill/>
          </a:ln>
          <a:effectLst/>
        </c:spPr>
        <c:marker>
          <c:symbol val="none"/>
        </c:marker>
      </c:pivotFmt>
      <c:pivotFmt>
        <c:idx val="3"/>
        <c:spPr>
          <a:solidFill>
            <a:srgbClr val="FF0000"/>
          </a:solidFill>
          <a:ln>
            <a:noFill/>
          </a:ln>
          <a:effectLst/>
        </c:spPr>
        <c:marker>
          <c:symbol val="none"/>
        </c:marker>
      </c:pivotFmt>
      <c:pivotFmt>
        <c:idx val="4"/>
        <c:spPr>
          <a:solidFill>
            <a:srgbClr val="00B050"/>
          </a:solidFill>
          <a:ln>
            <a:noFill/>
          </a:ln>
          <a:effectLst/>
        </c:spPr>
        <c:marker>
          <c:symbol val="none"/>
        </c:marker>
      </c:pivotFmt>
      <c:pivotFmt>
        <c:idx val="5"/>
        <c:spPr>
          <a:solidFill>
            <a:srgbClr val="FF0000"/>
          </a:solidFill>
          <a:ln>
            <a:noFill/>
          </a:ln>
          <a:effectLst/>
        </c:spPr>
        <c:marker>
          <c:symbol val="none"/>
        </c:marker>
      </c:pivotFmt>
      <c:pivotFmt>
        <c:idx val="6"/>
        <c:spPr>
          <a:solidFill>
            <a:srgbClr val="00B050"/>
          </a:solidFill>
          <a:ln>
            <a:noFill/>
          </a:ln>
          <a:effectLst/>
        </c:spPr>
        <c:marker>
          <c:symbol val="none"/>
        </c:marker>
      </c:pivotFmt>
      <c:pivotFmt>
        <c:idx val="7"/>
        <c:spPr>
          <a:solidFill>
            <a:srgbClr val="FF0000"/>
          </a:solidFill>
          <a:ln>
            <a:noFill/>
          </a:ln>
          <a:effectLst/>
        </c:spPr>
        <c:marker>
          <c:symbol val="none"/>
        </c:marker>
      </c:pivotFmt>
      <c:pivotFmt>
        <c:idx val="8"/>
        <c:spPr>
          <a:solidFill>
            <a:schemeClr val="accent4">
              <a:lumMod val="60000"/>
              <a:lumOff val="40000"/>
            </a:schemeClr>
          </a:solidFill>
          <a:ln>
            <a:noFill/>
          </a:ln>
          <a:effectLst/>
        </c:spPr>
        <c:marker>
          <c:symbol val="none"/>
        </c:marker>
        <c:dLbl>
          <c:idx val="0"/>
          <c:layout/>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4">
              <a:lumMod val="75000"/>
            </a:schemeClr>
          </a:solidFill>
          <a:ln>
            <a:noFill/>
          </a:ln>
          <a:effectLst/>
        </c:spPr>
        <c:marker>
          <c:symbol val="none"/>
        </c:marker>
        <c:dLbl>
          <c:idx val="0"/>
          <c:layout/>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4">
              <a:lumMod val="75000"/>
            </a:schemeClr>
          </a:solidFill>
          <a:ln>
            <a:noFill/>
          </a:ln>
          <a:effectLst/>
        </c:spPr>
      </c:pivotFmt>
      <c:pivotFmt>
        <c:idx val="11"/>
        <c:spPr>
          <a:solidFill>
            <a:schemeClr val="accent4">
              <a:lumMod val="75000"/>
            </a:schemeClr>
          </a:solidFill>
          <a:ln>
            <a:noFill/>
          </a:ln>
          <a:effectLst/>
        </c:spPr>
      </c:pivotFmt>
      <c:pivotFmt>
        <c:idx val="12"/>
        <c:spPr>
          <a:solidFill>
            <a:schemeClr val="accent4">
              <a:lumMod val="75000"/>
            </a:schemeClr>
          </a:solidFill>
          <a:ln>
            <a:noFill/>
          </a:ln>
          <a:effectLst/>
        </c:spPr>
      </c:pivotFmt>
      <c:pivotFmt>
        <c:idx val="13"/>
        <c:spPr>
          <a:solidFill>
            <a:schemeClr val="accent4">
              <a:lumMod val="75000"/>
            </a:schemeClr>
          </a:solidFill>
          <a:ln>
            <a:noFill/>
          </a:ln>
          <a:effectLst/>
        </c:spPr>
      </c:pivotFmt>
      <c:pivotFmt>
        <c:idx val="14"/>
        <c:spPr>
          <a:solidFill>
            <a:schemeClr val="accent4">
              <a:lumMod val="75000"/>
            </a:schemeClr>
          </a:solidFill>
          <a:ln>
            <a:noFill/>
          </a:ln>
          <a:effectLst/>
        </c:spPr>
      </c:pivotFmt>
      <c:pivotFmt>
        <c:idx val="15"/>
        <c:spPr>
          <a:solidFill>
            <a:schemeClr val="accent4">
              <a:lumMod val="75000"/>
            </a:schemeClr>
          </a:solidFill>
          <a:ln>
            <a:noFill/>
          </a:ln>
          <a:effectLst/>
        </c:spPr>
      </c:pivotFmt>
      <c:pivotFmt>
        <c:idx val="16"/>
        <c:spPr>
          <a:solidFill>
            <a:schemeClr val="accent4">
              <a:lumMod val="60000"/>
              <a:lumOff val="40000"/>
            </a:schemeClr>
          </a:solidFill>
          <a:ln>
            <a:noFill/>
          </a:ln>
          <a:effectLst/>
        </c:spPr>
      </c:pivotFmt>
      <c:pivotFmt>
        <c:idx val="17"/>
        <c:spPr>
          <a:solidFill>
            <a:schemeClr val="accent4">
              <a:lumMod val="60000"/>
              <a:lumOff val="40000"/>
            </a:schemeClr>
          </a:solidFill>
          <a:ln>
            <a:noFill/>
          </a:ln>
          <a:effectLst/>
        </c:spPr>
      </c:pivotFmt>
    </c:pivotFmts>
    <c:plotArea>
      <c:layout>
        <c:manualLayout>
          <c:layoutTarget val="inner"/>
          <c:xMode val="edge"/>
          <c:yMode val="edge"/>
          <c:x val="0.10058473499964542"/>
          <c:y val="2.9605098417694396E-2"/>
          <c:w val="0.78232719144790464"/>
          <c:h val="0.69672649022205257"/>
        </c:manualLayout>
      </c:layout>
      <c:barChart>
        <c:barDir val="col"/>
        <c:grouping val="clustered"/>
        <c:varyColors val="0"/>
        <c:ser>
          <c:idx val="0"/>
          <c:order val="0"/>
          <c:tx>
            <c:strRef>
              <c:f>'Pivot &amp;Calculations'!$N$37</c:f>
              <c:strCache>
                <c:ptCount val="1"/>
                <c:pt idx="0">
                  <c:v>Sum of Revenue</c:v>
                </c:pt>
              </c:strCache>
            </c:strRef>
          </c:tx>
          <c:spPr>
            <a:solidFill>
              <a:schemeClr val="accent4">
                <a:lumMod val="60000"/>
                <a:lumOff val="40000"/>
              </a:schemeClr>
            </a:solidFill>
            <a:ln>
              <a:noFill/>
            </a:ln>
            <a:effectLst/>
          </c:spPr>
          <c:invertIfNegative val="0"/>
          <c:dLbls>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&amp;Calculations'!$M$38:$M$44</c:f>
              <c:strCache>
                <c:ptCount val="6"/>
                <c:pt idx="0">
                  <c:v>Abu Dhabi</c:v>
                </c:pt>
                <c:pt idx="1">
                  <c:v>Sharjah</c:v>
                </c:pt>
                <c:pt idx="2">
                  <c:v>Al Ain</c:v>
                </c:pt>
                <c:pt idx="3">
                  <c:v>Ras Al Khaimah</c:v>
                </c:pt>
                <c:pt idx="4">
                  <c:v>Dubai</c:v>
                </c:pt>
                <c:pt idx="5">
                  <c:v>Ajman</c:v>
                </c:pt>
              </c:strCache>
            </c:strRef>
          </c:cat>
          <c:val>
            <c:numRef>
              <c:f>'Pivot &amp;Calculations'!$N$38:$N$44</c:f>
              <c:numCache>
                <c:formatCode>General</c:formatCode>
                <c:ptCount val="6"/>
                <c:pt idx="0">
                  <c:v>1648335</c:v>
                </c:pt>
                <c:pt idx="1">
                  <c:v>1576710</c:v>
                </c:pt>
                <c:pt idx="2">
                  <c:v>1564026</c:v>
                </c:pt>
                <c:pt idx="3">
                  <c:v>1488258</c:v>
                </c:pt>
                <c:pt idx="4">
                  <c:v>1444381</c:v>
                </c:pt>
                <c:pt idx="5">
                  <c:v>1421033</c:v>
                </c:pt>
              </c:numCache>
            </c:numRef>
          </c:val>
          <c:extLst>
            <c:ext xmlns:c16="http://schemas.microsoft.com/office/drawing/2014/chart" uri="{C3380CC4-5D6E-409C-BE32-E72D297353CC}">
              <c16:uniqueId val="{00000000-C100-49EE-B304-8624CB413A2F}"/>
            </c:ext>
          </c:extLst>
        </c:ser>
        <c:ser>
          <c:idx val="1"/>
          <c:order val="1"/>
          <c:tx>
            <c:strRef>
              <c:f>'Pivot &amp;Calculations'!$O$37</c:f>
              <c:strCache>
                <c:ptCount val="1"/>
                <c:pt idx="0">
                  <c:v>Sum of pending Revenue</c:v>
                </c:pt>
              </c:strCache>
            </c:strRef>
          </c:tx>
          <c:spPr>
            <a:solidFill>
              <a:schemeClr val="accent4">
                <a:lumMod val="75000"/>
              </a:schemeClr>
            </a:solidFill>
            <a:ln>
              <a:noFill/>
            </a:ln>
            <a:effectLst/>
          </c:spPr>
          <c:invertIfNegative val="0"/>
          <c:dLbls>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&amp;Calculations'!$M$38:$M$44</c:f>
              <c:strCache>
                <c:ptCount val="6"/>
                <c:pt idx="0">
                  <c:v>Abu Dhabi</c:v>
                </c:pt>
                <c:pt idx="1">
                  <c:v>Sharjah</c:v>
                </c:pt>
                <c:pt idx="2">
                  <c:v>Al Ain</c:v>
                </c:pt>
                <c:pt idx="3">
                  <c:v>Ras Al Khaimah</c:v>
                </c:pt>
                <c:pt idx="4">
                  <c:v>Dubai</c:v>
                </c:pt>
                <c:pt idx="5">
                  <c:v>Ajman</c:v>
                </c:pt>
              </c:strCache>
            </c:strRef>
          </c:cat>
          <c:val>
            <c:numRef>
              <c:f>'Pivot &amp;Calculations'!$O$38:$O$44</c:f>
              <c:numCache>
                <c:formatCode>General</c:formatCode>
                <c:ptCount val="6"/>
                <c:pt idx="0">
                  <c:v>879346</c:v>
                </c:pt>
                <c:pt idx="1">
                  <c:v>781842</c:v>
                </c:pt>
                <c:pt idx="2">
                  <c:v>850377</c:v>
                </c:pt>
                <c:pt idx="3">
                  <c:v>684396</c:v>
                </c:pt>
                <c:pt idx="4">
                  <c:v>764554</c:v>
                </c:pt>
                <c:pt idx="5">
                  <c:v>820195</c:v>
                </c:pt>
              </c:numCache>
            </c:numRef>
          </c:val>
          <c:extLst>
            <c:ext xmlns:c16="http://schemas.microsoft.com/office/drawing/2014/chart" uri="{C3380CC4-5D6E-409C-BE32-E72D297353CC}">
              <c16:uniqueId val="{00000001-C100-49EE-B304-8624CB413A2F}"/>
            </c:ext>
          </c:extLst>
        </c:ser>
        <c:dLbls>
          <c:dLblPos val="outEnd"/>
          <c:showLegendKey val="0"/>
          <c:showVal val="1"/>
          <c:showCatName val="0"/>
          <c:showSerName val="0"/>
          <c:showPercent val="0"/>
          <c:showBubbleSize val="0"/>
        </c:dLbls>
        <c:gapWidth val="219"/>
        <c:overlap val="-27"/>
        <c:axId val="954375072"/>
        <c:axId val="954382144"/>
      </c:barChart>
      <c:catAx>
        <c:axId val="95437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4382144"/>
        <c:crosses val="autoZero"/>
        <c:auto val="1"/>
        <c:lblAlgn val="ctr"/>
        <c:lblOffset val="100"/>
        <c:noMultiLvlLbl val="0"/>
      </c:catAx>
      <c:valAx>
        <c:axId val="954382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4375072"/>
        <c:crosses val="autoZero"/>
        <c:crossBetween val="between"/>
        <c:dispUnits>
          <c:builtInUnit val="millions"/>
          <c:dispUnitsLbl>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Student enrollment and Revenue Analysis.xlsx]Pivot &amp;Calculations!PivotTable7</c:name>
    <c:fmtId val="18"/>
  </c:pivotSource>
  <c:chart>
    <c:autoTitleDeleted val="1"/>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rgbClr val="00B050"/>
          </a:solidFill>
          <a:ln>
            <a:noFill/>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rgbClr val="00B050"/>
          </a:solidFill>
          <a:ln>
            <a:noFill/>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4">
              <a:lumMod val="60000"/>
              <a:lumOff val="40000"/>
            </a:schemeClr>
          </a:solidFill>
          <a:ln>
            <a:noFill/>
          </a:ln>
          <a:effectLst/>
        </c:spPr>
        <c:marker>
          <c:symbol val="none"/>
        </c:marker>
      </c:pivotFmt>
      <c:pivotFmt>
        <c:idx val="9"/>
        <c:spPr>
          <a:ln w="28575" cap="rnd">
            <a:solidFill>
              <a:schemeClr val="accent1"/>
            </a:solidFill>
            <a:round/>
          </a:ln>
          <a:effectLst/>
        </c:spPr>
        <c:marker>
          <c:symbol val="none"/>
        </c:marker>
      </c:pivotFmt>
    </c:pivotFmts>
    <c:plotArea>
      <c:layout>
        <c:manualLayout>
          <c:layoutTarget val="inner"/>
          <c:xMode val="edge"/>
          <c:yMode val="edge"/>
          <c:x val="0.11554393875039479"/>
          <c:y val="3.2899943884944195E-2"/>
          <c:w val="0.79823522059742535"/>
          <c:h val="0.46795144164251734"/>
        </c:manualLayout>
      </c:layout>
      <c:barChart>
        <c:barDir val="col"/>
        <c:grouping val="clustered"/>
        <c:varyColors val="0"/>
        <c:ser>
          <c:idx val="0"/>
          <c:order val="0"/>
          <c:tx>
            <c:strRef>
              <c:f>'Pivot &amp;Calculations'!$N$3</c:f>
              <c:strCache>
                <c:ptCount val="1"/>
                <c:pt idx="0">
                  <c:v>Sum of Revenue</c:v>
                </c:pt>
              </c:strCache>
            </c:strRef>
          </c:tx>
          <c:spPr>
            <a:solidFill>
              <a:schemeClr val="accent4">
                <a:lumMod val="60000"/>
                <a:lumOff val="40000"/>
              </a:schemeClr>
            </a:solidFill>
            <a:ln>
              <a:noFill/>
            </a:ln>
            <a:effectLst/>
          </c:spPr>
          <c:invertIfNegative val="0"/>
          <c:cat>
            <c:strRef>
              <c:f>'Pivot &amp;Calculations'!$M$4:$M$18</c:f>
              <c:strCache>
                <c:ptCount val="14"/>
                <c:pt idx="0">
                  <c:v>AI Generalist</c:v>
                </c:pt>
                <c:pt idx="1">
                  <c:v>Corporate Administration (ATCA)</c:v>
                </c:pt>
                <c:pt idx="2">
                  <c:v>Cyber Security</c:v>
                </c:pt>
                <c:pt idx="3">
                  <c:v>Data Analytics</c:v>
                </c:pt>
                <c:pt idx="4">
                  <c:v>Digital Marketing</c:v>
                </c:pt>
                <c:pt idx="5">
                  <c:v>Financial Accounting</c:v>
                </c:pt>
                <c:pt idx="6">
                  <c:v>Logistics &amp; Supply Chain</c:v>
                </c:pt>
                <c:pt idx="7">
                  <c:v>Power BI &amp; Business Intelligence</c:v>
                </c:pt>
                <c:pt idx="8">
                  <c:v>Project Management</c:v>
                </c:pt>
                <c:pt idx="9">
                  <c:v>Python for Data Analysis</c:v>
                </c:pt>
                <c:pt idx="10">
                  <c:v>Quantity Surveying (QS)</c:v>
                </c:pt>
                <c:pt idx="11">
                  <c:v>SAP FICO</c:v>
                </c:pt>
                <c:pt idx="12">
                  <c:v>SAP MM</c:v>
                </c:pt>
                <c:pt idx="13">
                  <c:v>UAE VAT &amp; Taxation</c:v>
                </c:pt>
              </c:strCache>
            </c:strRef>
          </c:cat>
          <c:val>
            <c:numRef>
              <c:f>'Pivot &amp;Calculations'!$N$4:$N$18</c:f>
              <c:numCache>
                <c:formatCode>General</c:formatCode>
                <c:ptCount val="14"/>
                <c:pt idx="0">
                  <c:v>1028315</c:v>
                </c:pt>
                <c:pt idx="1">
                  <c:v>616867</c:v>
                </c:pt>
                <c:pt idx="2">
                  <c:v>1177143</c:v>
                </c:pt>
                <c:pt idx="3">
                  <c:v>630554</c:v>
                </c:pt>
                <c:pt idx="4">
                  <c:v>594293</c:v>
                </c:pt>
                <c:pt idx="5">
                  <c:v>555789</c:v>
                </c:pt>
                <c:pt idx="6">
                  <c:v>492344</c:v>
                </c:pt>
                <c:pt idx="7">
                  <c:v>360011</c:v>
                </c:pt>
                <c:pt idx="8">
                  <c:v>567794</c:v>
                </c:pt>
                <c:pt idx="9">
                  <c:v>513322</c:v>
                </c:pt>
                <c:pt idx="10">
                  <c:v>651504</c:v>
                </c:pt>
                <c:pt idx="11">
                  <c:v>778273</c:v>
                </c:pt>
                <c:pt idx="12">
                  <c:v>782798</c:v>
                </c:pt>
                <c:pt idx="13">
                  <c:v>393736</c:v>
                </c:pt>
              </c:numCache>
            </c:numRef>
          </c:val>
          <c:extLst>
            <c:ext xmlns:c16="http://schemas.microsoft.com/office/drawing/2014/chart" uri="{C3380CC4-5D6E-409C-BE32-E72D297353CC}">
              <c16:uniqueId val="{00000000-28DA-4E6A-81FA-752EC15A94A9}"/>
            </c:ext>
          </c:extLst>
        </c:ser>
        <c:dLbls>
          <c:showLegendKey val="0"/>
          <c:showVal val="0"/>
          <c:showCatName val="0"/>
          <c:showSerName val="0"/>
          <c:showPercent val="0"/>
          <c:showBubbleSize val="0"/>
        </c:dLbls>
        <c:gapWidth val="150"/>
        <c:axId val="839793200"/>
        <c:axId val="839796528"/>
      </c:barChart>
      <c:lineChart>
        <c:grouping val="standard"/>
        <c:varyColors val="0"/>
        <c:ser>
          <c:idx val="1"/>
          <c:order val="1"/>
          <c:tx>
            <c:strRef>
              <c:f>'Pivot &amp;Calculations'!$O$3</c:f>
              <c:strCache>
                <c:ptCount val="1"/>
                <c:pt idx="0">
                  <c:v>Sum of pending Revenue</c:v>
                </c:pt>
              </c:strCache>
            </c:strRef>
          </c:tx>
          <c:spPr>
            <a:ln w="28575" cap="rnd">
              <a:solidFill>
                <a:schemeClr val="accent2"/>
              </a:solidFill>
              <a:round/>
            </a:ln>
            <a:effectLst/>
          </c:spPr>
          <c:marker>
            <c:symbol val="none"/>
          </c:marker>
          <c:cat>
            <c:strRef>
              <c:f>'Pivot &amp;Calculations'!$M$4:$M$18</c:f>
              <c:strCache>
                <c:ptCount val="14"/>
                <c:pt idx="0">
                  <c:v>AI Generalist</c:v>
                </c:pt>
                <c:pt idx="1">
                  <c:v>Corporate Administration (ATCA)</c:v>
                </c:pt>
                <c:pt idx="2">
                  <c:v>Cyber Security</c:v>
                </c:pt>
                <c:pt idx="3">
                  <c:v>Data Analytics</c:v>
                </c:pt>
                <c:pt idx="4">
                  <c:v>Digital Marketing</c:v>
                </c:pt>
                <c:pt idx="5">
                  <c:v>Financial Accounting</c:v>
                </c:pt>
                <c:pt idx="6">
                  <c:v>Logistics &amp; Supply Chain</c:v>
                </c:pt>
                <c:pt idx="7">
                  <c:v>Power BI &amp; Business Intelligence</c:v>
                </c:pt>
                <c:pt idx="8">
                  <c:v>Project Management</c:v>
                </c:pt>
                <c:pt idx="9">
                  <c:v>Python for Data Analysis</c:v>
                </c:pt>
                <c:pt idx="10">
                  <c:v>Quantity Surveying (QS)</c:v>
                </c:pt>
                <c:pt idx="11">
                  <c:v>SAP FICO</c:v>
                </c:pt>
                <c:pt idx="12">
                  <c:v>SAP MM</c:v>
                </c:pt>
                <c:pt idx="13">
                  <c:v>UAE VAT &amp; Taxation</c:v>
                </c:pt>
              </c:strCache>
            </c:strRef>
          </c:cat>
          <c:val>
            <c:numRef>
              <c:f>'Pivot &amp;Calculations'!$O$4:$O$18</c:f>
              <c:numCache>
                <c:formatCode>General</c:formatCode>
                <c:ptCount val="14"/>
                <c:pt idx="0">
                  <c:v>474269</c:v>
                </c:pt>
                <c:pt idx="1">
                  <c:v>296972</c:v>
                </c:pt>
                <c:pt idx="2">
                  <c:v>665896</c:v>
                </c:pt>
                <c:pt idx="3">
                  <c:v>365153</c:v>
                </c:pt>
                <c:pt idx="4">
                  <c:v>307166</c:v>
                </c:pt>
                <c:pt idx="5">
                  <c:v>275432</c:v>
                </c:pt>
                <c:pt idx="6">
                  <c:v>272335</c:v>
                </c:pt>
                <c:pt idx="7">
                  <c:v>202335</c:v>
                </c:pt>
                <c:pt idx="8">
                  <c:v>269384</c:v>
                </c:pt>
                <c:pt idx="9">
                  <c:v>226920</c:v>
                </c:pt>
                <c:pt idx="10">
                  <c:v>316648</c:v>
                </c:pt>
                <c:pt idx="11">
                  <c:v>453766</c:v>
                </c:pt>
                <c:pt idx="12">
                  <c:v>460279</c:v>
                </c:pt>
                <c:pt idx="13">
                  <c:v>194155</c:v>
                </c:pt>
              </c:numCache>
            </c:numRef>
          </c:val>
          <c:smooth val="0"/>
          <c:extLst>
            <c:ext xmlns:c16="http://schemas.microsoft.com/office/drawing/2014/chart" uri="{C3380CC4-5D6E-409C-BE32-E72D297353CC}">
              <c16:uniqueId val="{00000001-28DA-4E6A-81FA-752EC15A94A9}"/>
            </c:ext>
          </c:extLst>
        </c:ser>
        <c:dLbls>
          <c:showLegendKey val="0"/>
          <c:showVal val="0"/>
          <c:showCatName val="0"/>
          <c:showSerName val="0"/>
          <c:showPercent val="0"/>
          <c:showBubbleSize val="0"/>
        </c:dLbls>
        <c:marker val="1"/>
        <c:smooth val="0"/>
        <c:axId val="839798192"/>
        <c:axId val="839796944"/>
      </c:lineChart>
      <c:catAx>
        <c:axId val="83979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39796528"/>
        <c:crosses val="autoZero"/>
        <c:auto val="1"/>
        <c:lblAlgn val="ctr"/>
        <c:lblOffset val="100"/>
        <c:noMultiLvlLbl val="0"/>
      </c:catAx>
      <c:valAx>
        <c:axId val="839796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39793200"/>
        <c:crosses val="autoZero"/>
        <c:crossBetween val="between"/>
        <c:dispUnits>
          <c:builtInUnit val="millions"/>
          <c:dispUnitsLbl>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83979694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39798192"/>
        <c:crosses val="max"/>
        <c:crossBetween val="between"/>
        <c:dispUnits>
          <c:builtInUnit val="millions"/>
          <c:dispUnitsLbl>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839798192"/>
        <c:scaling>
          <c:orientation val="minMax"/>
        </c:scaling>
        <c:delete val="1"/>
        <c:axPos val="b"/>
        <c:numFmt formatCode="General" sourceLinked="1"/>
        <c:majorTickMark val="none"/>
        <c:minorTickMark val="none"/>
        <c:tickLblPos val="nextTo"/>
        <c:crossAx val="839796944"/>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Student enrollment and Revenue Analysis.xlsx]Pivot &amp;Calculations!PivotTable8</c:name>
    <c:fmtId val="7"/>
  </c:pivotSource>
  <c:chart>
    <c:autoTitleDeleted val="1"/>
    <c:pivotFmts>
      <c:pivotFmt>
        <c:idx val="0"/>
        <c:spPr>
          <a:solidFill>
            <a:schemeClr val="accent1"/>
          </a:solidFill>
          <a:ln w="28575" cap="rnd">
            <a:solidFill>
              <a:srgbClr val="00B050"/>
            </a:solidFill>
            <a:round/>
          </a:ln>
          <a:effectLst/>
        </c:spPr>
        <c:marker>
          <c:symbol val="circle"/>
          <c:size val="5"/>
          <c:spPr>
            <a:solidFill>
              <a:srgbClr val="C00000"/>
            </a:solidFill>
            <a:ln w="9525">
              <a:solidFill>
                <a:srgbClr val="00B050"/>
              </a:solidFill>
            </a:ln>
            <a:effectLst/>
          </c:spPr>
        </c:marker>
      </c:pivotFmt>
      <c:pivotFmt>
        <c:idx val="1"/>
        <c:spPr>
          <a:solidFill>
            <a:schemeClr val="accent1"/>
          </a:solidFill>
          <a:ln w="28575" cap="rnd">
            <a:solidFill>
              <a:srgbClr val="00B050"/>
            </a:solidFill>
            <a:round/>
          </a:ln>
          <a:effectLst/>
        </c:spPr>
        <c:marker>
          <c:symbol val="circle"/>
          <c:size val="5"/>
          <c:spPr>
            <a:solidFill>
              <a:srgbClr val="C00000"/>
            </a:solidFill>
            <a:ln w="9525">
              <a:solidFill>
                <a:srgbClr val="00B050"/>
              </a:solidFill>
            </a:ln>
            <a:effectLst/>
          </c:spPr>
        </c:marker>
      </c:pivotFmt>
      <c:pivotFmt>
        <c:idx val="2"/>
        <c:spPr>
          <a:solidFill>
            <a:schemeClr val="accent1"/>
          </a:solidFill>
          <a:ln w="28575" cap="rnd">
            <a:solidFill>
              <a:srgbClr val="00B050"/>
            </a:solidFill>
            <a:round/>
          </a:ln>
          <a:effectLst/>
        </c:spPr>
        <c:marker>
          <c:symbol val="circle"/>
          <c:size val="5"/>
          <c:spPr>
            <a:solidFill>
              <a:srgbClr val="C00000"/>
            </a:solidFill>
            <a:ln w="9525">
              <a:solidFill>
                <a:srgbClr val="00B050"/>
              </a:solidFill>
            </a:ln>
            <a:effectLst/>
          </c:spPr>
        </c:marker>
      </c:pivotFmt>
      <c:pivotFmt>
        <c:idx val="3"/>
        <c:spPr>
          <a:solidFill>
            <a:schemeClr val="accent1"/>
          </a:solidFill>
          <a:ln w="28575" cap="rnd">
            <a:solidFill>
              <a:srgbClr val="00B050"/>
            </a:solidFill>
            <a:round/>
          </a:ln>
          <a:effectLst/>
        </c:spPr>
        <c:marker>
          <c:symbol val="circle"/>
          <c:size val="5"/>
          <c:spPr>
            <a:solidFill>
              <a:srgbClr val="C00000"/>
            </a:solidFill>
            <a:ln w="9525">
              <a:solidFill>
                <a:srgbClr val="00B050"/>
              </a:solidFill>
            </a:ln>
            <a:effectLst/>
          </c:spPr>
        </c:marker>
      </c:pivotFmt>
      <c:pivotFmt>
        <c:idx val="4"/>
        <c:spPr>
          <a:ln w="28575" cap="rnd">
            <a:solidFill>
              <a:schemeClr val="accent4">
                <a:lumMod val="75000"/>
              </a:schemeClr>
            </a:solidFill>
            <a:round/>
          </a:ln>
          <a:effectLst/>
        </c:spPr>
        <c:marker>
          <c:symbol val="circle"/>
          <c:size val="5"/>
          <c:spPr>
            <a:solidFill>
              <a:srgbClr val="C00000"/>
            </a:solidFill>
            <a:ln w="9525">
              <a:solidFill>
                <a:schemeClr val="accent4">
                  <a:lumMod val="75000"/>
                </a:schemeClr>
              </a:solidFill>
            </a:ln>
            <a:effectLst/>
          </c:spPr>
        </c:marker>
        <c:dLbl>
          <c:idx val="0"/>
          <c:layout/>
          <c:numFmt formatCode="#,##0.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chemeClr val="accent4">
                <a:lumMod val="75000"/>
              </a:schemeClr>
            </a:solidFill>
            <a:round/>
          </a:ln>
          <a:effectLst/>
        </c:spPr>
        <c:marker>
          <c:symbol val="circle"/>
          <c:size val="5"/>
          <c:spPr>
            <a:solidFill>
              <a:srgbClr val="C00000"/>
            </a:solidFill>
            <a:ln w="9525">
              <a:solidFill>
                <a:schemeClr val="accent4">
                  <a:lumMod val="75000"/>
                </a:schemeClr>
              </a:solidFill>
            </a:ln>
            <a:effectLst/>
          </c:spPr>
        </c:marker>
        <c:dLbl>
          <c:idx val="0"/>
          <c:layout>
            <c:manualLayout>
              <c:x val="-5.8084068745255457E-2"/>
              <c:y val="5.3880712903993114E-2"/>
            </c:manualLayout>
          </c:layout>
          <c:numFmt formatCode="#,##0.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ln w="28575" cap="rnd">
            <a:solidFill>
              <a:schemeClr val="accent4">
                <a:lumMod val="75000"/>
              </a:schemeClr>
            </a:solidFill>
            <a:round/>
          </a:ln>
          <a:effectLst/>
        </c:spPr>
        <c:marker>
          <c:symbol val="circle"/>
          <c:size val="5"/>
          <c:spPr>
            <a:solidFill>
              <a:srgbClr val="C00000"/>
            </a:solidFill>
            <a:ln w="9525">
              <a:solidFill>
                <a:schemeClr val="accent4">
                  <a:lumMod val="75000"/>
                </a:schemeClr>
              </a:solidFill>
            </a:ln>
            <a:effectLst/>
          </c:spPr>
        </c:marker>
      </c:pivotFmt>
      <c:pivotFmt>
        <c:idx val="7"/>
        <c:spPr>
          <a:ln w="28575" cap="rnd">
            <a:solidFill>
              <a:schemeClr val="accent4">
                <a:lumMod val="75000"/>
              </a:schemeClr>
            </a:solidFill>
            <a:round/>
          </a:ln>
          <a:effectLst/>
        </c:spPr>
        <c:marker>
          <c:symbol val="circle"/>
          <c:size val="5"/>
          <c:spPr>
            <a:solidFill>
              <a:srgbClr val="C00000"/>
            </a:solidFill>
            <a:ln w="9525">
              <a:solidFill>
                <a:schemeClr val="accent4">
                  <a:lumMod val="75000"/>
                </a:schemeClr>
              </a:solidFill>
            </a:ln>
            <a:effectLst/>
          </c:spPr>
        </c:marker>
        <c:dLbl>
          <c:idx val="0"/>
          <c:layout>
            <c:manualLayout>
              <c:x val="-5.8084068745255457E-2"/>
              <c:y val="6.8961008827029796E-2"/>
            </c:manualLayout>
          </c:layout>
          <c:numFmt formatCode="#,##0.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ln w="28575" cap="rnd">
            <a:solidFill>
              <a:schemeClr val="accent4">
                <a:lumMod val="75000"/>
              </a:schemeClr>
            </a:solidFill>
            <a:round/>
          </a:ln>
          <a:effectLst/>
        </c:spPr>
        <c:marker>
          <c:symbol val="circle"/>
          <c:size val="5"/>
          <c:spPr>
            <a:solidFill>
              <a:srgbClr val="C00000"/>
            </a:solidFill>
            <a:ln w="9525">
              <a:solidFill>
                <a:schemeClr val="accent4">
                  <a:lumMod val="75000"/>
                </a:schemeClr>
              </a:solidFill>
            </a:ln>
            <a:effectLst/>
          </c:spPr>
        </c:marker>
      </c:pivotFmt>
      <c:pivotFmt>
        <c:idx val="9"/>
        <c:spPr>
          <a:ln w="28575" cap="rnd">
            <a:solidFill>
              <a:schemeClr val="accent4">
                <a:lumMod val="75000"/>
              </a:schemeClr>
            </a:solidFill>
            <a:round/>
          </a:ln>
          <a:effectLst/>
        </c:spPr>
        <c:marker>
          <c:symbol val="circle"/>
          <c:size val="5"/>
          <c:spPr>
            <a:solidFill>
              <a:srgbClr val="C00000"/>
            </a:solidFill>
            <a:ln w="9525">
              <a:solidFill>
                <a:schemeClr val="accent4">
                  <a:lumMod val="75000"/>
                </a:schemeClr>
              </a:solidFill>
            </a:ln>
            <a:effectLst/>
          </c:spPr>
        </c:marker>
      </c:pivotFmt>
      <c:pivotFmt>
        <c:idx val="10"/>
        <c:spPr>
          <a:ln w="28575" cap="rnd">
            <a:solidFill>
              <a:schemeClr val="accent4">
                <a:lumMod val="75000"/>
              </a:schemeClr>
            </a:solidFill>
            <a:round/>
          </a:ln>
          <a:effectLst/>
        </c:spPr>
        <c:marker>
          <c:symbol val="circle"/>
          <c:size val="5"/>
          <c:spPr>
            <a:solidFill>
              <a:srgbClr val="C00000"/>
            </a:solidFill>
            <a:ln w="9525">
              <a:solidFill>
                <a:schemeClr val="accent4">
                  <a:lumMod val="75000"/>
                </a:schemeClr>
              </a:solidFill>
            </a:ln>
            <a:effectLst/>
          </c:spPr>
        </c:marker>
      </c:pivotFmt>
      <c:pivotFmt>
        <c:idx val="11"/>
        <c:spPr>
          <a:ln w="28575" cap="rnd">
            <a:solidFill>
              <a:schemeClr val="accent4">
                <a:lumMod val="75000"/>
              </a:schemeClr>
            </a:solidFill>
            <a:round/>
          </a:ln>
          <a:effectLst/>
        </c:spPr>
        <c:marker>
          <c:symbol val="circle"/>
          <c:size val="5"/>
          <c:spPr>
            <a:solidFill>
              <a:srgbClr val="C00000"/>
            </a:solidFill>
            <a:ln w="9525">
              <a:solidFill>
                <a:schemeClr val="accent4">
                  <a:lumMod val="75000"/>
                </a:schemeClr>
              </a:solidFill>
            </a:ln>
            <a:effectLst/>
          </c:spPr>
        </c:marker>
      </c:pivotFmt>
      <c:pivotFmt>
        <c:idx val="12"/>
        <c:spPr>
          <a:ln w="28575" cap="rnd">
            <a:solidFill>
              <a:schemeClr val="accent4">
                <a:lumMod val="75000"/>
              </a:schemeClr>
            </a:solidFill>
            <a:round/>
          </a:ln>
          <a:effectLst/>
        </c:spPr>
        <c:marker>
          <c:symbol val="circle"/>
          <c:size val="5"/>
          <c:spPr>
            <a:solidFill>
              <a:srgbClr val="C00000"/>
            </a:solidFill>
            <a:ln w="9525">
              <a:solidFill>
                <a:schemeClr val="accent4">
                  <a:lumMod val="75000"/>
                </a:schemeClr>
              </a:solidFill>
            </a:ln>
            <a:effectLst/>
          </c:spPr>
        </c:marker>
      </c:pivotFmt>
      <c:pivotFmt>
        <c:idx val="13"/>
        <c:spPr>
          <a:ln w="28575" cap="rnd">
            <a:solidFill>
              <a:schemeClr val="accent4">
                <a:lumMod val="75000"/>
              </a:schemeClr>
            </a:solidFill>
            <a:round/>
          </a:ln>
          <a:effectLst/>
        </c:spPr>
        <c:marker>
          <c:symbol val="circle"/>
          <c:size val="5"/>
          <c:spPr>
            <a:solidFill>
              <a:srgbClr val="C00000"/>
            </a:solidFill>
            <a:ln w="9525">
              <a:solidFill>
                <a:schemeClr val="accent4">
                  <a:lumMod val="75000"/>
                </a:schemeClr>
              </a:solidFill>
            </a:ln>
            <a:effectLst/>
          </c:spPr>
        </c:marker>
      </c:pivotFmt>
      <c:pivotFmt>
        <c:idx val="14"/>
        <c:spPr>
          <a:ln w="28575" cap="rnd">
            <a:solidFill>
              <a:schemeClr val="accent4">
                <a:lumMod val="75000"/>
              </a:schemeClr>
            </a:solidFill>
            <a:round/>
          </a:ln>
          <a:effectLst/>
        </c:spPr>
        <c:marker>
          <c:symbol val="circle"/>
          <c:size val="5"/>
          <c:spPr>
            <a:solidFill>
              <a:srgbClr val="C00000"/>
            </a:solidFill>
            <a:ln w="9525">
              <a:solidFill>
                <a:schemeClr val="accent4">
                  <a:lumMod val="75000"/>
                </a:schemeClr>
              </a:solidFill>
            </a:ln>
            <a:effectLst/>
          </c:spPr>
        </c:marker>
      </c:pivotFmt>
      <c:pivotFmt>
        <c:idx val="15"/>
        <c:spPr>
          <a:ln w="28575" cap="rnd">
            <a:solidFill>
              <a:schemeClr val="accent4">
                <a:lumMod val="75000"/>
              </a:schemeClr>
            </a:solidFill>
            <a:round/>
          </a:ln>
          <a:effectLst/>
        </c:spPr>
        <c:marker>
          <c:symbol val="circle"/>
          <c:size val="5"/>
          <c:spPr>
            <a:solidFill>
              <a:srgbClr val="C00000"/>
            </a:solidFill>
            <a:ln w="9525">
              <a:solidFill>
                <a:schemeClr val="accent4">
                  <a:lumMod val="75000"/>
                </a:schemeClr>
              </a:solidFill>
            </a:ln>
            <a:effectLst/>
          </c:spPr>
        </c:marker>
      </c:pivotFmt>
      <c:pivotFmt>
        <c:idx val="16"/>
        <c:spPr>
          <a:ln w="28575" cap="rnd">
            <a:solidFill>
              <a:schemeClr val="accent4">
                <a:lumMod val="75000"/>
              </a:schemeClr>
            </a:solidFill>
            <a:round/>
          </a:ln>
          <a:effectLst/>
        </c:spPr>
        <c:marker>
          <c:symbol val="circle"/>
          <c:size val="5"/>
          <c:spPr>
            <a:solidFill>
              <a:srgbClr val="C00000"/>
            </a:solidFill>
            <a:ln w="9525">
              <a:solidFill>
                <a:schemeClr val="accent4">
                  <a:lumMod val="75000"/>
                </a:schemeClr>
              </a:solidFill>
            </a:ln>
            <a:effectLst/>
          </c:spPr>
        </c:marker>
      </c:pivotFmt>
    </c:pivotFmts>
    <c:plotArea>
      <c:layout>
        <c:manualLayout>
          <c:layoutTarget val="inner"/>
          <c:xMode val="edge"/>
          <c:yMode val="edge"/>
          <c:x val="0.11164943698993571"/>
          <c:y val="0.15630134847195007"/>
          <c:w val="0.8515080407777923"/>
          <c:h val="0.67947924904670032"/>
        </c:manualLayout>
      </c:layout>
      <c:lineChart>
        <c:grouping val="standard"/>
        <c:varyColors val="0"/>
        <c:ser>
          <c:idx val="0"/>
          <c:order val="0"/>
          <c:tx>
            <c:strRef>
              <c:f>'Pivot &amp;Calculations'!$N$21</c:f>
              <c:strCache>
                <c:ptCount val="1"/>
                <c:pt idx="0">
                  <c:v>Total</c:v>
                </c:pt>
              </c:strCache>
            </c:strRef>
          </c:tx>
          <c:spPr>
            <a:ln w="28575" cap="rnd">
              <a:solidFill>
                <a:schemeClr val="accent4">
                  <a:lumMod val="75000"/>
                </a:schemeClr>
              </a:solidFill>
              <a:round/>
            </a:ln>
            <a:effectLst/>
          </c:spPr>
          <c:marker>
            <c:symbol val="circle"/>
            <c:size val="5"/>
            <c:spPr>
              <a:solidFill>
                <a:srgbClr val="C00000"/>
              </a:solidFill>
              <a:ln w="9525">
                <a:solidFill>
                  <a:schemeClr val="accent4">
                    <a:lumMod val="75000"/>
                  </a:schemeClr>
                </a:solidFill>
              </a:ln>
              <a:effectLst/>
            </c:spPr>
          </c:marker>
          <c:dPt>
            <c:idx val="7"/>
            <c:marker>
              <c:symbol val="circle"/>
              <c:size val="5"/>
              <c:spPr>
                <a:solidFill>
                  <a:srgbClr val="C00000"/>
                </a:solidFill>
                <a:ln w="9525">
                  <a:solidFill>
                    <a:schemeClr val="accent4">
                      <a:lumMod val="75000"/>
                    </a:schemeClr>
                  </a:solidFill>
                </a:ln>
                <a:effectLst/>
              </c:spPr>
            </c:marker>
            <c:bubble3D val="0"/>
            <c:spPr>
              <a:ln w="28575" cap="rnd">
                <a:solidFill>
                  <a:schemeClr val="accent4">
                    <a:lumMod val="75000"/>
                  </a:schemeClr>
                </a:solidFill>
                <a:round/>
              </a:ln>
              <a:effectLst/>
            </c:spPr>
            <c:extLst>
              <c:ext xmlns:c16="http://schemas.microsoft.com/office/drawing/2014/chart" uri="{C3380CC4-5D6E-409C-BE32-E72D297353CC}">
                <c16:uniqueId val="{00000001-FBA8-40B0-B7F9-45D962C13064}"/>
              </c:ext>
            </c:extLst>
          </c:dPt>
          <c:dPt>
            <c:idx val="8"/>
            <c:marker>
              <c:symbol val="circle"/>
              <c:size val="5"/>
              <c:spPr>
                <a:solidFill>
                  <a:srgbClr val="C00000"/>
                </a:solidFill>
                <a:ln w="9525">
                  <a:solidFill>
                    <a:schemeClr val="accent4">
                      <a:lumMod val="75000"/>
                    </a:schemeClr>
                  </a:solidFill>
                </a:ln>
                <a:effectLst/>
              </c:spPr>
            </c:marker>
            <c:bubble3D val="0"/>
            <c:spPr>
              <a:ln w="28575" cap="rnd">
                <a:solidFill>
                  <a:schemeClr val="accent4">
                    <a:lumMod val="75000"/>
                  </a:schemeClr>
                </a:solidFill>
                <a:round/>
              </a:ln>
              <a:effectLst/>
            </c:spPr>
            <c:extLst>
              <c:ext xmlns:c16="http://schemas.microsoft.com/office/drawing/2014/chart" uri="{C3380CC4-5D6E-409C-BE32-E72D297353CC}">
                <c16:uniqueId val="{00000000-FBA8-40B0-B7F9-45D962C13064}"/>
              </c:ext>
            </c:extLst>
          </c:dPt>
          <c:dLbls>
            <c:dLbl>
              <c:idx val="7"/>
              <c:layout>
                <c:manualLayout>
                  <c:x val="-5.8084068745255457E-2"/>
                  <c:y val="5.3880712903993114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FBA8-40B0-B7F9-45D962C13064}"/>
                </c:ext>
              </c:extLst>
            </c:dLbl>
            <c:dLbl>
              <c:idx val="8"/>
              <c:layout>
                <c:manualLayout>
                  <c:x val="-5.8084068745255457E-2"/>
                  <c:y val="6.8961008827029796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FBA8-40B0-B7F9-45D962C13064}"/>
                </c:ext>
              </c:extLst>
            </c:dLbl>
            <c:numFmt formatCode="#,##0.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&amp;Calculations'!$M$22:$M$34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&amp;Calculations'!$N$22:$N$34</c:f>
              <c:numCache>
                <c:formatCode>General</c:formatCode>
                <c:ptCount val="12"/>
                <c:pt idx="0">
                  <c:v>785223</c:v>
                </c:pt>
                <c:pt idx="1">
                  <c:v>787157</c:v>
                </c:pt>
                <c:pt idx="2">
                  <c:v>668857</c:v>
                </c:pt>
                <c:pt idx="3">
                  <c:v>703982</c:v>
                </c:pt>
                <c:pt idx="4">
                  <c:v>718073</c:v>
                </c:pt>
                <c:pt idx="5">
                  <c:v>673453</c:v>
                </c:pt>
                <c:pt idx="6">
                  <c:v>769688</c:v>
                </c:pt>
                <c:pt idx="7">
                  <c:v>827722</c:v>
                </c:pt>
                <c:pt idx="8">
                  <c:v>831971</c:v>
                </c:pt>
                <c:pt idx="9">
                  <c:v>778108</c:v>
                </c:pt>
                <c:pt idx="10">
                  <c:v>804913</c:v>
                </c:pt>
                <c:pt idx="11">
                  <c:v>793596</c:v>
                </c:pt>
              </c:numCache>
            </c:numRef>
          </c:val>
          <c:smooth val="0"/>
          <c:extLst>
            <c:ext xmlns:c16="http://schemas.microsoft.com/office/drawing/2014/chart" uri="{C3380CC4-5D6E-409C-BE32-E72D297353CC}">
              <c16:uniqueId val="{00000000-FFD9-41DB-85D0-D8689D464A4A}"/>
            </c:ext>
          </c:extLst>
        </c:ser>
        <c:dLbls>
          <c:dLblPos val="t"/>
          <c:showLegendKey val="0"/>
          <c:showVal val="1"/>
          <c:showCatName val="0"/>
          <c:showSerName val="0"/>
          <c:showPercent val="0"/>
          <c:showBubbleSize val="0"/>
        </c:dLbls>
        <c:marker val="1"/>
        <c:smooth val="0"/>
        <c:axId val="954366752"/>
        <c:axId val="954367168"/>
      </c:lineChart>
      <c:catAx>
        <c:axId val="95436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4367168"/>
        <c:crosses val="autoZero"/>
        <c:auto val="1"/>
        <c:lblAlgn val="ctr"/>
        <c:lblOffset val="100"/>
        <c:noMultiLvlLbl val="0"/>
      </c:catAx>
      <c:valAx>
        <c:axId val="954367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4366752"/>
        <c:crosses val="autoZero"/>
        <c:crossBetween val="between"/>
        <c:dispUnits>
          <c:builtInUnit val="millions"/>
          <c:dispUnitsLbl>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Student enrollment and Revenue Analysis.xlsx]Pivot &amp;Calculations!PivotTable10</c:name>
    <c:fmtId val="12"/>
  </c:pivotSource>
  <c:chart>
    <c:autoTitleDeleted val="1"/>
    <c:pivotFmts>
      <c:pivotFmt>
        <c:idx val="0"/>
        <c:spPr>
          <a:solidFill>
            <a:schemeClr val="accent1"/>
          </a:solidFill>
          <a:ln w="19050">
            <a:solidFill>
              <a:schemeClr val="lt1"/>
            </a:solidFill>
          </a:ln>
          <a:effectLst/>
        </c:spPr>
        <c:marker>
          <c:symbol val="none"/>
        </c:marker>
      </c:pivotFmt>
      <c:pivotFmt>
        <c:idx val="1"/>
        <c:spPr>
          <a:solidFill>
            <a:srgbClr val="00B050"/>
          </a:solidFill>
          <a:ln w="19050">
            <a:solidFill>
              <a:schemeClr val="lt1"/>
            </a:solidFill>
          </a:ln>
          <a:effectLst/>
        </c:spPr>
      </c:pivotFmt>
      <c:pivotFmt>
        <c:idx val="2"/>
        <c:spPr>
          <a:solidFill>
            <a:srgbClr val="FF0000"/>
          </a:soli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rgbClr val="00B050"/>
          </a:solidFill>
          <a:ln w="19050">
            <a:solidFill>
              <a:schemeClr val="lt1"/>
            </a:solidFill>
          </a:ln>
          <a:effectLst/>
        </c:spPr>
      </c:pivotFmt>
      <c:pivotFmt>
        <c:idx val="5"/>
        <c:spPr>
          <a:solidFill>
            <a:srgbClr val="FF0000"/>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rgbClr val="00B050"/>
          </a:solidFill>
          <a:ln w="19050">
            <a:solidFill>
              <a:schemeClr val="lt1"/>
            </a:solidFill>
          </a:ln>
          <a:effectLst/>
        </c:spPr>
      </c:pivotFmt>
      <c:pivotFmt>
        <c:idx val="8"/>
        <c:spPr>
          <a:solidFill>
            <a:srgbClr val="FF0000"/>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rgbClr val="00B050"/>
          </a:solidFill>
          <a:ln w="19050">
            <a:solidFill>
              <a:schemeClr val="lt1"/>
            </a:solidFill>
          </a:ln>
          <a:effectLst/>
        </c:spPr>
      </c:pivotFmt>
      <c:pivotFmt>
        <c:idx val="11"/>
        <c:spPr>
          <a:solidFill>
            <a:srgbClr val="FF0000"/>
          </a:solidFill>
          <a:ln w="19050">
            <a:solidFill>
              <a:schemeClr val="lt1"/>
            </a:solidFill>
          </a:ln>
          <a:effectLst/>
        </c:spPr>
      </c:pivotFmt>
      <c:pivotFmt>
        <c:idx val="12"/>
        <c:spPr>
          <a:solidFill>
            <a:srgbClr val="FF0000"/>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3"/>
        <c:spPr>
          <a:solidFill>
            <a:schemeClr val="accent4">
              <a:lumMod val="60000"/>
              <a:lumOff val="40000"/>
            </a:schemeClr>
          </a:solidFill>
          <a:ln w="19050">
            <a:solidFill>
              <a:schemeClr val="lt1"/>
            </a:solidFill>
          </a:ln>
          <a:effectLst/>
        </c:spPr>
      </c:pivotFmt>
      <c:pivotFmt>
        <c:idx val="14"/>
        <c:spPr>
          <a:solidFill>
            <a:schemeClr val="accent4">
              <a:lumMod val="75000"/>
            </a:schemeClr>
          </a:solidFill>
          <a:ln w="19050">
            <a:solidFill>
              <a:schemeClr val="lt1"/>
            </a:solidFill>
          </a:ln>
          <a:effectLst/>
        </c:spPr>
      </c:pivotFmt>
    </c:pivotFmts>
    <c:plotArea>
      <c:layout>
        <c:manualLayout>
          <c:layoutTarget val="inner"/>
          <c:xMode val="edge"/>
          <c:yMode val="edge"/>
          <c:x val="0.3781201078239908"/>
          <c:y val="0.41451692927264838"/>
          <c:w val="0.50420758304783453"/>
          <c:h val="0.49434841726645951"/>
        </c:manualLayout>
      </c:layout>
      <c:doughnutChart>
        <c:varyColors val="1"/>
        <c:ser>
          <c:idx val="0"/>
          <c:order val="0"/>
          <c:tx>
            <c:strRef>
              <c:f>'Pivot &amp;Calculations'!$R$3</c:f>
              <c:strCache>
                <c:ptCount val="1"/>
                <c:pt idx="0">
                  <c:v>Total</c:v>
                </c:pt>
              </c:strCache>
            </c:strRef>
          </c:tx>
          <c:spPr>
            <a:solidFill>
              <a:srgbClr val="FF0000"/>
            </a:solidFill>
          </c:spPr>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D439-463B-808C-9E8C8BC73629}"/>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D439-463B-808C-9E8C8BC7362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&amp;Calculations'!$Q$4:$Q$6</c:f>
              <c:strCache>
                <c:ptCount val="2"/>
                <c:pt idx="0">
                  <c:v>Cleared</c:v>
                </c:pt>
                <c:pt idx="1">
                  <c:v>Ongoing</c:v>
                </c:pt>
              </c:strCache>
            </c:strRef>
          </c:cat>
          <c:val>
            <c:numRef>
              <c:f>'Pivot &amp;Calculations'!$R$4:$R$6</c:f>
              <c:numCache>
                <c:formatCode>General</c:formatCode>
                <c:ptCount val="2"/>
                <c:pt idx="0">
                  <c:v>214</c:v>
                </c:pt>
                <c:pt idx="1">
                  <c:v>1786</c:v>
                </c:pt>
              </c:numCache>
            </c:numRef>
          </c:val>
          <c:extLst>
            <c:ext xmlns:c16="http://schemas.microsoft.com/office/drawing/2014/chart" uri="{C3380CC4-5D6E-409C-BE32-E72D297353CC}">
              <c16:uniqueId val="{00000004-D439-463B-808C-9E8C8BC73629}"/>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3.jpeg"/><Relationship Id="rId3" Type="http://schemas.openxmlformats.org/officeDocument/2006/relationships/chart" Target="../charts/chart14.xml"/><Relationship Id="rId7" Type="http://schemas.openxmlformats.org/officeDocument/2006/relationships/image" Target="../media/image2.jpeg"/><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hyperlink" Target="#'REVENUE ANALYSIS'!A1"/><Relationship Id="rId10" Type="http://schemas.openxmlformats.org/officeDocument/2006/relationships/image" Target="../media/image5.jpeg"/><Relationship Id="rId4" Type="http://schemas.openxmlformats.org/officeDocument/2006/relationships/chart" Target="../charts/chart15.xml"/><Relationship Id="rId9" Type="http://schemas.openxmlformats.org/officeDocument/2006/relationships/image" Target="../media/image4.png"/></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chart" Target="../charts/chart18.xml"/><Relationship Id="rId7" Type="http://schemas.openxmlformats.org/officeDocument/2006/relationships/image" Target="../media/image8.png"/><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image" Target="../media/image7.jpeg"/><Relationship Id="rId5" Type="http://schemas.openxmlformats.org/officeDocument/2006/relationships/hyperlink" Target="#DASHBOARD1!A1"/><Relationship Id="rId10" Type="http://schemas.openxmlformats.org/officeDocument/2006/relationships/image" Target="../media/image11.png"/><Relationship Id="rId4" Type="http://schemas.openxmlformats.org/officeDocument/2006/relationships/chart" Target="../charts/chart19.xml"/><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400049</xdr:rowOff>
    </xdr:from>
    <xdr:to>
      <xdr:col>7</xdr:col>
      <xdr:colOff>104776</xdr:colOff>
      <xdr:row>13</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314325</xdr:colOff>
      <xdr:row>13</xdr:row>
      <xdr:rowOff>114300</xdr:rowOff>
    </xdr:from>
    <xdr:to>
      <xdr:col>14</xdr:col>
      <xdr:colOff>9525</xdr:colOff>
      <xdr:row>27</xdr:row>
      <xdr:rowOff>133350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57150</xdr:colOff>
      <xdr:row>1</xdr:row>
      <xdr:rowOff>0</xdr:rowOff>
    </xdr:from>
    <xdr:to>
      <xdr:col>13</xdr:col>
      <xdr:colOff>581025</xdr:colOff>
      <xdr:row>13</xdr:row>
      <xdr:rowOff>114300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76200</xdr:rowOff>
    </xdr:from>
    <xdr:to>
      <xdr:col>7</xdr:col>
      <xdr:colOff>304800</xdr:colOff>
      <xdr:row>27</xdr:row>
      <xdr:rowOff>152400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552450</xdr:colOff>
      <xdr:row>0</xdr:row>
      <xdr:rowOff>209550</xdr:rowOff>
    </xdr:from>
    <xdr:to>
      <xdr:col>21</xdr:col>
      <xdr:colOff>247650</xdr:colOff>
      <xdr:row>18</xdr:row>
      <xdr:rowOff>114300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66675</xdr:rowOff>
    </xdr:from>
    <xdr:to>
      <xdr:col>7</xdr:col>
      <xdr:colOff>257175</xdr:colOff>
      <xdr:row>26</xdr:row>
      <xdr:rowOff>9525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285750</xdr:colOff>
      <xdr:row>0</xdr:row>
      <xdr:rowOff>381000</xdr:rowOff>
    </xdr:from>
    <xdr:to>
      <xdr:col>14</xdr:col>
      <xdr:colOff>600075</xdr:colOff>
      <xdr:row>15</xdr:row>
      <xdr:rowOff>38100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457200</xdr:colOff>
      <xdr:row>15</xdr:row>
      <xdr:rowOff>66674</xdr:rowOff>
    </xdr:from>
    <xdr:to>
      <xdr:col>20</xdr:col>
      <xdr:colOff>590550</xdr:colOff>
      <xdr:row>26</xdr:row>
      <xdr:rowOff>171449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542925</xdr:colOff>
      <xdr:row>0</xdr:row>
      <xdr:rowOff>0</xdr:rowOff>
    </xdr:from>
    <xdr:to>
      <xdr:col>22</xdr:col>
      <xdr:colOff>238125</xdr:colOff>
      <xdr:row>15</xdr:row>
      <xdr:rowOff>161925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266700</xdr:colOff>
      <xdr:row>15</xdr:row>
      <xdr:rowOff>28575</xdr:rowOff>
    </xdr:from>
    <xdr:to>
      <xdr:col>14</xdr:col>
      <xdr:colOff>552450</xdr:colOff>
      <xdr:row>26</xdr:row>
      <xdr:rowOff>152400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134541</xdr:colOff>
      <xdr:row>0</xdr:row>
      <xdr:rowOff>47625</xdr:rowOff>
    </xdr:from>
    <xdr:to>
      <xdr:col>20</xdr:col>
      <xdr:colOff>210741</xdr:colOff>
      <xdr:row>2</xdr:row>
      <xdr:rowOff>171451</xdr:rowOff>
    </xdr:to>
    <xdr:sp macro="" textlink="">
      <xdr:nvSpPr>
        <xdr:cNvPr id="4" name="Rounded Rectangle 3"/>
        <xdr:cNvSpPr/>
      </xdr:nvSpPr>
      <xdr:spPr>
        <a:xfrm>
          <a:off x="134541" y="47625"/>
          <a:ext cx="12180888" cy="500857"/>
        </a:xfrm>
        <a:prstGeom prst="roundRect">
          <a:avLst/>
        </a:prstGeom>
        <a:solidFill>
          <a:schemeClr val="accent4"/>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rgbClr val="002060"/>
            </a:solidFill>
          </a:endParaRPr>
        </a:p>
      </xdr:txBody>
    </xdr:sp>
    <xdr:clientData/>
  </xdr:twoCellAnchor>
  <xdr:twoCellAnchor>
    <xdr:from>
      <xdr:col>0</xdr:col>
      <xdr:colOff>123825</xdr:colOff>
      <xdr:row>0</xdr:row>
      <xdr:rowOff>0</xdr:rowOff>
    </xdr:from>
    <xdr:to>
      <xdr:col>16</xdr:col>
      <xdr:colOff>426641</xdr:colOff>
      <xdr:row>3</xdr:row>
      <xdr:rowOff>57150</xdr:rowOff>
    </xdr:to>
    <xdr:sp macro="" textlink="">
      <xdr:nvSpPr>
        <xdr:cNvPr id="5" name="TextBox 4"/>
        <xdr:cNvSpPr txBox="1"/>
      </xdr:nvSpPr>
      <xdr:spPr>
        <a:xfrm>
          <a:off x="123825" y="0"/>
          <a:ext cx="9986566" cy="622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rPr>
            <a:t>STUDENT ENROLLMENT &amp; REVENUE ANALYSIS DASHBOARD</a:t>
          </a:r>
        </a:p>
      </xdr:txBody>
    </xdr:sp>
    <xdr:clientData/>
  </xdr:twoCellAnchor>
  <xdr:twoCellAnchor>
    <xdr:from>
      <xdr:col>0</xdr:col>
      <xdr:colOff>109141</xdr:colOff>
      <xdr:row>3</xdr:row>
      <xdr:rowOff>19844</xdr:rowOff>
    </xdr:from>
    <xdr:to>
      <xdr:col>2</xdr:col>
      <xdr:colOff>571500</xdr:colOff>
      <xdr:row>6</xdr:row>
      <xdr:rowOff>168672</xdr:rowOff>
    </xdr:to>
    <xdr:sp macro="" textlink="">
      <xdr:nvSpPr>
        <xdr:cNvPr id="10" name="Rounded Rectangle 9"/>
        <xdr:cNvSpPr/>
      </xdr:nvSpPr>
      <xdr:spPr>
        <a:xfrm>
          <a:off x="109141" y="585391"/>
          <a:ext cx="1672828" cy="714375"/>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solidFill>
              <a:schemeClr val="bg1"/>
            </a:solidFill>
          </a:endParaRPr>
        </a:p>
      </xdr:txBody>
    </xdr:sp>
    <xdr:clientData/>
  </xdr:twoCellAnchor>
  <xdr:twoCellAnchor>
    <xdr:from>
      <xdr:col>3</xdr:col>
      <xdr:colOff>39688</xdr:colOff>
      <xdr:row>3</xdr:row>
      <xdr:rowOff>29766</xdr:rowOff>
    </xdr:from>
    <xdr:to>
      <xdr:col>6</xdr:col>
      <xdr:colOff>95249</xdr:colOff>
      <xdr:row>6</xdr:row>
      <xdr:rowOff>161925</xdr:rowOff>
    </xdr:to>
    <xdr:sp macro="" textlink="">
      <xdr:nvSpPr>
        <xdr:cNvPr id="11" name="Rounded Rectangle 10"/>
        <xdr:cNvSpPr/>
      </xdr:nvSpPr>
      <xdr:spPr>
        <a:xfrm>
          <a:off x="1855391" y="595313"/>
          <a:ext cx="1871264" cy="697706"/>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158749</xdr:colOff>
      <xdr:row>3</xdr:row>
      <xdr:rowOff>29766</xdr:rowOff>
    </xdr:from>
    <xdr:to>
      <xdr:col>9</xdr:col>
      <xdr:colOff>246855</xdr:colOff>
      <xdr:row>6</xdr:row>
      <xdr:rowOff>171450</xdr:rowOff>
    </xdr:to>
    <xdr:sp macro="" textlink="">
      <xdr:nvSpPr>
        <xdr:cNvPr id="12" name="Rounded Rectangle 11"/>
        <xdr:cNvSpPr/>
      </xdr:nvSpPr>
      <xdr:spPr>
        <a:xfrm>
          <a:off x="3790155" y="595313"/>
          <a:ext cx="1903809" cy="707231"/>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317501</xdr:colOff>
      <xdr:row>3</xdr:row>
      <xdr:rowOff>39686</xdr:rowOff>
    </xdr:from>
    <xdr:to>
      <xdr:col>12</xdr:col>
      <xdr:colOff>277813</xdr:colOff>
      <xdr:row>6</xdr:row>
      <xdr:rowOff>158750</xdr:rowOff>
    </xdr:to>
    <xdr:sp macro="" textlink="">
      <xdr:nvSpPr>
        <xdr:cNvPr id="13" name="Rounded Rectangle 12"/>
        <xdr:cNvSpPr/>
      </xdr:nvSpPr>
      <xdr:spPr>
        <a:xfrm>
          <a:off x="5764610" y="605233"/>
          <a:ext cx="1776016" cy="684611"/>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148827</xdr:colOff>
      <xdr:row>18</xdr:row>
      <xdr:rowOff>61914</xdr:rowOff>
    </xdr:from>
    <xdr:to>
      <xdr:col>8</xdr:col>
      <xdr:colOff>501252</xdr:colOff>
      <xdr:row>27</xdr:row>
      <xdr:rowOff>98030</xdr:rowOff>
    </xdr:to>
    <xdr:sp macro="" textlink="">
      <xdr:nvSpPr>
        <xdr:cNvPr id="15" name="Rounded Rectangle 14"/>
        <xdr:cNvSpPr/>
      </xdr:nvSpPr>
      <xdr:spPr>
        <a:xfrm>
          <a:off x="1964530" y="3455195"/>
          <a:ext cx="3378597" cy="1732757"/>
        </a:xfrm>
        <a:prstGeom prst="roundRect">
          <a:avLst/>
        </a:prstGeom>
        <a:ln>
          <a:noFill/>
        </a:ln>
        <a:effectLst>
          <a:innerShdw blurRad="63500" dist="50800" dir="13500000">
            <a:prstClr val="black">
              <a:alpha val="50000"/>
            </a:prstClr>
          </a:inn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198436</xdr:colOff>
      <xdr:row>7</xdr:row>
      <xdr:rowOff>34129</xdr:rowOff>
    </xdr:from>
    <xdr:to>
      <xdr:col>12</xdr:col>
      <xdr:colOff>168670</xdr:colOff>
      <xdr:row>17</xdr:row>
      <xdr:rowOff>188513</xdr:rowOff>
    </xdr:to>
    <xdr:sp macro="" textlink="">
      <xdr:nvSpPr>
        <xdr:cNvPr id="16" name="Rounded Rectangle 15"/>
        <xdr:cNvSpPr/>
      </xdr:nvSpPr>
      <xdr:spPr>
        <a:xfrm>
          <a:off x="2014139" y="1353738"/>
          <a:ext cx="5417344" cy="2039541"/>
        </a:xfrm>
        <a:prstGeom prst="roundRect">
          <a:avLst/>
        </a:prstGeom>
        <a:ln>
          <a:noFill/>
        </a:ln>
        <a:effectLst>
          <a:innerShdw blurRad="63500" dist="50800" dir="13500000">
            <a:prstClr val="black">
              <a:alpha val="50000"/>
            </a:prstClr>
          </a:inn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13</xdr:row>
      <xdr:rowOff>49612</xdr:rowOff>
    </xdr:from>
    <xdr:to>
      <xdr:col>3</xdr:col>
      <xdr:colOff>94060</xdr:colOff>
      <xdr:row>27</xdr:row>
      <xdr:rowOff>59533</xdr:rowOff>
    </xdr:to>
    <xdr:sp macro="" textlink="">
      <xdr:nvSpPr>
        <xdr:cNvPr id="17" name="Rounded Rectangle 16"/>
        <xdr:cNvSpPr/>
      </xdr:nvSpPr>
      <xdr:spPr>
        <a:xfrm>
          <a:off x="0" y="2500315"/>
          <a:ext cx="1909763" cy="2668984"/>
        </a:xfrm>
        <a:prstGeom prst="roundRect">
          <a:avLst/>
        </a:prstGeom>
        <a:ln>
          <a:noFill/>
        </a:ln>
        <a:effectLst>
          <a:glow rad="63500">
            <a:schemeClr val="accent4">
              <a:satMod val="175000"/>
              <a:alpha val="40000"/>
            </a:schemeClr>
          </a:glow>
          <a:innerShdw blurRad="63500" dist="50800" dir="13500000">
            <a:prstClr val="black">
              <a:alpha val="50000"/>
            </a:prstClr>
          </a:inn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287736</xdr:colOff>
      <xdr:row>3</xdr:row>
      <xdr:rowOff>48417</xdr:rowOff>
    </xdr:from>
    <xdr:to>
      <xdr:col>17</xdr:col>
      <xdr:colOff>305598</xdr:colOff>
      <xdr:row>21</xdr:row>
      <xdr:rowOff>89295</xdr:rowOff>
    </xdr:to>
    <xdr:sp macro="" textlink="">
      <xdr:nvSpPr>
        <xdr:cNvPr id="18" name="Rounded Rectangle 17"/>
        <xdr:cNvSpPr/>
      </xdr:nvSpPr>
      <xdr:spPr>
        <a:xfrm>
          <a:off x="7550549" y="613964"/>
          <a:ext cx="3044033" cy="3454003"/>
        </a:xfrm>
        <a:prstGeom prst="roundRect">
          <a:avLst/>
        </a:prstGeom>
        <a:ln>
          <a:noFill/>
        </a:ln>
        <a:effectLst>
          <a:innerShdw blurRad="63500" dist="50800" dir="13500000">
            <a:prstClr val="black">
              <a:alpha val="50000"/>
            </a:prstClr>
          </a:inn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327422</xdr:colOff>
      <xdr:row>3</xdr:row>
      <xdr:rowOff>57149</xdr:rowOff>
    </xdr:from>
    <xdr:to>
      <xdr:col>17</xdr:col>
      <xdr:colOff>148829</xdr:colOff>
      <xdr:row>22</xdr:row>
      <xdr:rowOff>19050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29765</xdr:rowOff>
    </xdr:from>
    <xdr:to>
      <xdr:col>4</xdr:col>
      <xdr:colOff>476249</xdr:colOff>
      <xdr:row>27</xdr:row>
      <xdr:rowOff>29764</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178595</xdr:colOff>
      <xdr:row>18</xdr:row>
      <xdr:rowOff>138906</xdr:rowOff>
    </xdr:from>
    <xdr:to>
      <xdr:col>8</xdr:col>
      <xdr:colOff>525859</xdr:colOff>
      <xdr:row>26</xdr:row>
      <xdr:rowOff>168672</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178594</xdr:colOff>
      <xdr:row>6</xdr:row>
      <xdr:rowOff>138906</xdr:rowOff>
    </xdr:from>
    <xdr:to>
      <xdr:col>12</xdr:col>
      <xdr:colOff>396875</xdr:colOff>
      <xdr:row>17</xdr:row>
      <xdr:rowOff>29766</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142875</xdr:colOff>
      <xdr:row>2</xdr:row>
      <xdr:rowOff>171450</xdr:rowOff>
    </xdr:from>
    <xdr:to>
      <xdr:col>3</xdr:col>
      <xdr:colOff>0</xdr:colOff>
      <xdr:row>4</xdr:row>
      <xdr:rowOff>128984</xdr:rowOff>
    </xdr:to>
    <xdr:sp macro="" textlink="">
      <xdr:nvSpPr>
        <xdr:cNvPr id="24" name="TextBox 23"/>
        <xdr:cNvSpPr txBox="1"/>
      </xdr:nvSpPr>
      <xdr:spPr>
        <a:xfrm>
          <a:off x="142875" y="548481"/>
          <a:ext cx="1672828" cy="334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4">
                  <a:lumMod val="50000"/>
                </a:schemeClr>
              </a:solidFill>
            </a:rPr>
            <a:t>TOTAL</a:t>
          </a:r>
          <a:r>
            <a:rPr lang="en-US" sz="1400" b="1" baseline="0">
              <a:solidFill>
                <a:schemeClr val="bg1"/>
              </a:solidFill>
            </a:rPr>
            <a:t> </a:t>
          </a:r>
          <a:r>
            <a:rPr lang="en-US" sz="1200" b="1" baseline="0">
              <a:solidFill>
                <a:schemeClr val="accent4">
                  <a:lumMod val="50000"/>
                </a:schemeClr>
              </a:solidFill>
            </a:rPr>
            <a:t>STUDENTS</a:t>
          </a:r>
          <a:endParaRPr lang="en-US" sz="1400" b="1">
            <a:solidFill>
              <a:schemeClr val="accent4">
                <a:lumMod val="50000"/>
              </a:schemeClr>
            </a:solidFill>
          </a:endParaRPr>
        </a:p>
      </xdr:txBody>
    </xdr:sp>
    <xdr:clientData/>
  </xdr:twoCellAnchor>
  <xdr:twoCellAnchor>
    <xdr:from>
      <xdr:col>6</xdr:col>
      <xdr:colOff>270669</xdr:colOff>
      <xdr:row>3</xdr:row>
      <xdr:rowOff>12303</xdr:rowOff>
    </xdr:from>
    <xdr:to>
      <xdr:col>9</xdr:col>
      <xdr:colOff>489744</xdr:colOff>
      <xdr:row>4</xdr:row>
      <xdr:rowOff>96044</xdr:rowOff>
    </xdr:to>
    <xdr:sp macro="" textlink="">
      <xdr:nvSpPr>
        <xdr:cNvPr id="28" name="TextBox 27"/>
        <xdr:cNvSpPr txBox="1"/>
      </xdr:nvSpPr>
      <xdr:spPr>
        <a:xfrm>
          <a:off x="3902075" y="577850"/>
          <a:ext cx="2034778" cy="272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02060"/>
              </a:solidFill>
            </a:rPr>
            <a:t>TOP</a:t>
          </a:r>
          <a:r>
            <a:rPr lang="en-US" sz="1100" b="1" baseline="0">
              <a:solidFill>
                <a:srgbClr val="002060"/>
              </a:solidFill>
            </a:rPr>
            <a:t> </a:t>
          </a:r>
          <a:r>
            <a:rPr lang="en-US" sz="1050" b="1" baseline="0">
              <a:solidFill>
                <a:srgbClr val="002060"/>
              </a:solidFill>
            </a:rPr>
            <a:t>ENROLLMENT</a:t>
          </a:r>
          <a:r>
            <a:rPr lang="en-US" sz="1100" b="1" baseline="0">
              <a:solidFill>
                <a:srgbClr val="002060"/>
              </a:solidFill>
            </a:rPr>
            <a:t> COURSE</a:t>
          </a:r>
          <a:endParaRPr lang="en-US" sz="1100" b="1">
            <a:solidFill>
              <a:srgbClr val="002060"/>
            </a:solidFill>
          </a:endParaRPr>
        </a:p>
      </xdr:txBody>
    </xdr:sp>
    <xdr:clientData/>
  </xdr:twoCellAnchor>
  <xdr:twoCellAnchor>
    <xdr:from>
      <xdr:col>0</xdr:col>
      <xdr:colOff>268684</xdr:colOff>
      <xdr:row>3</xdr:row>
      <xdr:rowOff>89297</xdr:rowOff>
    </xdr:from>
    <xdr:to>
      <xdr:col>2</xdr:col>
      <xdr:colOff>354409</xdr:colOff>
      <xdr:row>6</xdr:row>
      <xdr:rowOff>112317</xdr:rowOff>
    </xdr:to>
    <xdr:sp macro="" textlink="'Pivot &amp;Calculations'!J17">
      <xdr:nvSpPr>
        <xdr:cNvPr id="30" name="TextBox 29"/>
        <xdr:cNvSpPr txBox="1"/>
      </xdr:nvSpPr>
      <xdr:spPr>
        <a:xfrm>
          <a:off x="268684" y="654844"/>
          <a:ext cx="1296194" cy="588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F79F16-C614-45B9-9165-CA49ABCBBE0D}" type="TxLink">
            <a:rPr lang="en-US" sz="4000" b="1" i="0" u="none" strike="noStrike">
              <a:solidFill>
                <a:srgbClr val="000000"/>
              </a:solidFill>
              <a:latin typeface="Calibri"/>
              <a:ea typeface="Calibri"/>
              <a:cs typeface="Calibri"/>
            </a:rPr>
            <a:pPr/>
            <a:t>2.0K</a:t>
          </a:fld>
          <a:endParaRPr lang="en-US" sz="4000" b="1"/>
        </a:p>
      </xdr:txBody>
    </xdr:sp>
    <xdr:clientData/>
  </xdr:twoCellAnchor>
  <xdr:twoCellAnchor>
    <xdr:from>
      <xdr:col>6</xdr:col>
      <xdr:colOff>224233</xdr:colOff>
      <xdr:row>4</xdr:row>
      <xdr:rowOff>19843</xdr:rowOff>
    </xdr:from>
    <xdr:to>
      <xdr:col>10</xdr:col>
      <xdr:colOff>128986</xdr:colOff>
      <xdr:row>6</xdr:row>
      <xdr:rowOff>138906</xdr:rowOff>
    </xdr:to>
    <xdr:sp macro="" textlink="'Pivot &amp;Calculations'!I38">
      <xdr:nvSpPr>
        <xdr:cNvPr id="32" name="TextBox 31"/>
        <xdr:cNvSpPr txBox="1"/>
      </xdr:nvSpPr>
      <xdr:spPr>
        <a:xfrm>
          <a:off x="3855639" y="773906"/>
          <a:ext cx="2325691" cy="496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4D75F5-6AC0-4D7D-A8D9-F42FF98CD77A}" type="TxLink">
            <a:rPr lang="en-US" sz="2000" b="1" i="0" u="none" strike="noStrike">
              <a:solidFill>
                <a:srgbClr val="000000"/>
              </a:solidFill>
              <a:latin typeface="Calibri"/>
              <a:ea typeface="Calibri"/>
              <a:cs typeface="Calibri"/>
            </a:rPr>
            <a:pPr/>
            <a:t>Data Analytics</a:t>
          </a:fld>
          <a:endParaRPr lang="en-US" sz="4000" b="1"/>
        </a:p>
      </xdr:txBody>
    </xdr:sp>
    <xdr:clientData/>
  </xdr:twoCellAnchor>
  <xdr:twoCellAnchor>
    <xdr:from>
      <xdr:col>2</xdr:col>
      <xdr:colOff>111125</xdr:colOff>
      <xdr:row>14</xdr:row>
      <xdr:rowOff>126603</xdr:rowOff>
    </xdr:from>
    <xdr:to>
      <xdr:col>3</xdr:col>
      <xdr:colOff>120650</xdr:colOff>
      <xdr:row>16</xdr:row>
      <xdr:rowOff>78978</xdr:rowOff>
    </xdr:to>
    <xdr:sp macro="" textlink="'Pivot &amp;Calculations'!I22">
      <xdr:nvSpPr>
        <xdr:cNvPr id="36" name="TextBox 35"/>
        <xdr:cNvSpPr txBox="1"/>
      </xdr:nvSpPr>
      <xdr:spPr>
        <a:xfrm>
          <a:off x="1321594" y="2765822"/>
          <a:ext cx="614759" cy="329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5A1524-E991-4984-8E3E-359721E58161}" type="TxLink">
            <a:rPr lang="en-US" sz="1100" b="1" i="0" u="none" strike="noStrike">
              <a:solidFill>
                <a:srgbClr val="000000"/>
              </a:solidFill>
              <a:latin typeface="Calibri"/>
              <a:ea typeface="Calibri"/>
              <a:cs typeface="Calibri"/>
            </a:rPr>
            <a:pPr/>
            <a:t>Hybrid</a:t>
          </a:fld>
          <a:endParaRPr lang="en-US" sz="1100" b="1"/>
        </a:p>
      </xdr:txBody>
    </xdr:sp>
    <xdr:clientData/>
  </xdr:twoCellAnchor>
  <xdr:twoCellAnchor>
    <xdr:from>
      <xdr:col>2</xdr:col>
      <xdr:colOff>101204</xdr:colOff>
      <xdr:row>15</xdr:row>
      <xdr:rowOff>175816</xdr:rowOff>
    </xdr:from>
    <xdr:to>
      <xdr:col>3</xdr:col>
      <xdr:colOff>110729</xdr:colOff>
      <xdr:row>17</xdr:row>
      <xdr:rowOff>128190</xdr:rowOff>
    </xdr:to>
    <xdr:sp macro="" textlink="'Pivot &amp;Calculations'!I23">
      <xdr:nvSpPr>
        <xdr:cNvPr id="37" name="TextBox 36"/>
        <xdr:cNvSpPr txBox="1"/>
      </xdr:nvSpPr>
      <xdr:spPr>
        <a:xfrm>
          <a:off x="1311673" y="3003550"/>
          <a:ext cx="614759" cy="329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6568DA-B1D6-4292-AD83-A4141C5FB85A}" type="TxLink">
            <a:rPr lang="en-US" sz="1100" b="1" i="0" u="none" strike="noStrike">
              <a:solidFill>
                <a:srgbClr val="000000"/>
              </a:solidFill>
              <a:latin typeface="Calibri"/>
              <a:ea typeface="Calibri"/>
              <a:cs typeface="Calibri"/>
            </a:rPr>
            <a:pPr/>
            <a:t>Offline</a:t>
          </a:fld>
          <a:endParaRPr lang="en-US" sz="1100" b="1"/>
        </a:p>
      </xdr:txBody>
    </xdr:sp>
    <xdr:clientData/>
  </xdr:twoCellAnchor>
  <xdr:twoCellAnchor>
    <xdr:from>
      <xdr:col>2</xdr:col>
      <xdr:colOff>91282</xdr:colOff>
      <xdr:row>17</xdr:row>
      <xdr:rowOff>35718</xdr:rowOff>
    </xdr:from>
    <xdr:to>
      <xdr:col>3</xdr:col>
      <xdr:colOff>100807</xdr:colOff>
      <xdr:row>18</xdr:row>
      <xdr:rowOff>176610</xdr:rowOff>
    </xdr:to>
    <xdr:sp macro="" textlink="'Pivot &amp;Calculations'!I24">
      <xdr:nvSpPr>
        <xdr:cNvPr id="38" name="TextBox 37"/>
        <xdr:cNvSpPr txBox="1"/>
      </xdr:nvSpPr>
      <xdr:spPr>
        <a:xfrm>
          <a:off x="1301751" y="3240484"/>
          <a:ext cx="614759" cy="329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34AFA4-03B2-4D9F-82DF-DC71226B39DA}" type="TxLink">
            <a:rPr lang="en-US" sz="1100" b="1" i="0" u="none" strike="noStrike">
              <a:solidFill>
                <a:srgbClr val="000000"/>
              </a:solidFill>
              <a:latin typeface="Calibri"/>
              <a:ea typeface="Calibri"/>
              <a:cs typeface="Calibri"/>
            </a:rPr>
            <a:pPr/>
            <a:t>Online</a:t>
          </a:fld>
          <a:endParaRPr lang="en-US" sz="1100" b="1"/>
        </a:p>
      </xdr:txBody>
    </xdr:sp>
    <xdr:clientData/>
  </xdr:twoCellAnchor>
  <xdr:twoCellAnchor editAs="oneCell">
    <xdr:from>
      <xdr:col>17</xdr:col>
      <xdr:colOff>367110</xdr:colOff>
      <xdr:row>9</xdr:row>
      <xdr:rowOff>115489</xdr:rowOff>
    </xdr:from>
    <xdr:to>
      <xdr:col>20</xdr:col>
      <xdr:colOff>496491</xdr:colOff>
      <xdr:row>21</xdr:row>
      <xdr:rowOff>133747</xdr:rowOff>
    </xdr:to>
    <mc:AlternateContent xmlns:mc="http://schemas.openxmlformats.org/markup-compatibility/2006" xmlns:a14="http://schemas.microsoft.com/office/drawing/2010/main">
      <mc:Choice Requires="a14">
        <xdr:graphicFrame macro="">
          <xdr:nvGraphicFramePr>
            <xdr:cNvPr id="39" name="Course_Category 1"/>
            <xdr:cNvGraphicFramePr/>
          </xdr:nvGraphicFramePr>
          <xdr:xfrm>
            <a:off x="0" y="0"/>
            <a:ext cx="0" cy="0"/>
          </xdr:xfrm>
          <a:graphic>
            <a:graphicData uri="http://schemas.microsoft.com/office/drawing/2010/slicer">
              <sle:slicer xmlns:sle="http://schemas.microsoft.com/office/drawing/2010/slicer" name="Course_Category 1"/>
            </a:graphicData>
          </a:graphic>
        </xdr:graphicFrame>
      </mc:Choice>
      <mc:Fallback xmlns="">
        <xdr:sp macro="" textlink="">
          <xdr:nvSpPr>
            <xdr:cNvPr id="0" name=""/>
            <xdr:cNvSpPr>
              <a:spLocks noTextEdit="1"/>
            </xdr:cNvSpPr>
          </xdr:nvSpPr>
          <xdr:spPr>
            <a:xfrm>
              <a:off x="10656094" y="1812130"/>
              <a:ext cx="1945085" cy="23002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252809</xdr:colOff>
      <xdr:row>21</xdr:row>
      <xdr:rowOff>126602</xdr:rowOff>
    </xdr:from>
    <xdr:to>
      <xdr:col>20</xdr:col>
      <xdr:colOff>486569</xdr:colOff>
      <xdr:row>27</xdr:row>
      <xdr:rowOff>168672</xdr:rowOff>
    </xdr:to>
    <mc:AlternateContent xmlns:mc="http://schemas.openxmlformats.org/markup-compatibility/2006" xmlns:a14="http://schemas.microsoft.com/office/drawing/2010/main">
      <mc:Choice Requires="a14">
        <xdr:graphicFrame macro="">
          <xdr:nvGraphicFramePr>
            <xdr:cNvPr id="43" name="Instructor_Name"/>
            <xdr:cNvGraphicFramePr/>
          </xdr:nvGraphicFramePr>
          <xdr:xfrm>
            <a:off x="0" y="0"/>
            <a:ext cx="0" cy="0"/>
          </xdr:xfrm>
          <a:graphic>
            <a:graphicData uri="http://schemas.microsoft.com/office/drawing/2010/slicer">
              <sle:slicer xmlns:sle="http://schemas.microsoft.com/office/drawing/2010/slicer" name="Instructor_Name"/>
            </a:graphicData>
          </a:graphic>
        </xdr:graphicFrame>
      </mc:Choice>
      <mc:Fallback xmlns="">
        <xdr:sp macro="" textlink="">
          <xdr:nvSpPr>
            <xdr:cNvPr id="0" name=""/>
            <xdr:cNvSpPr>
              <a:spLocks noTextEdit="1"/>
            </xdr:cNvSpPr>
          </xdr:nvSpPr>
          <xdr:spPr>
            <a:xfrm>
              <a:off x="7515622" y="4085430"/>
              <a:ext cx="5075635" cy="11731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363539</xdr:colOff>
      <xdr:row>0</xdr:row>
      <xdr:rowOff>0</xdr:rowOff>
    </xdr:from>
    <xdr:to>
      <xdr:col>20</xdr:col>
      <xdr:colOff>496887</xdr:colOff>
      <xdr:row>9</xdr:row>
      <xdr:rowOff>142875</xdr:rowOff>
    </xdr:to>
    <mc:AlternateContent xmlns:mc="http://schemas.openxmlformats.org/markup-compatibility/2006" xmlns:a14="http://schemas.microsoft.com/office/drawing/2010/main">
      <mc:Choice Requires="a14">
        <xdr:graphicFrame macro="">
          <xdr:nvGraphicFramePr>
            <xdr:cNvPr id="44" name="Nationality"/>
            <xdr:cNvGraphicFramePr/>
          </xdr:nvGraphicFramePr>
          <xdr:xfrm>
            <a:off x="0" y="0"/>
            <a:ext cx="0" cy="0"/>
          </xdr:xfrm>
          <a:graphic>
            <a:graphicData uri="http://schemas.microsoft.com/office/drawing/2010/slicer">
              <sle:slicer xmlns:sle="http://schemas.microsoft.com/office/drawing/2010/slicer" name="Nationality"/>
            </a:graphicData>
          </a:graphic>
        </xdr:graphicFrame>
      </mc:Choice>
      <mc:Fallback xmlns="">
        <xdr:sp macro="" textlink="">
          <xdr:nvSpPr>
            <xdr:cNvPr id="0" name=""/>
            <xdr:cNvSpPr>
              <a:spLocks noTextEdit="1"/>
            </xdr:cNvSpPr>
          </xdr:nvSpPr>
          <xdr:spPr>
            <a:xfrm>
              <a:off x="10652523" y="0"/>
              <a:ext cx="1949052" cy="1839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31351</xdr:colOff>
      <xdr:row>3</xdr:row>
      <xdr:rowOff>158751</xdr:rowOff>
    </xdr:from>
    <xdr:to>
      <xdr:col>6</xdr:col>
      <xdr:colOff>49609</xdr:colOff>
      <xdr:row>6</xdr:row>
      <xdr:rowOff>183754</xdr:rowOff>
    </xdr:to>
    <xdr:sp macro="" textlink="'Pivot &amp;Calculations'!J65">
      <xdr:nvSpPr>
        <xdr:cNvPr id="2" name="TextBox 1"/>
        <xdr:cNvSpPr txBox="1"/>
      </xdr:nvSpPr>
      <xdr:spPr>
        <a:xfrm>
          <a:off x="1847054" y="724298"/>
          <a:ext cx="1833961"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CE5A21-8910-48B8-A3EC-37379DD0C96C}" type="TxLink">
            <a:rPr lang="en-US" sz="3600" b="1" i="0" u="none" strike="noStrike">
              <a:solidFill>
                <a:srgbClr val="000000"/>
              </a:solidFill>
              <a:latin typeface="Calibri"/>
              <a:ea typeface="Calibri"/>
              <a:cs typeface="Calibri"/>
            </a:rPr>
            <a:pPr/>
            <a:t>49.65%</a:t>
          </a:fld>
          <a:endParaRPr lang="en-US" sz="3600" b="1"/>
        </a:p>
      </xdr:txBody>
    </xdr:sp>
    <xdr:clientData/>
  </xdr:twoCellAnchor>
  <xdr:twoCellAnchor>
    <xdr:from>
      <xdr:col>3</xdr:col>
      <xdr:colOff>5556</xdr:colOff>
      <xdr:row>2</xdr:row>
      <xdr:rowOff>172244</xdr:rowOff>
    </xdr:from>
    <xdr:to>
      <xdr:col>6</xdr:col>
      <xdr:colOff>386953</xdr:colOff>
      <xdr:row>5</xdr:row>
      <xdr:rowOff>39688</xdr:rowOff>
    </xdr:to>
    <xdr:sp macro="" textlink="">
      <xdr:nvSpPr>
        <xdr:cNvPr id="46" name="TextBox 45"/>
        <xdr:cNvSpPr txBox="1"/>
      </xdr:nvSpPr>
      <xdr:spPr>
        <a:xfrm>
          <a:off x="1821259" y="549275"/>
          <a:ext cx="2197100" cy="432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baseline="0">
              <a:solidFill>
                <a:srgbClr val="002060"/>
              </a:solidFill>
            </a:rPr>
            <a:t>PERCENTAGE OFCOMPLETED            STUDENTS </a:t>
          </a:r>
          <a:endParaRPr lang="en-US" sz="1050" b="1">
            <a:solidFill>
              <a:srgbClr val="002060"/>
            </a:solidFill>
          </a:endParaRPr>
        </a:p>
      </xdr:txBody>
    </xdr:sp>
    <xdr:clientData/>
  </xdr:twoCellAnchor>
  <xdr:twoCellAnchor>
    <xdr:from>
      <xdr:col>9</xdr:col>
      <xdr:colOff>342104</xdr:colOff>
      <xdr:row>3</xdr:row>
      <xdr:rowOff>13890</xdr:rowOff>
    </xdr:from>
    <xdr:to>
      <xdr:col>12</xdr:col>
      <xdr:colOff>446879</xdr:colOff>
      <xdr:row>5</xdr:row>
      <xdr:rowOff>39688</xdr:rowOff>
    </xdr:to>
    <xdr:sp macro="" textlink="">
      <xdr:nvSpPr>
        <xdr:cNvPr id="50" name="TextBox 49"/>
        <xdr:cNvSpPr txBox="1"/>
      </xdr:nvSpPr>
      <xdr:spPr>
        <a:xfrm>
          <a:off x="5789213" y="579437"/>
          <a:ext cx="1920479" cy="402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baseline="0">
              <a:solidFill>
                <a:srgbClr val="002060"/>
              </a:solidFill>
            </a:rPr>
            <a:t>PERCENTAGE OF  OF ONGOING STUDENTS </a:t>
          </a:r>
          <a:endParaRPr lang="en-US" sz="1000" b="1">
            <a:solidFill>
              <a:srgbClr val="002060"/>
            </a:solidFill>
          </a:endParaRPr>
        </a:p>
      </xdr:txBody>
    </xdr:sp>
    <xdr:clientData/>
  </xdr:twoCellAnchor>
  <xdr:twoCellAnchor>
    <xdr:from>
      <xdr:col>9</xdr:col>
      <xdr:colOff>340914</xdr:colOff>
      <xdr:row>4</xdr:row>
      <xdr:rowOff>17859</xdr:rowOff>
    </xdr:from>
    <xdr:to>
      <xdr:col>12</xdr:col>
      <xdr:colOff>436562</xdr:colOff>
      <xdr:row>6</xdr:row>
      <xdr:rowOff>113109</xdr:rowOff>
    </xdr:to>
    <xdr:sp macro="" textlink="'Pivot &amp;Calculations'!J66">
      <xdr:nvSpPr>
        <xdr:cNvPr id="53" name="TextBox 52"/>
        <xdr:cNvSpPr txBox="1"/>
      </xdr:nvSpPr>
      <xdr:spPr>
        <a:xfrm>
          <a:off x="5788023" y="771922"/>
          <a:ext cx="1911352" cy="472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5B4478-DCE6-4849-BF06-C78099E39F4F}" type="TxLink">
            <a:rPr lang="en-US" sz="3200" b="1" i="0" u="none" strike="noStrike">
              <a:solidFill>
                <a:srgbClr val="000000"/>
              </a:solidFill>
              <a:latin typeface="Calibri"/>
              <a:ea typeface="Calibri"/>
              <a:cs typeface="Calibri"/>
            </a:rPr>
            <a:pPr/>
            <a:t>50.35%</a:t>
          </a:fld>
          <a:endParaRPr lang="en-US" sz="3200" b="1"/>
        </a:p>
      </xdr:txBody>
    </xdr:sp>
    <xdr:clientData/>
  </xdr:twoCellAnchor>
  <xdr:twoCellAnchor>
    <xdr:from>
      <xdr:col>2</xdr:col>
      <xdr:colOff>49609</xdr:colOff>
      <xdr:row>15</xdr:row>
      <xdr:rowOff>19845</xdr:rowOff>
    </xdr:from>
    <xdr:to>
      <xdr:col>2</xdr:col>
      <xdr:colOff>175816</xdr:colOff>
      <xdr:row>15</xdr:row>
      <xdr:rowOff>126207</xdr:rowOff>
    </xdr:to>
    <xdr:sp macro="" textlink="">
      <xdr:nvSpPr>
        <xdr:cNvPr id="54" name="Oval 53"/>
        <xdr:cNvSpPr/>
      </xdr:nvSpPr>
      <xdr:spPr>
        <a:xfrm>
          <a:off x="1260078" y="2847579"/>
          <a:ext cx="126207" cy="106362"/>
        </a:xfrm>
        <a:prstGeom prst="ellipse">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30561</xdr:colOff>
      <xdr:row>16</xdr:row>
      <xdr:rowOff>50403</xdr:rowOff>
    </xdr:from>
    <xdr:to>
      <xdr:col>2</xdr:col>
      <xdr:colOff>138906</xdr:colOff>
      <xdr:row>16</xdr:row>
      <xdr:rowOff>168672</xdr:rowOff>
    </xdr:to>
    <xdr:sp macro="" textlink="">
      <xdr:nvSpPr>
        <xdr:cNvPr id="55" name="Oval 54"/>
        <xdr:cNvSpPr/>
      </xdr:nvSpPr>
      <xdr:spPr>
        <a:xfrm>
          <a:off x="1241030" y="3066653"/>
          <a:ext cx="108345" cy="118269"/>
        </a:xfrm>
        <a:prstGeom prst="ellipse">
          <a:avLst/>
        </a:prstGeom>
        <a:solidFill>
          <a:schemeClr val="accent4">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2</xdr:col>
      <xdr:colOff>24210</xdr:colOff>
      <xdr:row>17</xdr:row>
      <xdr:rowOff>103584</xdr:rowOff>
    </xdr:from>
    <xdr:to>
      <xdr:col>2</xdr:col>
      <xdr:colOff>142478</xdr:colOff>
      <xdr:row>18</xdr:row>
      <xdr:rowOff>53182</xdr:rowOff>
    </xdr:to>
    <xdr:sp macro="" textlink="">
      <xdr:nvSpPr>
        <xdr:cNvPr id="56" name="Oval 55"/>
        <xdr:cNvSpPr/>
      </xdr:nvSpPr>
      <xdr:spPr>
        <a:xfrm>
          <a:off x="1234679" y="3308350"/>
          <a:ext cx="118268" cy="138113"/>
        </a:xfrm>
        <a:prstGeom prst="ellipse">
          <a:avLst/>
        </a:prstGeom>
        <a:solidFill>
          <a:srgbClr val="7030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0</xdr:col>
      <xdr:colOff>158750</xdr:colOff>
      <xdr:row>13</xdr:row>
      <xdr:rowOff>69452</xdr:rowOff>
    </xdr:from>
    <xdr:to>
      <xdr:col>4</xdr:col>
      <xdr:colOff>138906</xdr:colOff>
      <xdr:row>16</xdr:row>
      <xdr:rowOff>69452</xdr:rowOff>
    </xdr:to>
    <xdr:sp macro="" textlink="">
      <xdr:nvSpPr>
        <xdr:cNvPr id="31" name="TextBox 30"/>
        <xdr:cNvSpPr txBox="1"/>
      </xdr:nvSpPr>
      <xdr:spPr>
        <a:xfrm>
          <a:off x="158750" y="2520155"/>
          <a:ext cx="2401094" cy="565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4">
                  <a:lumMod val="50000"/>
                </a:schemeClr>
              </a:solidFill>
            </a:rPr>
            <a:t>ENROLLMENT</a:t>
          </a:r>
          <a:r>
            <a:rPr lang="en-US" sz="1100" b="1" baseline="0">
              <a:solidFill>
                <a:schemeClr val="accent4">
                  <a:lumMod val="50000"/>
                </a:schemeClr>
              </a:solidFill>
            </a:rPr>
            <a:t> VS MODE</a:t>
          </a:r>
        </a:p>
        <a:p>
          <a:r>
            <a:rPr lang="en-US" sz="1100" b="1" baseline="0">
              <a:solidFill>
                <a:schemeClr val="accent4">
                  <a:lumMod val="50000"/>
                </a:schemeClr>
              </a:solidFill>
            </a:rPr>
            <a:t> OF CLASS</a:t>
          </a:r>
          <a:endParaRPr lang="en-US" sz="1100" b="1">
            <a:solidFill>
              <a:schemeClr val="accent4">
                <a:lumMod val="50000"/>
              </a:schemeClr>
            </a:solidFill>
          </a:endParaRPr>
        </a:p>
      </xdr:txBody>
    </xdr:sp>
    <xdr:clientData/>
  </xdr:twoCellAnchor>
  <xdr:twoCellAnchor>
    <xdr:from>
      <xdr:col>0</xdr:col>
      <xdr:colOff>69453</xdr:colOff>
      <xdr:row>7</xdr:row>
      <xdr:rowOff>89299</xdr:rowOff>
    </xdr:from>
    <xdr:to>
      <xdr:col>3</xdr:col>
      <xdr:colOff>138906</xdr:colOff>
      <xdr:row>12</xdr:row>
      <xdr:rowOff>148828</xdr:rowOff>
    </xdr:to>
    <xdr:sp macro="" textlink="">
      <xdr:nvSpPr>
        <xdr:cNvPr id="33" name="Rectangle 32"/>
        <xdr:cNvSpPr/>
      </xdr:nvSpPr>
      <xdr:spPr>
        <a:xfrm>
          <a:off x="69453" y="1408908"/>
          <a:ext cx="1885156" cy="1002108"/>
        </a:xfrm>
        <a:prstGeom prst="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138906</xdr:colOff>
      <xdr:row>8</xdr:row>
      <xdr:rowOff>128984</xdr:rowOff>
    </xdr:from>
    <xdr:to>
      <xdr:col>3</xdr:col>
      <xdr:colOff>79375</xdr:colOff>
      <xdr:row>11</xdr:row>
      <xdr:rowOff>89298</xdr:rowOff>
    </xdr:to>
    <xdr:sp macro="" textlink="">
      <xdr:nvSpPr>
        <xdr:cNvPr id="58" name="Rounded Rectangle 57">
          <a:hlinkClick xmlns:r="http://schemas.openxmlformats.org/officeDocument/2006/relationships" r:id="rId5"/>
        </xdr:cNvPr>
        <xdr:cNvSpPr/>
      </xdr:nvSpPr>
      <xdr:spPr>
        <a:xfrm>
          <a:off x="138906" y="1637109"/>
          <a:ext cx="1756172" cy="525861"/>
        </a:xfrm>
        <a:prstGeom prst="roundRect">
          <a:avLst>
            <a:gd name="adj" fmla="val 45614"/>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218281</xdr:colOff>
      <xdr:row>9</xdr:row>
      <xdr:rowOff>49612</xdr:rowOff>
    </xdr:from>
    <xdr:to>
      <xdr:col>3</xdr:col>
      <xdr:colOff>307577</xdr:colOff>
      <xdr:row>10</xdr:row>
      <xdr:rowOff>178594</xdr:rowOff>
    </xdr:to>
    <xdr:sp macro="" textlink="">
      <xdr:nvSpPr>
        <xdr:cNvPr id="59" name="TextBox 58"/>
        <xdr:cNvSpPr txBox="1"/>
      </xdr:nvSpPr>
      <xdr:spPr>
        <a:xfrm>
          <a:off x="218281" y="1746253"/>
          <a:ext cx="1904999" cy="317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ysClr val="windowText" lastClr="000000"/>
              </a:solidFill>
            </a:rPr>
            <a:t>REVENUE  ANALYSIS</a:t>
          </a:r>
        </a:p>
      </xdr:txBody>
    </xdr:sp>
    <xdr:clientData/>
  </xdr:twoCellAnchor>
  <xdr:twoCellAnchor editAs="oneCell">
    <xdr:from>
      <xdr:col>2</xdr:col>
      <xdr:colOff>59531</xdr:colOff>
      <xdr:row>4</xdr:row>
      <xdr:rowOff>109141</xdr:rowOff>
    </xdr:from>
    <xdr:to>
      <xdr:col>2</xdr:col>
      <xdr:colOff>515936</xdr:colOff>
      <xdr:row>6</xdr:row>
      <xdr:rowOff>109141</xdr:rowOff>
    </xdr:to>
    <xdr:pic>
      <xdr:nvPicPr>
        <xdr:cNvPr id="3" name="Picture 2"/>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4167" t="6572" r="5556" b="3756"/>
        <a:stretch/>
      </xdr:blipFill>
      <xdr:spPr>
        <a:xfrm>
          <a:off x="1270000" y="863204"/>
          <a:ext cx="456405" cy="377031"/>
        </a:xfrm>
        <a:prstGeom prst="ellipse">
          <a:avLst/>
        </a:prstGeom>
      </xdr:spPr>
    </xdr:pic>
    <xdr:clientData/>
  </xdr:twoCellAnchor>
  <xdr:twoCellAnchor editAs="oneCell">
    <xdr:from>
      <xdr:col>5</xdr:col>
      <xdr:colOff>297656</xdr:colOff>
      <xdr:row>4</xdr:row>
      <xdr:rowOff>99219</xdr:rowOff>
    </xdr:from>
    <xdr:to>
      <xdr:col>6</xdr:col>
      <xdr:colOff>19844</xdr:colOff>
      <xdr:row>6</xdr:row>
      <xdr:rowOff>138907</xdr:rowOff>
    </xdr:to>
    <xdr:pic>
      <xdr:nvPicPr>
        <xdr:cNvPr id="6" name="Picture 5"/>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323828" y="853282"/>
          <a:ext cx="327422" cy="416719"/>
        </a:xfrm>
        <a:prstGeom prst="ellipse">
          <a:avLst/>
        </a:prstGeom>
      </xdr:spPr>
    </xdr:pic>
    <xdr:clientData/>
  </xdr:twoCellAnchor>
  <xdr:twoCellAnchor editAs="oneCell">
    <xdr:from>
      <xdr:col>11</xdr:col>
      <xdr:colOff>515938</xdr:colOff>
      <xdr:row>4</xdr:row>
      <xdr:rowOff>168672</xdr:rowOff>
    </xdr:from>
    <xdr:to>
      <xdr:col>12</xdr:col>
      <xdr:colOff>257966</xdr:colOff>
      <xdr:row>6</xdr:row>
      <xdr:rowOff>119063</xdr:rowOff>
    </xdr:to>
    <xdr:pic>
      <xdr:nvPicPr>
        <xdr:cNvPr id="7" name="Picture 6"/>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173516" y="922735"/>
          <a:ext cx="347263" cy="327422"/>
        </a:xfrm>
        <a:prstGeom prst="rect">
          <a:avLst/>
        </a:prstGeom>
      </xdr:spPr>
    </xdr:pic>
    <xdr:clientData/>
  </xdr:twoCellAnchor>
  <xdr:twoCellAnchor editAs="oneCell">
    <xdr:from>
      <xdr:col>8</xdr:col>
      <xdr:colOff>436563</xdr:colOff>
      <xdr:row>5</xdr:row>
      <xdr:rowOff>158750</xdr:rowOff>
    </xdr:from>
    <xdr:to>
      <xdr:col>9</xdr:col>
      <xdr:colOff>228205</xdr:colOff>
      <xdr:row>6</xdr:row>
      <xdr:rowOff>119061</xdr:rowOff>
    </xdr:to>
    <xdr:pic>
      <xdr:nvPicPr>
        <xdr:cNvPr id="8" name="Picture 7"/>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8843" t="19223" r="10772" b="15719"/>
        <a:stretch/>
      </xdr:blipFill>
      <xdr:spPr>
        <a:xfrm>
          <a:off x="5278438" y="1101328"/>
          <a:ext cx="396876" cy="148827"/>
        </a:xfrm>
        <a:prstGeom prst="rect">
          <a:avLst/>
        </a:prstGeom>
      </xdr:spPr>
    </xdr:pic>
    <xdr:clientData/>
  </xdr:twoCellAnchor>
  <xdr:twoCellAnchor editAs="oneCell">
    <xdr:from>
      <xdr:col>16</xdr:col>
      <xdr:colOff>49609</xdr:colOff>
      <xdr:row>0</xdr:row>
      <xdr:rowOff>99219</xdr:rowOff>
    </xdr:from>
    <xdr:to>
      <xdr:col>17</xdr:col>
      <xdr:colOff>188516</xdr:colOff>
      <xdr:row>2</xdr:row>
      <xdr:rowOff>119064</xdr:rowOff>
    </xdr:to>
    <xdr:pic>
      <xdr:nvPicPr>
        <xdr:cNvPr id="9" name="Picture 8"/>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8784" t="17574" r="20594" b="17575"/>
        <a:stretch/>
      </xdr:blipFill>
      <xdr:spPr>
        <a:xfrm>
          <a:off x="9733359" y="99219"/>
          <a:ext cx="744141" cy="396876"/>
        </a:xfrm>
        <a:prstGeom prst="rect">
          <a:avLst/>
        </a:prstGeom>
      </xdr:spPr>
    </xdr:pic>
    <xdr:clientData/>
  </xdr:twoCellAnchor>
  <xdr:twoCellAnchor editAs="oneCell">
    <xdr:from>
      <xdr:col>0</xdr:col>
      <xdr:colOff>228203</xdr:colOff>
      <xdr:row>0</xdr:row>
      <xdr:rowOff>109141</xdr:rowOff>
    </xdr:from>
    <xdr:to>
      <xdr:col>0</xdr:col>
      <xdr:colOff>555626</xdr:colOff>
      <xdr:row>2</xdr:row>
      <xdr:rowOff>128986</xdr:rowOff>
    </xdr:to>
    <xdr:pic>
      <xdr:nvPicPr>
        <xdr:cNvPr id="21" name="Picture 20"/>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7330" t="11920" r="59162" b="16110"/>
        <a:stretch/>
      </xdr:blipFill>
      <xdr:spPr>
        <a:xfrm>
          <a:off x="228203" y="109141"/>
          <a:ext cx="327423" cy="396876"/>
        </a:xfrm>
        <a:prstGeom prst="rect">
          <a:avLst/>
        </a:prstGeom>
      </xdr:spPr>
    </xdr:pic>
    <xdr:clientData/>
  </xdr:twoCellAnchor>
  <xdr:twoCellAnchor>
    <xdr:from>
      <xdr:col>3</xdr:col>
      <xdr:colOff>19844</xdr:colOff>
      <xdr:row>6</xdr:row>
      <xdr:rowOff>69453</xdr:rowOff>
    </xdr:from>
    <xdr:to>
      <xdr:col>3</xdr:col>
      <xdr:colOff>175292</xdr:colOff>
      <xdr:row>11</xdr:row>
      <xdr:rowOff>41275</xdr:rowOff>
    </xdr:to>
    <xdr:sp macro="" textlink="">
      <xdr:nvSpPr>
        <xdr:cNvPr id="26" name="Left Brace 25"/>
        <xdr:cNvSpPr/>
      </xdr:nvSpPr>
      <xdr:spPr>
        <a:xfrm>
          <a:off x="1835547" y="1200547"/>
          <a:ext cx="155448" cy="914400"/>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9</xdr:col>
      <xdr:colOff>19843</xdr:colOff>
      <xdr:row>18</xdr:row>
      <xdr:rowOff>39688</xdr:rowOff>
    </xdr:from>
    <xdr:to>
      <xdr:col>12</xdr:col>
      <xdr:colOff>277811</xdr:colOff>
      <xdr:row>21</xdr:row>
      <xdr:rowOff>59532</xdr:rowOff>
    </xdr:to>
    <mc:AlternateContent xmlns:mc="http://schemas.openxmlformats.org/markup-compatibility/2006" xmlns:a14="http://schemas.microsoft.com/office/drawing/2010/main">
      <mc:Choice Requires="a14">
        <xdr:graphicFrame macro="">
          <xdr:nvGraphicFramePr>
            <xdr:cNvPr id="51" name="Course_Level 1"/>
            <xdr:cNvGraphicFramePr/>
          </xdr:nvGraphicFramePr>
          <xdr:xfrm>
            <a:off x="0" y="0"/>
            <a:ext cx="0" cy="0"/>
          </xdr:xfrm>
          <a:graphic>
            <a:graphicData uri="http://schemas.microsoft.com/office/drawing/2010/slicer">
              <sle:slicer xmlns:sle="http://schemas.microsoft.com/office/drawing/2010/slicer" name="Course_Level 1"/>
            </a:graphicData>
          </a:graphic>
        </xdr:graphicFrame>
      </mc:Choice>
      <mc:Fallback xmlns="">
        <xdr:sp macro="" textlink="">
          <xdr:nvSpPr>
            <xdr:cNvPr id="0" name=""/>
            <xdr:cNvSpPr>
              <a:spLocks noTextEdit="1"/>
            </xdr:cNvSpPr>
          </xdr:nvSpPr>
          <xdr:spPr>
            <a:xfrm>
              <a:off x="5466952" y="3432969"/>
              <a:ext cx="2073672" cy="605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19844</xdr:colOff>
      <xdr:row>21</xdr:row>
      <xdr:rowOff>114695</xdr:rowOff>
    </xdr:from>
    <xdr:to>
      <xdr:col>12</xdr:col>
      <xdr:colOff>228202</xdr:colOff>
      <xdr:row>29</xdr:row>
      <xdr:rowOff>79374</xdr:rowOff>
    </xdr:to>
    <mc:AlternateContent xmlns:mc="http://schemas.openxmlformats.org/markup-compatibility/2006" xmlns:a14="http://schemas.microsoft.com/office/drawing/2010/main">
      <mc:Choice Requires="a14">
        <xdr:graphicFrame macro="">
          <xdr:nvGraphicFramePr>
            <xdr:cNvPr id="57"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5466953" y="4093367"/>
              <a:ext cx="2024062" cy="14728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0.72258</cdr:x>
      <cdr:y>0.27962</cdr:y>
    </cdr:from>
    <cdr:to>
      <cdr:x>1</cdr:x>
      <cdr:y>0.37915</cdr:y>
    </cdr:to>
    <cdr:sp macro="" textlink="">
      <cdr:nvSpPr>
        <cdr:cNvPr id="7" name="TextBox 6"/>
        <cdr:cNvSpPr txBox="1"/>
      </cdr:nvSpPr>
      <cdr:spPr>
        <a:xfrm xmlns:a="http://schemas.openxmlformats.org/drawingml/2006/main">
          <a:off x="2133601" y="561975"/>
          <a:ext cx="819150"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0.6871</cdr:x>
      <cdr:y>0.26066</cdr:y>
    </cdr:from>
    <cdr:to>
      <cdr:x>1</cdr:x>
      <cdr:y>0.39336</cdr:y>
    </cdr:to>
    <cdr:sp macro="" textlink="">
      <cdr:nvSpPr>
        <cdr:cNvPr id="8" name="TextBox 7"/>
        <cdr:cNvSpPr txBox="1"/>
      </cdr:nvSpPr>
      <cdr:spPr>
        <a:xfrm xmlns:a="http://schemas.openxmlformats.org/drawingml/2006/main">
          <a:off x="2266951" y="523875"/>
          <a:ext cx="923925"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18549</xdr:rowOff>
    </xdr:from>
    <xdr:to>
      <xdr:col>8</xdr:col>
      <xdr:colOff>9525</xdr:colOff>
      <xdr:row>2</xdr:row>
      <xdr:rowOff>180474</xdr:rowOff>
    </xdr:to>
    <xdr:sp macro="" textlink="">
      <xdr:nvSpPr>
        <xdr:cNvPr id="2" name="Rounded Rectangle 1"/>
        <xdr:cNvSpPr/>
      </xdr:nvSpPr>
      <xdr:spPr>
        <a:xfrm>
          <a:off x="0" y="18549"/>
          <a:ext cx="4902367" cy="542925"/>
        </a:xfrm>
        <a:prstGeom prst="roundRect">
          <a:avLst/>
        </a:prstGeom>
        <a:solidFill>
          <a:schemeClr val="accent4">
            <a:lumMod val="7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89736</xdr:colOff>
      <xdr:row>0</xdr:row>
      <xdr:rowOff>0</xdr:rowOff>
    </xdr:from>
    <xdr:to>
      <xdr:col>7</xdr:col>
      <xdr:colOff>89736</xdr:colOff>
      <xdr:row>3</xdr:row>
      <xdr:rowOff>57150</xdr:rowOff>
    </xdr:to>
    <xdr:sp macro="" textlink="">
      <xdr:nvSpPr>
        <xdr:cNvPr id="3" name="TextBox 2"/>
        <xdr:cNvSpPr txBox="1"/>
      </xdr:nvSpPr>
      <xdr:spPr>
        <a:xfrm>
          <a:off x="89736" y="0"/>
          <a:ext cx="4281237"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rPr>
            <a:t>REVENUE</a:t>
          </a:r>
          <a:r>
            <a:rPr lang="en-US" sz="3600" b="1" baseline="0">
              <a:solidFill>
                <a:schemeClr val="bg1"/>
              </a:solidFill>
            </a:rPr>
            <a:t> ANALYSIS</a:t>
          </a:r>
          <a:endParaRPr lang="en-US" sz="3600" b="1">
            <a:solidFill>
              <a:schemeClr val="bg1"/>
            </a:solidFill>
          </a:endParaRPr>
        </a:p>
      </xdr:txBody>
    </xdr:sp>
    <xdr:clientData/>
  </xdr:twoCellAnchor>
  <xdr:twoCellAnchor>
    <xdr:from>
      <xdr:col>7</xdr:col>
      <xdr:colOff>421106</xdr:colOff>
      <xdr:row>3</xdr:row>
      <xdr:rowOff>170447</xdr:rowOff>
    </xdr:from>
    <xdr:to>
      <xdr:col>17</xdr:col>
      <xdr:colOff>250658</xdr:colOff>
      <xdr:row>16</xdr:row>
      <xdr:rowOff>80210</xdr:rowOff>
    </xdr:to>
    <xdr:sp macro="" textlink="">
      <xdr:nvSpPr>
        <xdr:cNvPr id="6" name="Rounded Rectangle 5"/>
        <xdr:cNvSpPr/>
      </xdr:nvSpPr>
      <xdr:spPr>
        <a:xfrm>
          <a:off x="4702343" y="741947"/>
          <a:ext cx="5945604" cy="2386263"/>
        </a:xfrm>
        <a:prstGeom prst="roundRect">
          <a:avLst/>
        </a:prstGeom>
        <a:ln>
          <a:noFill/>
        </a:ln>
        <a:effectLst>
          <a:innerShdw blurRad="63500" dist="50800" dir="8100000">
            <a:prstClr val="black">
              <a:alpha val="50000"/>
            </a:prstClr>
          </a:inn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13</xdr:row>
      <xdr:rowOff>130342</xdr:rowOff>
    </xdr:from>
    <xdr:to>
      <xdr:col>7</xdr:col>
      <xdr:colOff>451184</xdr:colOff>
      <xdr:row>27</xdr:row>
      <xdr:rowOff>10026</xdr:rowOff>
    </xdr:to>
    <xdr:sp macro="" textlink="">
      <xdr:nvSpPr>
        <xdr:cNvPr id="8" name="Rounded Rectangle 7"/>
        <xdr:cNvSpPr/>
      </xdr:nvSpPr>
      <xdr:spPr>
        <a:xfrm>
          <a:off x="0" y="2606842"/>
          <a:ext cx="4732421" cy="2546684"/>
        </a:xfrm>
        <a:prstGeom prst="roundRect">
          <a:avLst/>
        </a:prstGeom>
        <a:ln>
          <a:noFill/>
        </a:ln>
        <a:effectLst>
          <a:innerShdw blurRad="63500" dist="50800" dir="8100000">
            <a:prstClr val="black">
              <a:alpha val="50000"/>
            </a:prstClr>
          </a:inn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581526</xdr:colOff>
      <xdr:row>16</xdr:row>
      <xdr:rowOff>160421</xdr:rowOff>
    </xdr:from>
    <xdr:to>
      <xdr:col>14</xdr:col>
      <xdr:colOff>411078</xdr:colOff>
      <xdr:row>26</xdr:row>
      <xdr:rowOff>140369</xdr:rowOff>
    </xdr:to>
    <xdr:sp macro="" textlink="">
      <xdr:nvSpPr>
        <xdr:cNvPr id="10" name="Rounded Rectangle 9"/>
        <xdr:cNvSpPr/>
      </xdr:nvSpPr>
      <xdr:spPr>
        <a:xfrm>
          <a:off x="4862763" y="3208421"/>
          <a:ext cx="4110789" cy="1884948"/>
        </a:xfrm>
        <a:prstGeom prst="roundRect">
          <a:avLst/>
        </a:prstGeom>
        <a:ln>
          <a:noFill/>
        </a:ln>
        <a:effectLst>
          <a:innerShdw blurRad="63500" dist="50800" dir="8100000">
            <a:prstClr val="black">
              <a:alpha val="50000"/>
            </a:prstClr>
          </a:inn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130342</xdr:colOff>
      <xdr:row>3</xdr:row>
      <xdr:rowOff>50130</xdr:rowOff>
    </xdr:from>
    <xdr:to>
      <xdr:col>7</xdr:col>
      <xdr:colOff>290763</xdr:colOff>
      <xdr:row>13</xdr:row>
      <xdr:rowOff>30079</xdr:rowOff>
    </xdr:to>
    <xdr:sp macro="" textlink="">
      <xdr:nvSpPr>
        <xdr:cNvPr id="11" name="Rounded Rectangle 10"/>
        <xdr:cNvSpPr/>
      </xdr:nvSpPr>
      <xdr:spPr>
        <a:xfrm>
          <a:off x="1965158" y="621630"/>
          <a:ext cx="2606842" cy="1884949"/>
        </a:xfrm>
        <a:prstGeom prst="roundRect">
          <a:avLst/>
        </a:prstGeom>
        <a:ln>
          <a:noFill/>
        </a:ln>
        <a:effectLst>
          <a:innerShdw blurRad="63500" dist="50800" dir="8100000">
            <a:prstClr val="black">
              <a:alpha val="50000"/>
            </a:prstClr>
          </a:inn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16</xdr:row>
      <xdr:rowOff>10026</xdr:rowOff>
    </xdr:from>
    <xdr:to>
      <xdr:col>8</xdr:col>
      <xdr:colOff>381000</xdr:colOff>
      <xdr:row>28</xdr:row>
      <xdr:rowOff>80208</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270710</xdr:colOff>
      <xdr:row>4</xdr:row>
      <xdr:rowOff>180476</xdr:rowOff>
    </xdr:from>
    <xdr:to>
      <xdr:col>17</xdr:col>
      <xdr:colOff>286253</xdr:colOff>
      <xdr:row>17</xdr:row>
      <xdr:rowOff>30080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10027</xdr:colOff>
      <xdr:row>16</xdr:row>
      <xdr:rowOff>120316</xdr:rowOff>
    </xdr:from>
    <xdr:to>
      <xdr:col>14</xdr:col>
      <xdr:colOff>441158</xdr:colOff>
      <xdr:row>27</xdr:row>
      <xdr:rowOff>30079</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391027</xdr:colOff>
      <xdr:row>0</xdr:row>
      <xdr:rowOff>0</xdr:rowOff>
    </xdr:from>
    <xdr:to>
      <xdr:col>5</xdr:col>
      <xdr:colOff>551447</xdr:colOff>
      <xdr:row>14</xdr:row>
      <xdr:rowOff>90236</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58654</xdr:colOff>
      <xdr:row>0</xdr:row>
      <xdr:rowOff>0</xdr:rowOff>
    </xdr:from>
    <xdr:to>
      <xdr:col>11</xdr:col>
      <xdr:colOff>184484</xdr:colOff>
      <xdr:row>3</xdr:row>
      <xdr:rowOff>85724</xdr:rowOff>
    </xdr:to>
    <xdr:sp macro="" textlink="">
      <xdr:nvSpPr>
        <xdr:cNvPr id="21" name="Rounded Rectangle 20"/>
        <xdr:cNvSpPr/>
      </xdr:nvSpPr>
      <xdr:spPr>
        <a:xfrm>
          <a:off x="4951496" y="0"/>
          <a:ext cx="1960646" cy="657224"/>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253665</xdr:colOff>
      <xdr:row>0</xdr:row>
      <xdr:rowOff>0</xdr:rowOff>
    </xdr:from>
    <xdr:to>
      <xdr:col>14</xdr:col>
      <xdr:colOff>377491</xdr:colOff>
      <xdr:row>3</xdr:row>
      <xdr:rowOff>114300</xdr:rowOff>
    </xdr:to>
    <xdr:sp macro="" textlink="">
      <xdr:nvSpPr>
        <xdr:cNvPr id="23" name="Rounded Rectangle 22"/>
        <xdr:cNvSpPr/>
      </xdr:nvSpPr>
      <xdr:spPr>
        <a:xfrm>
          <a:off x="6981323" y="0"/>
          <a:ext cx="1958642" cy="685800"/>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451184</xdr:colOff>
      <xdr:row>0</xdr:row>
      <xdr:rowOff>0</xdr:rowOff>
    </xdr:from>
    <xdr:to>
      <xdr:col>17</xdr:col>
      <xdr:colOff>481263</xdr:colOff>
      <xdr:row>3</xdr:row>
      <xdr:rowOff>114300</xdr:rowOff>
    </xdr:to>
    <xdr:sp macro="" textlink="">
      <xdr:nvSpPr>
        <xdr:cNvPr id="24" name="Rounded Rectangle 23"/>
        <xdr:cNvSpPr/>
      </xdr:nvSpPr>
      <xdr:spPr>
        <a:xfrm>
          <a:off x="9013658" y="0"/>
          <a:ext cx="1864894" cy="685800"/>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541422</xdr:colOff>
      <xdr:row>0</xdr:row>
      <xdr:rowOff>0</xdr:rowOff>
    </xdr:from>
    <xdr:to>
      <xdr:col>20</xdr:col>
      <xdr:colOff>597067</xdr:colOff>
      <xdr:row>3</xdr:row>
      <xdr:rowOff>104775</xdr:rowOff>
    </xdr:to>
    <xdr:sp macro="" textlink="">
      <xdr:nvSpPr>
        <xdr:cNvPr id="25" name="Rounded Rectangle 24"/>
        <xdr:cNvSpPr/>
      </xdr:nvSpPr>
      <xdr:spPr>
        <a:xfrm>
          <a:off x="10938711" y="0"/>
          <a:ext cx="1890461" cy="676275"/>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294774</xdr:colOff>
      <xdr:row>3</xdr:row>
      <xdr:rowOff>134854</xdr:rowOff>
    </xdr:from>
    <xdr:to>
      <xdr:col>7</xdr:col>
      <xdr:colOff>290763</xdr:colOff>
      <xdr:row>5</xdr:row>
      <xdr:rowOff>50132</xdr:rowOff>
    </xdr:to>
    <xdr:sp macro="" textlink="">
      <xdr:nvSpPr>
        <xdr:cNvPr id="26" name="TextBox 25"/>
        <xdr:cNvSpPr txBox="1"/>
      </xdr:nvSpPr>
      <xdr:spPr>
        <a:xfrm>
          <a:off x="2129590" y="706354"/>
          <a:ext cx="2442410" cy="29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4">
                  <a:lumMod val="75000"/>
                </a:schemeClr>
              </a:solidFill>
            </a:rPr>
            <a:t>PAYMENT STATUS SUMMERY</a:t>
          </a:r>
        </a:p>
      </xdr:txBody>
    </xdr:sp>
    <xdr:clientData/>
  </xdr:twoCellAnchor>
  <xdr:twoCellAnchor>
    <xdr:from>
      <xdr:col>5</xdr:col>
      <xdr:colOff>40106</xdr:colOff>
      <xdr:row>5</xdr:row>
      <xdr:rowOff>0</xdr:rowOff>
    </xdr:from>
    <xdr:to>
      <xdr:col>7</xdr:col>
      <xdr:colOff>90237</xdr:colOff>
      <xdr:row>7</xdr:row>
      <xdr:rowOff>70184</xdr:rowOff>
    </xdr:to>
    <xdr:sp macro="" textlink="">
      <xdr:nvSpPr>
        <xdr:cNvPr id="27" name="TextBox 26"/>
        <xdr:cNvSpPr txBox="1"/>
      </xdr:nvSpPr>
      <xdr:spPr>
        <a:xfrm>
          <a:off x="3098132" y="952500"/>
          <a:ext cx="1273342" cy="451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Number</a:t>
          </a:r>
          <a:r>
            <a:rPr lang="en-US" sz="1100" b="1" baseline="0"/>
            <a:t> of Ongoing students</a:t>
          </a:r>
          <a:endParaRPr lang="en-US" sz="1100" b="1"/>
        </a:p>
      </xdr:txBody>
    </xdr:sp>
    <xdr:clientData/>
  </xdr:twoCellAnchor>
  <xdr:twoCellAnchor>
    <xdr:from>
      <xdr:col>5</xdr:col>
      <xdr:colOff>212058</xdr:colOff>
      <xdr:row>9</xdr:row>
      <xdr:rowOff>73188</xdr:rowOff>
    </xdr:from>
    <xdr:to>
      <xdr:col>7</xdr:col>
      <xdr:colOff>330869</xdr:colOff>
      <xdr:row>12</xdr:row>
      <xdr:rowOff>40103</xdr:rowOff>
    </xdr:to>
    <xdr:sp macro="" textlink="">
      <xdr:nvSpPr>
        <xdr:cNvPr id="28" name="TextBox 27"/>
        <xdr:cNvSpPr txBox="1"/>
      </xdr:nvSpPr>
      <xdr:spPr>
        <a:xfrm>
          <a:off x="3270084" y="1787688"/>
          <a:ext cx="1342022" cy="538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Number</a:t>
          </a:r>
          <a:r>
            <a:rPr lang="en-US" sz="1100" b="1" baseline="0"/>
            <a:t> of completed students</a:t>
          </a:r>
          <a:endParaRPr lang="en-US" sz="1100" b="1"/>
        </a:p>
      </xdr:txBody>
    </xdr:sp>
    <xdr:clientData/>
  </xdr:twoCellAnchor>
  <xdr:twoCellAnchor>
    <xdr:from>
      <xdr:col>8</xdr:col>
      <xdr:colOff>260685</xdr:colOff>
      <xdr:row>3</xdr:row>
      <xdr:rowOff>148391</xdr:rowOff>
    </xdr:from>
    <xdr:to>
      <xdr:col>17</xdr:col>
      <xdr:colOff>100264</xdr:colOff>
      <xdr:row>5</xdr:row>
      <xdr:rowOff>176966</xdr:rowOff>
    </xdr:to>
    <xdr:sp macro="" textlink="">
      <xdr:nvSpPr>
        <xdr:cNvPr id="30" name="TextBox 29"/>
        <xdr:cNvSpPr txBox="1"/>
      </xdr:nvSpPr>
      <xdr:spPr>
        <a:xfrm>
          <a:off x="5153527" y="719891"/>
          <a:ext cx="5344026"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4">
                  <a:lumMod val="75000"/>
                </a:schemeClr>
              </a:solidFill>
            </a:rPr>
            <a:t>REVENUE</a:t>
          </a:r>
          <a:r>
            <a:rPr lang="en-US" sz="1600" b="1" baseline="0">
              <a:solidFill>
                <a:schemeClr val="accent4">
                  <a:lumMod val="75000"/>
                </a:schemeClr>
              </a:solidFill>
            </a:rPr>
            <a:t> GENERATED BY COURSE AND PENDING REVENUE</a:t>
          </a:r>
          <a:endParaRPr lang="en-US" sz="1600" b="1">
            <a:solidFill>
              <a:schemeClr val="accent4">
                <a:lumMod val="75000"/>
              </a:schemeClr>
            </a:solidFill>
          </a:endParaRPr>
        </a:p>
      </xdr:txBody>
    </xdr:sp>
    <xdr:clientData/>
  </xdr:twoCellAnchor>
  <xdr:twoCellAnchor>
    <xdr:from>
      <xdr:col>0</xdr:col>
      <xdr:colOff>137863</xdr:colOff>
      <xdr:row>13</xdr:row>
      <xdr:rowOff>68679</xdr:rowOff>
    </xdr:from>
    <xdr:to>
      <xdr:col>5</xdr:col>
      <xdr:colOff>381002</xdr:colOff>
      <xdr:row>16</xdr:row>
      <xdr:rowOff>40106</xdr:rowOff>
    </xdr:to>
    <xdr:sp macro="" textlink="">
      <xdr:nvSpPr>
        <xdr:cNvPr id="31" name="TextBox 30"/>
        <xdr:cNvSpPr txBox="1"/>
      </xdr:nvSpPr>
      <xdr:spPr>
        <a:xfrm>
          <a:off x="137863" y="2545179"/>
          <a:ext cx="3301165" cy="542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4">
                  <a:lumMod val="75000"/>
                </a:schemeClr>
              </a:solidFill>
            </a:rPr>
            <a:t>REVENUE</a:t>
          </a:r>
          <a:r>
            <a:rPr lang="en-US" sz="1400" b="1" baseline="0">
              <a:solidFill>
                <a:schemeClr val="accent4">
                  <a:lumMod val="75000"/>
                </a:schemeClr>
              </a:solidFill>
            </a:rPr>
            <a:t> GENERATED BY BRANCH AND         PENDING REVENUE(AED)</a:t>
          </a:r>
          <a:endParaRPr lang="en-US" sz="1400" b="1">
            <a:solidFill>
              <a:schemeClr val="accent4">
                <a:lumMod val="75000"/>
              </a:schemeClr>
            </a:solidFill>
          </a:endParaRPr>
        </a:p>
      </xdr:txBody>
    </xdr:sp>
    <xdr:clientData/>
  </xdr:twoCellAnchor>
  <xdr:twoCellAnchor>
    <xdr:from>
      <xdr:col>5</xdr:col>
      <xdr:colOff>58155</xdr:colOff>
      <xdr:row>13</xdr:row>
      <xdr:rowOff>151396</xdr:rowOff>
    </xdr:from>
    <xdr:to>
      <xdr:col>6</xdr:col>
      <xdr:colOff>541421</xdr:colOff>
      <xdr:row>16</xdr:row>
      <xdr:rowOff>50131</xdr:rowOff>
    </xdr:to>
    <xdr:sp macro="" textlink="">
      <xdr:nvSpPr>
        <xdr:cNvPr id="32" name="TextBox 31"/>
        <xdr:cNvSpPr txBox="1"/>
      </xdr:nvSpPr>
      <xdr:spPr>
        <a:xfrm>
          <a:off x="3116181" y="2627896"/>
          <a:ext cx="1094872" cy="470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Sum</a:t>
          </a:r>
          <a:r>
            <a:rPr lang="en-US" sz="1000" b="1" baseline="0"/>
            <a:t> of pending</a:t>
          </a:r>
        </a:p>
        <a:p>
          <a:r>
            <a:rPr lang="en-US" sz="1000" b="1" baseline="0"/>
            <a:t>revenue</a:t>
          </a:r>
          <a:endParaRPr lang="en-US" sz="1000" b="1"/>
        </a:p>
      </xdr:txBody>
    </xdr:sp>
    <xdr:clientData/>
  </xdr:twoCellAnchor>
  <xdr:twoCellAnchor>
    <xdr:from>
      <xdr:col>6</xdr:col>
      <xdr:colOff>339391</xdr:colOff>
      <xdr:row>13</xdr:row>
      <xdr:rowOff>141373</xdr:rowOff>
    </xdr:from>
    <xdr:to>
      <xdr:col>7</xdr:col>
      <xdr:colOff>415590</xdr:colOff>
      <xdr:row>16</xdr:row>
      <xdr:rowOff>131848</xdr:rowOff>
    </xdr:to>
    <xdr:sp macro="" textlink="">
      <xdr:nvSpPr>
        <xdr:cNvPr id="33" name="TextBox 32"/>
        <xdr:cNvSpPr txBox="1"/>
      </xdr:nvSpPr>
      <xdr:spPr>
        <a:xfrm>
          <a:off x="4009023" y="2617873"/>
          <a:ext cx="687804"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Sum</a:t>
          </a:r>
          <a:r>
            <a:rPr lang="en-US" sz="1000" b="1" baseline="0"/>
            <a:t> of </a:t>
          </a:r>
        </a:p>
        <a:p>
          <a:r>
            <a:rPr lang="en-US" sz="1000" b="1" baseline="0"/>
            <a:t>revenue</a:t>
          </a:r>
          <a:endParaRPr lang="en-US" sz="1000" b="1"/>
        </a:p>
      </xdr:txBody>
    </xdr:sp>
    <xdr:clientData/>
  </xdr:twoCellAnchor>
  <xdr:twoCellAnchor>
    <xdr:from>
      <xdr:col>8</xdr:col>
      <xdr:colOff>376488</xdr:colOff>
      <xdr:row>0</xdr:row>
      <xdr:rowOff>0</xdr:rowOff>
    </xdr:from>
    <xdr:to>
      <xdr:col>11</xdr:col>
      <xdr:colOff>509838</xdr:colOff>
      <xdr:row>1</xdr:row>
      <xdr:rowOff>170446</xdr:rowOff>
    </xdr:to>
    <xdr:sp macro="" textlink="">
      <xdr:nvSpPr>
        <xdr:cNvPr id="5" name="TextBox 4"/>
        <xdr:cNvSpPr txBox="1"/>
      </xdr:nvSpPr>
      <xdr:spPr>
        <a:xfrm>
          <a:off x="5269330" y="0"/>
          <a:ext cx="1968166" cy="360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ysClr val="windowText" lastClr="000000"/>
              </a:solidFill>
            </a:rPr>
            <a:t>TOTAL</a:t>
          </a:r>
          <a:r>
            <a:rPr lang="en-US" sz="1200" b="1" baseline="0">
              <a:solidFill>
                <a:sysClr val="windowText" lastClr="000000"/>
              </a:solidFill>
            </a:rPr>
            <a:t> </a:t>
          </a:r>
          <a:r>
            <a:rPr lang="en-US" sz="1100" b="1" i="0" baseline="0">
              <a:solidFill>
                <a:sysClr val="windowText" lastClr="000000"/>
              </a:solidFill>
            </a:rPr>
            <a:t>REVENUE</a:t>
          </a:r>
          <a:endParaRPr lang="en-US" sz="1200" b="1" i="0">
            <a:solidFill>
              <a:sysClr val="windowText" lastClr="000000"/>
            </a:solidFill>
          </a:endParaRPr>
        </a:p>
      </xdr:txBody>
    </xdr:sp>
    <xdr:clientData/>
  </xdr:twoCellAnchor>
  <xdr:twoCellAnchor>
    <xdr:from>
      <xdr:col>18</xdr:col>
      <xdr:colOff>199523</xdr:colOff>
      <xdr:row>0</xdr:row>
      <xdr:rowOff>0</xdr:rowOff>
    </xdr:from>
    <xdr:to>
      <xdr:col>21</xdr:col>
      <xdr:colOff>332873</xdr:colOff>
      <xdr:row>2</xdr:row>
      <xdr:rowOff>104775</xdr:rowOff>
    </xdr:to>
    <xdr:sp macro="" textlink="">
      <xdr:nvSpPr>
        <xdr:cNvPr id="34" name="TextBox 33"/>
        <xdr:cNvSpPr txBox="1"/>
      </xdr:nvSpPr>
      <xdr:spPr>
        <a:xfrm>
          <a:off x="11208418" y="0"/>
          <a:ext cx="196816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ysClr val="windowText" lastClr="000000"/>
              </a:solidFill>
            </a:rPr>
            <a:t>TOP</a:t>
          </a:r>
          <a:r>
            <a:rPr lang="en-US" sz="1050" b="1" baseline="0">
              <a:solidFill>
                <a:sysClr val="windowText" lastClr="000000"/>
              </a:solidFill>
            </a:rPr>
            <a:t> REVENUE</a:t>
          </a:r>
        </a:p>
        <a:p>
          <a:r>
            <a:rPr lang="en-US" sz="1050" b="1" baseline="0">
              <a:solidFill>
                <a:sysClr val="windowText" lastClr="000000"/>
              </a:solidFill>
            </a:rPr>
            <a:t> GENERATED BRANCH</a:t>
          </a:r>
          <a:endParaRPr lang="en-US" sz="1050" b="1">
            <a:solidFill>
              <a:sysClr val="windowText" lastClr="000000"/>
            </a:solidFill>
          </a:endParaRPr>
        </a:p>
      </xdr:txBody>
    </xdr:sp>
    <xdr:clientData/>
  </xdr:twoCellAnchor>
  <xdr:twoCellAnchor>
    <xdr:from>
      <xdr:col>14</xdr:col>
      <xdr:colOff>569495</xdr:colOff>
      <xdr:row>0</xdr:row>
      <xdr:rowOff>0</xdr:rowOff>
    </xdr:from>
    <xdr:to>
      <xdr:col>17</xdr:col>
      <xdr:colOff>210554</xdr:colOff>
      <xdr:row>1</xdr:row>
      <xdr:rowOff>76200</xdr:rowOff>
    </xdr:to>
    <xdr:sp macro="" textlink="">
      <xdr:nvSpPr>
        <xdr:cNvPr id="35" name="TextBox 34"/>
        <xdr:cNvSpPr txBox="1"/>
      </xdr:nvSpPr>
      <xdr:spPr>
        <a:xfrm>
          <a:off x="9131969" y="0"/>
          <a:ext cx="147587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ysClr val="windowText" lastClr="000000"/>
              </a:solidFill>
            </a:rPr>
            <a:t>PENDING</a:t>
          </a:r>
          <a:r>
            <a:rPr lang="en-US" sz="1100" b="1" baseline="0"/>
            <a:t> </a:t>
          </a:r>
          <a:r>
            <a:rPr lang="en-US" sz="1100" b="1" baseline="0">
              <a:solidFill>
                <a:sysClr val="windowText" lastClr="000000"/>
              </a:solidFill>
            </a:rPr>
            <a:t>REVENUE</a:t>
          </a:r>
          <a:r>
            <a:rPr lang="en-US" sz="1100" b="1" baseline="0"/>
            <a:t> </a:t>
          </a:r>
        </a:p>
        <a:p>
          <a:endParaRPr lang="en-US" sz="1100" b="1"/>
        </a:p>
      </xdr:txBody>
    </xdr:sp>
    <xdr:clientData/>
  </xdr:twoCellAnchor>
  <xdr:twoCellAnchor>
    <xdr:from>
      <xdr:col>11</xdr:col>
      <xdr:colOff>270710</xdr:colOff>
      <xdr:row>0</xdr:row>
      <xdr:rowOff>0</xdr:rowOff>
    </xdr:from>
    <xdr:to>
      <xdr:col>15</xdr:col>
      <xdr:colOff>146886</xdr:colOff>
      <xdr:row>1</xdr:row>
      <xdr:rowOff>104775</xdr:rowOff>
    </xdr:to>
    <xdr:sp macro="" textlink="">
      <xdr:nvSpPr>
        <xdr:cNvPr id="36" name="TextBox 35"/>
        <xdr:cNvSpPr txBox="1"/>
      </xdr:nvSpPr>
      <xdr:spPr>
        <a:xfrm>
          <a:off x="6998368" y="0"/>
          <a:ext cx="2322597"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ysClr val="windowText" lastClr="000000"/>
              </a:solidFill>
            </a:rPr>
            <a:t>AVERAGE</a:t>
          </a:r>
          <a:r>
            <a:rPr lang="en-US" sz="1200" b="1" baseline="0">
              <a:solidFill>
                <a:sysClr val="windowText" lastClr="000000"/>
              </a:solidFill>
            </a:rPr>
            <a:t> </a:t>
          </a:r>
          <a:r>
            <a:rPr lang="en-US" sz="1100" b="1" baseline="0">
              <a:solidFill>
                <a:sysClr val="windowText" lastClr="000000"/>
              </a:solidFill>
            </a:rPr>
            <a:t>COURSE FEE</a:t>
          </a:r>
          <a:endParaRPr lang="en-US" sz="1200" b="1">
            <a:solidFill>
              <a:sysClr val="windowText" lastClr="000000"/>
            </a:solidFill>
          </a:endParaRPr>
        </a:p>
      </xdr:txBody>
    </xdr:sp>
    <xdr:clientData/>
  </xdr:twoCellAnchor>
  <xdr:twoCellAnchor>
    <xdr:from>
      <xdr:col>8</xdr:col>
      <xdr:colOff>146886</xdr:colOff>
      <xdr:row>1</xdr:row>
      <xdr:rowOff>6015</xdr:rowOff>
    </xdr:from>
    <xdr:to>
      <xdr:col>11</xdr:col>
      <xdr:colOff>184986</xdr:colOff>
      <xdr:row>3</xdr:row>
      <xdr:rowOff>72690</xdr:rowOff>
    </xdr:to>
    <xdr:sp macro="" textlink="'Pivot &amp;Calculations'!L70">
      <xdr:nvSpPr>
        <xdr:cNvPr id="7" name="TextBox 6"/>
        <xdr:cNvSpPr txBox="1"/>
      </xdr:nvSpPr>
      <xdr:spPr>
        <a:xfrm>
          <a:off x="5039728" y="196515"/>
          <a:ext cx="1872916"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568AA0-74A9-4FEC-B38A-C43CB120CECB}" type="TxLink">
            <a:rPr lang="en-US" sz="2400" b="1" i="0" u="none" strike="noStrike">
              <a:solidFill>
                <a:sysClr val="windowText" lastClr="000000"/>
              </a:solidFill>
              <a:latin typeface="Calibri"/>
              <a:ea typeface="Calibri"/>
              <a:cs typeface="Calibri"/>
            </a:rPr>
            <a:pPr/>
            <a:t>13.92M AED</a:t>
          </a:fld>
          <a:endParaRPr lang="en-US" sz="2400" b="1">
            <a:solidFill>
              <a:sysClr val="windowText" lastClr="000000"/>
            </a:solidFill>
          </a:endParaRPr>
        </a:p>
      </xdr:txBody>
    </xdr:sp>
    <xdr:clientData/>
  </xdr:twoCellAnchor>
  <xdr:twoCellAnchor>
    <xdr:from>
      <xdr:col>14</xdr:col>
      <xdr:colOff>608597</xdr:colOff>
      <xdr:row>1</xdr:row>
      <xdr:rowOff>4009</xdr:rowOff>
    </xdr:from>
    <xdr:to>
      <xdr:col>18</xdr:col>
      <xdr:colOff>35091</xdr:colOff>
      <xdr:row>3</xdr:row>
      <xdr:rowOff>70684</xdr:rowOff>
    </xdr:to>
    <xdr:sp macro="" textlink="'Pivot &amp;Calculations'!L73">
      <xdr:nvSpPr>
        <xdr:cNvPr id="37" name="TextBox 36"/>
        <xdr:cNvSpPr txBox="1"/>
      </xdr:nvSpPr>
      <xdr:spPr>
        <a:xfrm>
          <a:off x="9171071" y="194509"/>
          <a:ext cx="187291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442E21-EFAC-447F-BEC8-EF24D55BE100}" type="TxLink">
            <a:rPr lang="en-US" sz="2400" b="1" i="0" u="none" strike="noStrike">
              <a:solidFill>
                <a:srgbClr val="000000"/>
              </a:solidFill>
              <a:latin typeface="Calibri"/>
              <a:ea typeface="Calibri"/>
              <a:cs typeface="Calibri"/>
            </a:rPr>
            <a:pPr/>
            <a:t>4.78M AED</a:t>
          </a:fld>
          <a:endParaRPr lang="en-US" sz="4800" b="1">
            <a:solidFill>
              <a:sysClr val="windowText" lastClr="000000"/>
            </a:solidFill>
          </a:endParaRPr>
        </a:p>
      </xdr:txBody>
    </xdr:sp>
    <xdr:clientData/>
  </xdr:twoCellAnchor>
  <xdr:twoCellAnchor>
    <xdr:from>
      <xdr:col>11</xdr:col>
      <xdr:colOff>296781</xdr:colOff>
      <xdr:row>1</xdr:row>
      <xdr:rowOff>30079</xdr:rowOff>
    </xdr:from>
    <xdr:to>
      <xdr:col>15</xdr:col>
      <xdr:colOff>190501</xdr:colOff>
      <xdr:row>3</xdr:row>
      <xdr:rowOff>112795</xdr:rowOff>
    </xdr:to>
    <xdr:sp macro="" textlink="'Pivot &amp;Calculations'!L79">
      <xdr:nvSpPr>
        <xdr:cNvPr id="38" name="TextBox 37"/>
        <xdr:cNvSpPr txBox="1"/>
      </xdr:nvSpPr>
      <xdr:spPr>
        <a:xfrm>
          <a:off x="7024439" y="220579"/>
          <a:ext cx="2340141" cy="463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91CBA7-1010-4609-9BA0-DE8B05C01FB1}" type="TxLink">
            <a:rPr lang="en-US" sz="2400" b="1" i="0" u="none" strike="noStrike">
              <a:solidFill>
                <a:srgbClr val="000000"/>
              </a:solidFill>
              <a:latin typeface="Calibri"/>
              <a:ea typeface="Calibri"/>
              <a:cs typeface="Calibri"/>
            </a:rPr>
            <a:pPr/>
            <a:t>6961.73 AED</a:t>
          </a:fld>
          <a:endParaRPr lang="en-US" sz="23900" b="1">
            <a:solidFill>
              <a:sysClr val="windowText" lastClr="000000"/>
            </a:solidFill>
          </a:endParaRPr>
        </a:p>
      </xdr:txBody>
    </xdr:sp>
    <xdr:clientData/>
  </xdr:twoCellAnchor>
  <xdr:twoCellAnchor>
    <xdr:from>
      <xdr:col>17</xdr:col>
      <xdr:colOff>602081</xdr:colOff>
      <xdr:row>1</xdr:row>
      <xdr:rowOff>36093</xdr:rowOff>
    </xdr:from>
    <xdr:to>
      <xdr:col>22</xdr:col>
      <xdr:colOff>210551</xdr:colOff>
      <xdr:row>3</xdr:row>
      <xdr:rowOff>102768</xdr:rowOff>
    </xdr:to>
    <xdr:sp macro="" textlink="'Pivot &amp;Calculations'!P38">
      <xdr:nvSpPr>
        <xdr:cNvPr id="39" name="TextBox 38"/>
        <xdr:cNvSpPr txBox="1"/>
      </xdr:nvSpPr>
      <xdr:spPr>
        <a:xfrm>
          <a:off x="10999370" y="226593"/>
          <a:ext cx="2666497"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C562BA-4458-4100-AA58-B3FEDCC17E6D}" type="TxLink">
            <a:rPr lang="en-US" sz="2800" b="1" i="0" u="none" strike="noStrike">
              <a:solidFill>
                <a:srgbClr val="000000"/>
              </a:solidFill>
              <a:latin typeface="Calibri"/>
              <a:ea typeface="Calibri"/>
              <a:cs typeface="Calibri"/>
            </a:rPr>
            <a:pPr/>
            <a:t>Abu Dhabi</a:t>
          </a:fld>
          <a:endParaRPr lang="en-US" sz="41300" b="1">
            <a:solidFill>
              <a:sysClr val="windowText" lastClr="000000"/>
            </a:solidFill>
          </a:endParaRPr>
        </a:p>
      </xdr:txBody>
    </xdr:sp>
    <xdr:clientData/>
  </xdr:twoCellAnchor>
  <xdr:twoCellAnchor editAs="oneCell">
    <xdr:from>
      <xdr:col>14</xdr:col>
      <xdr:colOff>485776</xdr:colOff>
      <xdr:row>19</xdr:row>
      <xdr:rowOff>172955</xdr:rowOff>
    </xdr:from>
    <xdr:to>
      <xdr:col>17</xdr:col>
      <xdr:colOff>330869</xdr:colOff>
      <xdr:row>23</xdr:row>
      <xdr:rowOff>60159</xdr:rowOff>
    </xdr:to>
    <mc:AlternateContent xmlns:mc="http://schemas.openxmlformats.org/markup-compatibility/2006" xmlns:a14="http://schemas.microsoft.com/office/drawing/2010/main">
      <mc:Choice Requires="a14">
        <xdr:graphicFrame macro="">
          <xdr:nvGraphicFramePr>
            <xdr:cNvPr id="42" name="Terms_Completed"/>
            <xdr:cNvGraphicFramePr/>
          </xdr:nvGraphicFramePr>
          <xdr:xfrm>
            <a:off x="0" y="0"/>
            <a:ext cx="0" cy="0"/>
          </xdr:xfrm>
          <a:graphic>
            <a:graphicData uri="http://schemas.microsoft.com/office/drawing/2010/slicer">
              <sle:slicer xmlns:sle="http://schemas.microsoft.com/office/drawing/2010/slicer" name="Terms_Completed"/>
            </a:graphicData>
          </a:graphic>
        </xdr:graphicFrame>
      </mc:Choice>
      <mc:Fallback xmlns="">
        <xdr:sp macro="" textlink="">
          <xdr:nvSpPr>
            <xdr:cNvPr id="0" name=""/>
            <xdr:cNvSpPr>
              <a:spLocks noTextEdit="1"/>
            </xdr:cNvSpPr>
          </xdr:nvSpPr>
          <xdr:spPr>
            <a:xfrm>
              <a:off x="9048250" y="3792455"/>
              <a:ext cx="1679908" cy="6492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330869</xdr:colOff>
      <xdr:row>3</xdr:row>
      <xdr:rowOff>160422</xdr:rowOff>
    </xdr:from>
    <xdr:to>
      <xdr:col>20</xdr:col>
      <xdr:colOff>561474</xdr:colOff>
      <xdr:row>14</xdr:row>
      <xdr:rowOff>160422</xdr:rowOff>
    </xdr:to>
    <mc:AlternateContent xmlns:mc="http://schemas.openxmlformats.org/markup-compatibility/2006" xmlns:a14="http://schemas.microsoft.com/office/drawing/2010/main">
      <mc:Choice Requires="a14">
        <xdr:graphicFrame macro="">
          <xdr:nvGraphicFramePr>
            <xdr:cNvPr id="46" name="Course_Category"/>
            <xdr:cNvGraphicFramePr/>
          </xdr:nvGraphicFramePr>
          <xdr:xfrm>
            <a:off x="0" y="0"/>
            <a:ext cx="0" cy="0"/>
          </xdr:xfrm>
          <a:graphic>
            <a:graphicData uri="http://schemas.microsoft.com/office/drawing/2010/slicer">
              <sle:slicer xmlns:sle="http://schemas.microsoft.com/office/drawing/2010/slicer" name="Course_Category"/>
            </a:graphicData>
          </a:graphic>
        </xdr:graphicFrame>
      </mc:Choice>
      <mc:Fallback xmlns="">
        <xdr:sp macro="" textlink="">
          <xdr:nvSpPr>
            <xdr:cNvPr id="0" name=""/>
            <xdr:cNvSpPr>
              <a:spLocks noTextEdit="1"/>
            </xdr:cNvSpPr>
          </xdr:nvSpPr>
          <xdr:spPr>
            <a:xfrm>
              <a:off x="10728158" y="731922"/>
              <a:ext cx="2065421"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20053</xdr:colOff>
      <xdr:row>4</xdr:row>
      <xdr:rowOff>170449</xdr:rowOff>
    </xdr:from>
    <xdr:to>
      <xdr:col>3</xdr:col>
      <xdr:colOff>80731</xdr:colOff>
      <xdr:row>11</xdr:row>
      <xdr:rowOff>70185</xdr:rowOff>
    </xdr:to>
    <xdr:sp macro="" textlink="">
      <xdr:nvSpPr>
        <xdr:cNvPr id="48" name="Rectangle 47"/>
        <xdr:cNvSpPr/>
      </xdr:nvSpPr>
      <xdr:spPr>
        <a:xfrm>
          <a:off x="20053" y="932449"/>
          <a:ext cx="1895494" cy="1233236"/>
        </a:xfrm>
        <a:prstGeom prst="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69869</xdr:colOff>
      <xdr:row>6</xdr:row>
      <xdr:rowOff>178069</xdr:rowOff>
    </xdr:from>
    <xdr:to>
      <xdr:col>3</xdr:col>
      <xdr:colOff>60678</xdr:colOff>
      <xdr:row>9</xdr:row>
      <xdr:rowOff>122507</xdr:rowOff>
    </xdr:to>
    <xdr:sp macro="" textlink="">
      <xdr:nvSpPr>
        <xdr:cNvPr id="49" name="Rounded Rectangle 48">
          <a:hlinkClick xmlns:r="http://schemas.openxmlformats.org/officeDocument/2006/relationships" r:id="rId5"/>
        </xdr:cNvPr>
        <xdr:cNvSpPr/>
      </xdr:nvSpPr>
      <xdr:spPr>
        <a:xfrm>
          <a:off x="69869" y="1321069"/>
          <a:ext cx="1825625" cy="515938"/>
        </a:xfrm>
        <a:prstGeom prst="roundRect">
          <a:avLst>
            <a:gd name="adj" fmla="val 45614"/>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40105</xdr:colOff>
      <xdr:row>7</xdr:row>
      <xdr:rowOff>87415</xdr:rowOff>
    </xdr:from>
    <xdr:to>
      <xdr:col>3</xdr:col>
      <xdr:colOff>328571</xdr:colOff>
      <xdr:row>9</xdr:row>
      <xdr:rowOff>53682</xdr:rowOff>
    </xdr:to>
    <xdr:sp macro="" textlink="">
      <xdr:nvSpPr>
        <xdr:cNvPr id="51" name="TextBox 50"/>
        <xdr:cNvSpPr txBox="1"/>
      </xdr:nvSpPr>
      <xdr:spPr>
        <a:xfrm>
          <a:off x="40105" y="1420915"/>
          <a:ext cx="2123282" cy="347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STUDENT</a:t>
          </a:r>
          <a:r>
            <a:rPr lang="en-US" sz="1100" b="0" baseline="0"/>
            <a:t> </a:t>
          </a:r>
          <a:r>
            <a:rPr lang="en-US" sz="1400" b="1"/>
            <a:t>ENROLLMENT</a:t>
          </a:r>
        </a:p>
      </xdr:txBody>
    </xdr:sp>
    <xdr:clientData/>
  </xdr:twoCellAnchor>
  <xdr:twoCellAnchor editAs="oneCell">
    <xdr:from>
      <xdr:col>17</xdr:col>
      <xdr:colOff>360946</xdr:colOff>
      <xdr:row>19</xdr:row>
      <xdr:rowOff>70184</xdr:rowOff>
    </xdr:from>
    <xdr:to>
      <xdr:col>20</xdr:col>
      <xdr:colOff>561473</xdr:colOff>
      <xdr:row>24</xdr:row>
      <xdr:rowOff>79709</xdr:rowOff>
    </xdr:to>
    <mc:AlternateContent xmlns:mc="http://schemas.openxmlformats.org/markup-compatibility/2006" xmlns:a14="http://schemas.microsoft.com/office/drawing/2010/main">
      <mc:Choice Requires="a14">
        <xdr:graphicFrame macro="">
          <xdr:nvGraphicFramePr>
            <xdr:cNvPr id="53" name="Payment_Status"/>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mlns="">
        <xdr:sp macro="" textlink="">
          <xdr:nvSpPr>
            <xdr:cNvPr id="0" name=""/>
            <xdr:cNvSpPr>
              <a:spLocks noTextEdit="1"/>
            </xdr:cNvSpPr>
          </xdr:nvSpPr>
          <xdr:spPr>
            <a:xfrm>
              <a:off x="10758235" y="3689684"/>
              <a:ext cx="2035343"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330869</xdr:colOff>
      <xdr:row>14</xdr:row>
      <xdr:rowOff>101767</xdr:rowOff>
    </xdr:from>
    <xdr:to>
      <xdr:col>20</xdr:col>
      <xdr:colOff>551448</xdr:colOff>
      <xdr:row>19</xdr:row>
      <xdr:rowOff>54142</xdr:rowOff>
    </xdr:to>
    <mc:AlternateContent xmlns:mc="http://schemas.openxmlformats.org/markup-compatibility/2006" xmlns:a14="http://schemas.microsoft.com/office/drawing/2010/main">
      <mc:Choice Requires="a14">
        <xdr:graphicFrame macro="">
          <xdr:nvGraphicFramePr>
            <xdr:cNvPr id="54" name="Completion_Status"/>
            <xdr:cNvGraphicFramePr/>
          </xdr:nvGraphicFramePr>
          <xdr:xfrm>
            <a:off x="0" y="0"/>
            <a:ext cx="0" cy="0"/>
          </xdr:xfrm>
          <a:graphic>
            <a:graphicData uri="http://schemas.microsoft.com/office/drawing/2010/slicer">
              <sle:slicer xmlns:sle="http://schemas.microsoft.com/office/drawing/2010/slicer" name="Completion_Status"/>
            </a:graphicData>
          </a:graphic>
        </xdr:graphicFrame>
      </mc:Choice>
      <mc:Fallback xmlns="">
        <xdr:sp macro="" textlink="">
          <xdr:nvSpPr>
            <xdr:cNvPr id="0" name=""/>
            <xdr:cNvSpPr>
              <a:spLocks noTextEdit="1"/>
            </xdr:cNvSpPr>
          </xdr:nvSpPr>
          <xdr:spPr>
            <a:xfrm>
              <a:off x="10728158" y="2768767"/>
              <a:ext cx="2055395"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129841</xdr:colOff>
      <xdr:row>16</xdr:row>
      <xdr:rowOff>110788</xdr:rowOff>
    </xdr:from>
    <xdr:to>
      <xdr:col>13</xdr:col>
      <xdr:colOff>421107</xdr:colOff>
      <xdr:row>18</xdr:row>
      <xdr:rowOff>60157</xdr:rowOff>
    </xdr:to>
    <xdr:sp macro="" textlink="">
      <xdr:nvSpPr>
        <xdr:cNvPr id="55" name="TextBox 54"/>
        <xdr:cNvSpPr txBox="1"/>
      </xdr:nvSpPr>
      <xdr:spPr>
        <a:xfrm>
          <a:off x="5634288" y="3158788"/>
          <a:ext cx="2737687" cy="330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4">
                  <a:lumMod val="75000"/>
                </a:schemeClr>
              </a:solidFill>
            </a:rPr>
            <a:t>MONTHLY</a:t>
          </a:r>
          <a:r>
            <a:rPr lang="en-US" sz="1600" b="1" baseline="0">
              <a:solidFill>
                <a:schemeClr val="accent4">
                  <a:lumMod val="75000"/>
                </a:schemeClr>
              </a:solidFill>
            </a:rPr>
            <a:t> REVENUE TREND</a:t>
          </a:r>
          <a:endParaRPr lang="en-US" sz="1600" b="1">
            <a:solidFill>
              <a:schemeClr val="accent4">
                <a:lumMod val="75000"/>
              </a:schemeClr>
            </a:solidFill>
          </a:endParaRPr>
        </a:p>
      </xdr:txBody>
    </xdr:sp>
    <xdr:clientData/>
  </xdr:twoCellAnchor>
  <xdr:twoCellAnchor editAs="oneCell">
    <xdr:from>
      <xdr:col>14</xdr:col>
      <xdr:colOff>490287</xdr:colOff>
      <xdr:row>16</xdr:row>
      <xdr:rowOff>133852</xdr:rowOff>
    </xdr:from>
    <xdr:to>
      <xdr:col>17</xdr:col>
      <xdr:colOff>310818</xdr:colOff>
      <xdr:row>19</xdr:row>
      <xdr:rowOff>160422</xdr:rowOff>
    </xdr:to>
    <mc:AlternateContent xmlns:mc="http://schemas.openxmlformats.org/markup-compatibility/2006" xmlns:a14="http://schemas.microsoft.com/office/drawing/2010/main">
      <mc:Choice Requires="a14">
        <xdr:graphicFrame macro="">
          <xdr:nvGraphicFramePr>
            <xdr:cNvPr id="56" name="Course_Level"/>
            <xdr:cNvGraphicFramePr/>
          </xdr:nvGraphicFramePr>
          <xdr:xfrm>
            <a:off x="0" y="0"/>
            <a:ext cx="0" cy="0"/>
          </xdr:xfrm>
          <a:graphic>
            <a:graphicData uri="http://schemas.microsoft.com/office/drawing/2010/slicer">
              <sle:slicer xmlns:sle="http://schemas.microsoft.com/office/drawing/2010/slicer" name="Course_Level"/>
            </a:graphicData>
          </a:graphic>
        </xdr:graphicFrame>
      </mc:Choice>
      <mc:Fallback xmlns="">
        <xdr:sp macro="" textlink="">
          <xdr:nvSpPr>
            <xdr:cNvPr id="0" name=""/>
            <xdr:cNvSpPr>
              <a:spLocks noTextEdit="1"/>
            </xdr:cNvSpPr>
          </xdr:nvSpPr>
          <xdr:spPr>
            <a:xfrm>
              <a:off x="9052761" y="3181852"/>
              <a:ext cx="1655346" cy="5980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493796</xdr:colOff>
      <xdr:row>23</xdr:row>
      <xdr:rowOff>61161</xdr:rowOff>
    </xdr:from>
    <xdr:to>
      <xdr:col>17</xdr:col>
      <xdr:colOff>350921</xdr:colOff>
      <xdr:row>27</xdr:row>
      <xdr:rowOff>0</xdr:rowOff>
    </xdr:to>
    <mc:AlternateContent xmlns:mc="http://schemas.openxmlformats.org/markup-compatibility/2006" xmlns:a14="http://schemas.microsoft.com/office/drawing/2010/main">
      <mc:Choice Requires="a14">
        <xdr:graphicFrame macro="">
          <xdr:nvGraphicFramePr>
            <xdr:cNvPr id="57" name="Duration_months"/>
            <xdr:cNvGraphicFramePr/>
          </xdr:nvGraphicFramePr>
          <xdr:xfrm>
            <a:off x="0" y="0"/>
            <a:ext cx="0" cy="0"/>
          </xdr:xfrm>
          <a:graphic>
            <a:graphicData uri="http://schemas.microsoft.com/office/drawing/2010/slicer">
              <sle:slicer xmlns:sle="http://schemas.microsoft.com/office/drawing/2010/slicer" name="Duration_months"/>
            </a:graphicData>
          </a:graphic>
        </xdr:graphicFrame>
      </mc:Choice>
      <mc:Fallback xmlns="">
        <xdr:sp macro="" textlink="">
          <xdr:nvSpPr>
            <xdr:cNvPr id="0" name=""/>
            <xdr:cNvSpPr>
              <a:spLocks noTextEdit="1"/>
            </xdr:cNvSpPr>
          </xdr:nvSpPr>
          <xdr:spPr>
            <a:xfrm>
              <a:off x="9056270" y="4442661"/>
              <a:ext cx="1691940" cy="700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356936</xdr:colOff>
      <xdr:row>23</xdr:row>
      <xdr:rowOff>180475</xdr:rowOff>
    </xdr:from>
    <xdr:to>
      <xdr:col>20</xdr:col>
      <xdr:colOff>561473</xdr:colOff>
      <xdr:row>27</xdr:row>
      <xdr:rowOff>10027</xdr:rowOff>
    </xdr:to>
    <mc:AlternateContent xmlns:mc="http://schemas.openxmlformats.org/markup-compatibility/2006" xmlns:a14="http://schemas.microsoft.com/office/drawing/2010/main">
      <mc:Choice Requires="a14">
        <xdr:graphicFrame macro="">
          <xdr:nvGraphicFramePr>
            <xdr:cNvPr id="58" name="Mode"/>
            <xdr:cNvGraphicFramePr/>
          </xdr:nvGraphicFramePr>
          <xdr:xfrm>
            <a:off x="0" y="0"/>
            <a:ext cx="0" cy="0"/>
          </xdr:xfrm>
          <a:graphic>
            <a:graphicData uri="http://schemas.microsoft.com/office/drawing/2010/slicer">
              <sle:slicer xmlns:sle="http://schemas.microsoft.com/office/drawing/2010/slicer" name="Mode"/>
            </a:graphicData>
          </a:graphic>
        </xdr:graphicFrame>
      </mc:Choice>
      <mc:Fallback xmlns="">
        <xdr:sp macro="" textlink="">
          <xdr:nvSpPr>
            <xdr:cNvPr id="0" name=""/>
            <xdr:cNvSpPr>
              <a:spLocks noTextEdit="1"/>
            </xdr:cNvSpPr>
          </xdr:nvSpPr>
          <xdr:spPr>
            <a:xfrm>
              <a:off x="10754225" y="4561975"/>
              <a:ext cx="2039353" cy="5915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250659</xdr:colOff>
      <xdr:row>15</xdr:row>
      <xdr:rowOff>110290</xdr:rowOff>
    </xdr:from>
    <xdr:to>
      <xdr:col>5</xdr:col>
      <xdr:colOff>411079</xdr:colOff>
      <xdr:row>16</xdr:row>
      <xdr:rowOff>50132</xdr:rowOff>
    </xdr:to>
    <xdr:sp macro="" textlink="">
      <xdr:nvSpPr>
        <xdr:cNvPr id="4" name="Oval 3"/>
        <xdr:cNvSpPr/>
      </xdr:nvSpPr>
      <xdr:spPr>
        <a:xfrm>
          <a:off x="3308685" y="2967790"/>
          <a:ext cx="160420" cy="130342"/>
        </a:xfrm>
        <a:prstGeom prst="ellipse">
          <a:avLst/>
        </a:prstGeom>
        <a:solidFill>
          <a:schemeClr val="accent4">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a:t>
          </a:r>
        </a:p>
      </xdr:txBody>
    </xdr:sp>
    <xdr:clientData/>
  </xdr:twoCellAnchor>
  <xdr:twoCellAnchor>
    <xdr:from>
      <xdr:col>6</xdr:col>
      <xdr:colOff>571498</xdr:colOff>
      <xdr:row>15</xdr:row>
      <xdr:rowOff>100263</xdr:rowOff>
    </xdr:from>
    <xdr:to>
      <xdr:col>7</xdr:col>
      <xdr:colOff>90237</xdr:colOff>
      <xdr:row>16</xdr:row>
      <xdr:rowOff>40105</xdr:rowOff>
    </xdr:to>
    <xdr:sp macro="" textlink="">
      <xdr:nvSpPr>
        <xdr:cNvPr id="64" name="Oval 63"/>
        <xdr:cNvSpPr/>
      </xdr:nvSpPr>
      <xdr:spPr>
        <a:xfrm flipH="1">
          <a:off x="4241130" y="2957763"/>
          <a:ext cx="130344" cy="130342"/>
        </a:xfrm>
        <a:prstGeom prst="ellipse">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a:t>
          </a:r>
        </a:p>
      </xdr:txBody>
    </xdr:sp>
    <xdr:clientData/>
  </xdr:twoCellAnchor>
  <xdr:twoCellAnchor editAs="oneCell">
    <xdr:from>
      <xdr:col>17</xdr:col>
      <xdr:colOff>120317</xdr:colOff>
      <xdr:row>0</xdr:row>
      <xdr:rowOff>10029</xdr:rowOff>
    </xdr:from>
    <xdr:to>
      <xdr:col>17</xdr:col>
      <xdr:colOff>481264</xdr:colOff>
      <xdr:row>1</xdr:row>
      <xdr:rowOff>120317</xdr:rowOff>
    </xdr:to>
    <xdr:pic>
      <xdr:nvPicPr>
        <xdr:cNvPr id="13" name="Picture 12"/>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8677" t="8794" r="7247" b="8421"/>
        <a:stretch/>
      </xdr:blipFill>
      <xdr:spPr>
        <a:xfrm>
          <a:off x="10517606" y="10029"/>
          <a:ext cx="360947" cy="300788"/>
        </a:xfrm>
        <a:prstGeom prst="ellipse">
          <a:avLst/>
        </a:prstGeom>
      </xdr:spPr>
    </xdr:pic>
    <xdr:clientData/>
  </xdr:twoCellAnchor>
  <xdr:twoCellAnchor editAs="oneCell">
    <xdr:from>
      <xdr:col>6</xdr:col>
      <xdr:colOff>391025</xdr:colOff>
      <xdr:row>0</xdr:row>
      <xdr:rowOff>20055</xdr:rowOff>
    </xdr:from>
    <xdr:to>
      <xdr:col>7</xdr:col>
      <xdr:colOff>424326</xdr:colOff>
      <xdr:row>2</xdr:row>
      <xdr:rowOff>140369</xdr:rowOff>
    </xdr:to>
    <xdr:pic>
      <xdr:nvPicPr>
        <xdr:cNvPr id="22" name="Picture 21"/>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060657" y="20055"/>
          <a:ext cx="644906" cy="501314"/>
        </a:xfrm>
        <a:prstGeom prst="ellipse">
          <a:avLst/>
        </a:prstGeom>
      </xdr:spPr>
    </xdr:pic>
    <xdr:clientData/>
  </xdr:twoCellAnchor>
  <xdr:twoCellAnchor editAs="oneCell">
    <xdr:from>
      <xdr:col>14</xdr:col>
      <xdr:colOff>40105</xdr:colOff>
      <xdr:row>0</xdr:row>
      <xdr:rowOff>18474</xdr:rowOff>
    </xdr:from>
    <xdr:to>
      <xdr:col>14</xdr:col>
      <xdr:colOff>363379</xdr:colOff>
      <xdr:row>1</xdr:row>
      <xdr:rowOff>130342</xdr:rowOff>
    </xdr:to>
    <xdr:pic>
      <xdr:nvPicPr>
        <xdr:cNvPr id="41" name="Picture 40"/>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602579" y="18474"/>
          <a:ext cx="323274" cy="302368"/>
        </a:xfrm>
        <a:prstGeom prst="ellipse">
          <a:avLst/>
        </a:prstGeom>
      </xdr:spPr>
    </xdr:pic>
    <xdr:clientData/>
  </xdr:twoCellAnchor>
  <xdr:twoCellAnchor editAs="oneCell">
    <xdr:from>
      <xdr:col>10</xdr:col>
      <xdr:colOff>380999</xdr:colOff>
      <xdr:row>0</xdr:row>
      <xdr:rowOff>0</xdr:rowOff>
    </xdr:from>
    <xdr:to>
      <xdr:col>11</xdr:col>
      <xdr:colOff>190499</xdr:colOff>
      <xdr:row>1</xdr:row>
      <xdr:rowOff>120316</xdr:rowOff>
    </xdr:to>
    <xdr:pic>
      <xdr:nvPicPr>
        <xdr:cNvPr id="43" name="Picture 42"/>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5591" t="4726" r="6167" b="11849"/>
        <a:stretch/>
      </xdr:blipFill>
      <xdr:spPr>
        <a:xfrm>
          <a:off x="6497052" y="0"/>
          <a:ext cx="421105" cy="310816"/>
        </a:xfrm>
        <a:prstGeom prst="ellipse">
          <a:avLst/>
        </a:prstGeom>
      </xdr:spPr>
    </xdr:pic>
    <xdr:clientData/>
  </xdr:twoCellAnchor>
  <xdr:twoCellAnchor editAs="oneCell">
    <xdr:from>
      <xdr:col>20</xdr:col>
      <xdr:colOff>230605</xdr:colOff>
      <xdr:row>0</xdr:row>
      <xdr:rowOff>0</xdr:rowOff>
    </xdr:from>
    <xdr:to>
      <xdr:col>21</xdr:col>
      <xdr:colOff>0</xdr:colOff>
      <xdr:row>1</xdr:row>
      <xdr:rowOff>120318</xdr:rowOff>
    </xdr:to>
    <xdr:pic>
      <xdr:nvPicPr>
        <xdr:cNvPr id="65" name="Picture 64"/>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462710" y="0"/>
          <a:ext cx="381001" cy="310818"/>
        </a:xfrm>
        <a:prstGeom prst="ellipse">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cer" refreshedDate="46099.844905324077" createdVersion="6" refreshedVersion="6" minRefreshableVersion="3" recordCount="2000">
  <cacheSource type="worksheet">
    <worksheetSource name="Table1"/>
  </cacheSource>
  <cacheFields count="19">
    <cacheField name="Student_ID" numFmtId="0">
      <sharedItems count="2000">
        <s v="S10000"/>
        <s v="S10001"/>
        <s v="S10002"/>
        <s v="S10003"/>
        <s v="S10004"/>
        <s v="S10005"/>
        <s v="S10006"/>
        <s v="S10007"/>
        <s v="S10008"/>
        <s v="S10009"/>
        <s v="S10010"/>
        <s v="S10011"/>
        <s v="S10012"/>
        <s v="S10013"/>
        <s v="S10014"/>
        <s v="S10015"/>
        <s v="S10016"/>
        <s v="S10017"/>
        <s v="S10018"/>
        <s v="S10019"/>
        <s v="S10020"/>
        <s v="S10021"/>
        <s v="S10022"/>
        <s v="S10023"/>
        <s v="S10024"/>
        <s v="S10025"/>
        <s v="S10026"/>
        <s v="S10027"/>
        <s v="S10028"/>
        <s v="S10029"/>
        <s v="S10030"/>
        <s v="S10031"/>
        <s v="S10032"/>
        <s v="S10033"/>
        <s v="S10034"/>
        <s v="S10035"/>
        <s v="S10036"/>
        <s v="S10037"/>
        <s v="S10038"/>
        <s v="S10039"/>
        <s v="S10040"/>
        <s v="S10041"/>
        <s v="S10042"/>
        <s v="S10043"/>
        <s v="S10044"/>
        <s v="S10045"/>
        <s v="S10046"/>
        <s v="S10047"/>
        <s v="S10048"/>
        <s v="S10049"/>
        <s v="S10050"/>
        <s v="S10051"/>
        <s v="S10052"/>
        <s v="S10053"/>
        <s v="S10054"/>
        <s v="S10055"/>
        <s v="S10056"/>
        <s v="S10057"/>
        <s v="S10058"/>
        <s v="S10059"/>
        <s v="S10060"/>
        <s v="S10061"/>
        <s v="S10062"/>
        <s v="S10063"/>
        <s v="S10064"/>
        <s v="S10065"/>
        <s v="S10066"/>
        <s v="S10067"/>
        <s v="S10068"/>
        <s v="S10069"/>
        <s v="S10070"/>
        <s v="S10071"/>
        <s v="S10072"/>
        <s v="S10073"/>
        <s v="S10074"/>
        <s v="S10075"/>
        <s v="S10076"/>
        <s v="S10077"/>
        <s v="S10078"/>
        <s v="S10079"/>
        <s v="S10080"/>
        <s v="S10081"/>
        <s v="S10082"/>
        <s v="S10083"/>
        <s v="S10084"/>
        <s v="S10085"/>
        <s v="S10086"/>
        <s v="S10087"/>
        <s v="S10088"/>
        <s v="S10089"/>
        <s v="S10090"/>
        <s v="S10091"/>
        <s v="S10092"/>
        <s v="S10093"/>
        <s v="S10094"/>
        <s v="S10095"/>
        <s v="S10096"/>
        <s v="S10097"/>
        <s v="S10098"/>
        <s v="S10099"/>
        <s v="S10100"/>
        <s v="S10101"/>
        <s v="S10102"/>
        <s v="S10103"/>
        <s v="S10104"/>
        <s v="S10105"/>
        <s v="S10106"/>
        <s v="S10107"/>
        <s v="S10108"/>
        <s v="S10109"/>
        <s v="S10110"/>
        <s v="S10111"/>
        <s v="S10112"/>
        <s v="S10113"/>
        <s v="S10114"/>
        <s v="S10115"/>
        <s v="S10116"/>
        <s v="S10117"/>
        <s v="S10118"/>
        <s v="S10119"/>
        <s v="S10120"/>
        <s v="S10121"/>
        <s v="S10122"/>
        <s v="S10123"/>
        <s v="S10124"/>
        <s v="S10125"/>
        <s v="S10126"/>
        <s v="S10127"/>
        <s v="S10128"/>
        <s v="S10129"/>
        <s v="S10130"/>
        <s v="S10131"/>
        <s v="S10132"/>
        <s v="S10133"/>
        <s v="S10134"/>
        <s v="S10135"/>
        <s v="S10136"/>
        <s v="S10137"/>
        <s v="S10138"/>
        <s v="S10139"/>
        <s v="S10140"/>
        <s v="S10141"/>
        <s v="S10142"/>
        <s v="S10143"/>
        <s v="S10144"/>
        <s v="S10145"/>
        <s v="S10146"/>
        <s v="S10147"/>
        <s v="S10148"/>
        <s v="S10149"/>
        <s v="S10150"/>
        <s v="S10151"/>
        <s v="S10152"/>
        <s v="S10153"/>
        <s v="S10154"/>
        <s v="S10155"/>
        <s v="S10156"/>
        <s v="S10157"/>
        <s v="S10158"/>
        <s v="S10159"/>
        <s v="S10160"/>
        <s v="S10161"/>
        <s v="S10162"/>
        <s v="S10163"/>
        <s v="S10164"/>
        <s v="S10165"/>
        <s v="S10166"/>
        <s v="S10167"/>
        <s v="S10168"/>
        <s v="S10169"/>
        <s v="S10170"/>
        <s v="S10171"/>
        <s v="S10172"/>
        <s v="S10173"/>
        <s v="S10174"/>
        <s v="S10175"/>
        <s v="S10176"/>
        <s v="S10177"/>
        <s v="S10178"/>
        <s v="S10179"/>
        <s v="S10180"/>
        <s v="S10181"/>
        <s v="S10182"/>
        <s v="S10183"/>
        <s v="S10184"/>
        <s v="S10185"/>
        <s v="S10186"/>
        <s v="S10187"/>
        <s v="S10188"/>
        <s v="S10189"/>
        <s v="S10190"/>
        <s v="S10191"/>
        <s v="S10192"/>
        <s v="S10193"/>
        <s v="S10194"/>
        <s v="S10195"/>
        <s v="S10196"/>
        <s v="S10197"/>
        <s v="S10198"/>
        <s v="S10199"/>
        <s v="S10200"/>
        <s v="S10201"/>
        <s v="S10202"/>
        <s v="S10203"/>
        <s v="S10204"/>
        <s v="S10205"/>
        <s v="S10206"/>
        <s v="S10207"/>
        <s v="S10208"/>
        <s v="S10209"/>
        <s v="S10210"/>
        <s v="S10211"/>
        <s v="S10212"/>
        <s v="S10213"/>
        <s v="S10214"/>
        <s v="S10215"/>
        <s v="S10216"/>
        <s v="S10217"/>
        <s v="S10218"/>
        <s v="S10219"/>
        <s v="S10220"/>
        <s v="S10221"/>
        <s v="S10222"/>
        <s v="S10223"/>
        <s v="S10224"/>
        <s v="S10225"/>
        <s v="S10226"/>
        <s v="S10227"/>
        <s v="S10228"/>
        <s v="S10229"/>
        <s v="S10230"/>
        <s v="S10231"/>
        <s v="S10232"/>
        <s v="S10233"/>
        <s v="S10234"/>
        <s v="S10235"/>
        <s v="S10236"/>
        <s v="S10237"/>
        <s v="S10238"/>
        <s v="S10239"/>
        <s v="S10240"/>
        <s v="S10241"/>
        <s v="S10242"/>
        <s v="S10243"/>
        <s v="S10244"/>
        <s v="S10245"/>
        <s v="S10246"/>
        <s v="S10247"/>
        <s v="S10248"/>
        <s v="S10249"/>
        <s v="S10250"/>
        <s v="S10251"/>
        <s v="S10252"/>
        <s v="S10253"/>
        <s v="S10254"/>
        <s v="S10255"/>
        <s v="S10256"/>
        <s v="S10257"/>
        <s v="S10258"/>
        <s v="S10259"/>
        <s v="S10260"/>
        <s v="S10261"/>
        <s v="S10262"/>
        <s v="S10263"/>
        <s v="S10264"/>
        <s v="S10265"/>
        <s v="S10266"/>
        <s v="S10267"/>
        <s v="S10268"/>
        <s v="S10269"/>
        <s v="S10270"/>
        <s v="S10271"/>
        <s v="S10272"/>
        <s v="S10273"/>
        <s v="S10274"/>
        <s v="S10275"/>
        <s v="S10276"/>
        <s v="S10277"/>
        <s v="S10278"/>
        <s v="S10279"/>
        <s v="S10280"/>
        <s v="S10281"/>
        <s v="S10282"/>
        <s v="S10283"/>
        <s v="S10284"/>
        <s v="S10285"/>
        <s v="S10286"/>
        <s v="S10287"/>
        <s v="S10288"/>
        <s v="S10289"/>
        <s v="S10290"/>
        <s v="S10291"/>
        <s v="S10292"/>
        <s v="S10293"/>
        <s v="S10294"/>
        <s v="S10295"/>
        <s v="S10296"/>
        <s v="S10297"/>
        <s v="S10298"/>
        <s v="S10299"/>
        <s v="S10300"/>
        <s v="S10301"/>
        <s v="S10302"/>
        <s v="S10303"/>
        <s v="S10304"/>
        <s v="S10305"/>
        <s v="S10306"/>
        <s v="S10307"/>
        <s v="S10308"/>
        <s v="S10309"/>
        <s v="S10310"/>
        <s v="S10311"/>
        <s v="S10312"/>
        <s v="S10313"/>
        <s v="S10314"/>
        <s v="S10315"/>
        <s v="S10316"/>
        <s v="S10317"/>
        <s v="S10318"/>
        <s v="S10319"/>
        <s v="S10320"/>
        <s v="S10321"/>
        <s v="S10322"/>
        <s v="S10323"/>
        <s v="S10324"/>
        <s v="S10325"/>
        <s v="S10326"/>
        <s v="S10327"/>
        <s v="S10328"/>
        <s v="S10329"/>
        <s v="S10330"/>
        <s v="S10331"/>
        <s v="S10332"/>
        <s v="S10333"/>
        <s v="S10334"/>
        <s v="S10335"/>
        <s v="S10336"/>
        <s v="S10337"/>
        <s v="S10338"/>
        <s v="S10339"/>
        <s v="S10340"/>
        <s v="S10341"/>
        <s v="S10342"/>
        <s v="S10343"/>
        <s v="S10344"/>
        <s v="S10345"/>
        <s v="S10346"/>
        <s v="S10347"/>
        <s v="S10348"/>
        <s v="S10349"/>
        <s v="S10350"/>
        <s v="S10351"/>
        <s v="S10352"/>
        <s v="S10353"/>
        <s v="S10354"/>
        <s v="S10355"/>
        <s v="S10356"/>
        <s v="S10357"/>
        <s v="S10358"/>
        <s v="S10359"/>
        <s v="S10360"/>
        <s v="S10361"/>
        <s v="S10362"/>
        <s v="S10363"/>
        <s v="S10364"/>
        <s v="S10365"/>
        <s v="S10366"/>
        <s v="S10367"/>
        <s v="S10368"/>
        <s v="S10369"/>
        <s v="S10370"/>
        <s v="S10371"/>
        <s v="S10372"/>
        <s v="S10373"/>
        <s v="S10374"/>
        <s v="S10375"/>
        <s v="S10376"/>
        <s v="S10377"/>
        <s v="S10378"/>
        <s v="S10379"/>
        <s v="S10380"/>
        <s v="S10381"/>
        <s v="S10382"/>
        <s v="S10383"/>
        <s v="S10384"/>
        <s v="S10385"/>
        <s v="S10386"/>
        <s v="S10387"/>
        <s v="S10388"/>
        <s v="S10389"/>
        <s v="S10390"/>
        <s v="S10391"/>
        <s v="S10392"/>
        <s v="S10393"/>
        <s v="S10394"/>
        <s v="S10395"/>
        <s v="S10396"/>
        <s v="S10397"/>
        <s v="S10398"/>
        <s v="S10399"/>
        <s v="S10400"/>
        <s v="S10401"/>
        <s v="S10402"/>
        <s v="S10403"/>
        <s v="S10404"/>
        <s v="S10405"/>
        <s v="S10406"/>
        <s v="S10407"/>
        <s v="S10408"/>
        <s v="S10409"/>
        <s v="S10410"/>
        <s v="S10411"/>
        <s v="S10412"/>
        <s v="S10413"/>
        <s v="S10414"/>
        <s v="S10415"/>
        <s v="S10416"/>
        <s v="S10417"/>
        <s v="S10418"/>
        <s v="S10419"/>
        <s v="S10420"/>
        <s v="S10421"/>
        <s v="S10422"/>
        <s v="S10423"/>
        <s v="S10424"/>
        <s v="S10425"/>
        <s v="S10426"/>
        <s v="S10427"/>
        <s v="S10428"/>
        <s v="S10429"/>
        <s v="S10430"/>
        <s v="S10431"/>
        <s v="S10432"/>
        <s v="S10433"/>
        <s v="S10434"/>
        <s v="S10435"/>
        <s v="S10436"/>
        <s v="S10437"/>
        <s v="S10438"/>
        <s v="S10439"/>
        <s v="S10440"/>
        <s v="S10441"/>
        <s v="S10442"/>
        <s v="S10443"/>
        <s v="S10444"/>
        <s v="S10445"/>
        <s v="S10446"/>
        <s v="S10447"/>
        <s v="S10448"/>
        <s v="S10449"/>
        <s v="S10450"/>
        <s v="S10451"/>
        <s v="S10452"/>
        <s v="S10453"/>
        <s v="S10454"/>
        <s v="S10455"/>
        <s v="S10456"/>
        <s v="S10457"/>
        <s v="S10458"/>
        <s v="S10459"/>
        <s v="S10460"/>
        <s v="S10461"/>
        <s v="S10462"/>
        <s v="S10463"/>
        <s v="S10464"/>
        <s v="S10465"/>
        <s v="S10466"/>
        <s v="S10467"/>
        <s v="S10468"/>
        <s v="S10469"/>
        <s v="S10470"/>
        <s v="S10471"/>
        <s v="S10472"/>
        <s v="S10473"/>
        <s v="S10474"/>
        <s v="S10475"/>
        <s v="S10476"/>
        <s v="S10477"/>
        <s v="S10478"/>
        <s v="S10479"/>
        <s v="S10480"/>
        <s v="S10481"/>
        <s v="S10482"/>
        <s v="S10483"/>
        <s v="S10484"/>
        <s v="S10485"/>
        <s v="S10486"/>
        <s v="S10487"/>
        <s v="S10488"/>
        <s v="S10489"/>
        <s v="S10490"/>
        <s v="S10491"/>
        <s v="S10492"/>
        <s v="S10493"/>
        <s v="S10494"/>
        <s v="S10495"/>
        <s v="S10496"/>
        <s v="S10497"/>
        <s v="S10498"/>
        <s v="S10499"/>
        <s v="S10500"/>
        <s v="S10501"/>
        <s v="S10502"/>
        <s v="S10503"/>
        <s v="S10504"/>
        <s v="S10505"/>
        <s v="S10506"/>
        <s v="S10507"/>
        <s v="S10508"/>
        <s v="S10509"/>
        <s v="S10510"/>
        <s v="S10511"/>
        <s v="S10512"/>
        <s v="S10513"/>
        <s v="S10514"/>
        <s v="S10515"/>
        <s v="S10516"/>
        <s v="S10517"/>
        <s v="S10518"/>
        <s v="S10519"/>
        <s v="S10520"/>
        <s v="S10521"/>
        <s v="S10522"/>
        <s v="S10523"/>
        <s v="S10524"/>
        <s v="S10525"/>
        <s v="S10526"/>
        <s v="S10527"/>
        <s v="S10528"/>
        <s v="S10529"/>
        <s v="S10530"/>
        <s v="S10531"/>
        <s v="S10532"/>
        <s v="S10533"/>
        <s v="S10534"/>
        <s v="S10535"/>
        <s v="S10536"/>
        <s v="S10537"/>
        <s v="S10538"/>
        <s v="S10539"/>
        <s v="S10540"/>
        <s v="S10541"/>
        <s v="S10542"/>
        <s v="S10543"/>
        <s v="S10544"/>
        <s v="S10545"/>
        <s v="S10546"/>
        <s v="S10547"/>
        <s v="S10548"/>
        <s v="S10549"/>
        <s v="S10550"/>
        <s v="S10551"/>
        <s v="S10552"/>
        <s v="S10553"/>
        <s v="S10554"/>
        <s v="S10555"/>
        <s v="S10556"/>
        <s v="S10557"/>
        <s v="S10558"/>
        <s v="S10559"/>
        <s v="S10560"/>
        <s v="S10561"/>
        <s v="S10562"/>
        <s v="S10563"/>
        <s v="S10564"/>
        <s v="S10565"/>
        <s v="S10566"/>
        <s v="S10567"/>
        <s v="S10568"/>
        <s v="S10569"/>
        <s v="S10570"/>
        <s v="S10571"/>
        <s v="S10572"/>
        <s v="S10573"/>
        <s v="S10574"/>
        <s v="S10575"/>
        <s v="S10576"/>
        <s v="S10577"/>
        <s v="S10578"/>
        <s v="S10579"/>
        <s v="S10580"/>
        <s v="S10581"/>
        <s v="S10582"/>
        <s v="S10583"/>
        <s v="S10584"/>
        <s v="S10585"/>
        <s v="S10586"/>
        <s v="S10587"/>
        <s v="S10588"/>
        <s v="S10589"/>
        <s v="S10590"/>
        <s v="S10591"/>
        <s v="S10592"/>
        <s v="S10593"/>
        <s v="S10594"/>
        <s v="S10595"/>
        <s v="S10596"/>
        <s v="S10597"/>
        <s v="S10598"/>
        <s v="S10599"/>
        <s v="S10600"/>
        <s v="S10601"/>
        <s v="S10602"/>
        <s v="S10603"/>
        <s v="S10604"/>
        <s v="S10605"/>
        <s v="S10606"/>
        <s v="S10607"/>
        <s v="S10608"/>
        <s v="S10609"/>
        <s v="S10610"/>
        <s v="S10611"/>
        <s v="S10612"/>
        <s v="S10613"/>
        <s v="S10614"/>
        <s v="S10615"/>
        <s v="S10616"/>
        <s v="S10617"/>
        <s v="S10618"/>
        <s v="S10619"/>
        <s v="S10620"/>
        <s v="S10621"/>
        <s v="S10622"/>
        <s v="S10623"/>
        <s v="S10624"/>
        <s v="S10625"/>
        <s v="S10626"/>
        <s v="S10627"/>
        <s v="S10628"/>
        <s v="S10629"/>
        <s v="S10630"/>
        <s v="S10631"/>
        <s v="S10632"/>
        <s v="S10633"/>
        <s v="S10634"/>
        <s v="S10635"/>
        <s v="S10636"/>
        <s v="S10637"/>
        <s v="S10638"/>
        <s v="S10639"/>
        <s v="S10640"/>
        <s v="S10641"/>
        <s v="S10642"/>
        <s v="S10643"/>
        <s v="S10644"/>
        <s v="S10645"/>
        <s v="S10646"/>
        <s v="S10647"/>
        <s v="S10648"/>
        <s v="S10649"/>
        <s v="S10650"/>
        <s v="S10651"/>
        <s v="S10652"/>
        <s v="S10653"/>
        <s v="S10654"/>
        <s v="S10655"/>
        <s v="S10656"/>
        <s v="S10657"/>
        <s v="S10658"/>
        <s v="S10659"/>
        <s v="S10660"/>
        <s v="S10661"/>
        <s v="S10662"/>
        <s v="S10663"/>
        <s v="S10664"/>
        <s v="S10665"/>
        <s v="S10666"/>
        <s v="S10667"/>
        <s v="S10668"/>
        <s v="S10669"/>
        <s v="S10670"/>
        <s v="S10671"/>
        <s v="S10672"/>
        <s v="S10673"/>
        <s v="S10674"/>
        <s v="S10675"/>
        <s v="S10676"/>
        <s v="S10677"/>
        <s v="S10678"/>
        <s v="S10679"/>
        <s v="S10680"/>
        <s v="S10681"/>
        <s v="S10682"/>
        <s v="S10683"/>
        <s v="S10684"/>
        <s v="S10685"/>
        <s v="S10686"/>
        <s v="S10687"/>
        <s v="S10688"/>
        <s v="S10689"/>
        <s v="S10690"/>
        <s v="S10691"/>
        <s v="S10692"/>
        <s v="S10693"/>
        <s v="S10694"/>
        <s v="S10695"/>
        <s v="S10696"/>
        <s v="S10697"/>
        <s v="S10698"/>
        <s v="S10699"/>
        <s v="S10700"/>
        <s v="S10701"/>
        <s v="S10702"/>
        <s v="S10703"/>
        <s v="S10704"/>
        <s v="S10705"/>
        <s v="S10706"/>
        <s v="S10707"/>
        <s v="S10708"/>
        <s v="S10709"/>
        <s v="S10710"/>
        <s v="S10711"/>
        <s v="S10712"/>
        <s v="S10713"/>
        <s v="S10714"/>
        <s v="S10715"/>
        <s v="S10716"/>
        <s v="S10717"/>
        <s v="S10718"/>
        <s v="S10719"/>
        <s v="S10720"/>
        <s v="S10721"/>
        <s v="S10722"/>
        <s v="S10723"/>
        <s v="S10724"/>
        <s v="S10725"/>
        <s v="S10726"/>
        <s v="S10727"/>
        <s v="S10728"/>
        <s v="S10729"/>
        <s v="S10730"/>
        <s v="S10731"/>
        <s v="S10732"/>
        <s v="S10733"/>
        <s v="S10734"/>
        <s v="S10735"/>
        <s v="S10736"/>
        <s v="S10737"/>
        <s v="S10738"/>
        <s v="S10739"/>
        <s v="S10740"/>
        <s v="S10741"/>
        <s v="S10742"/>
        <s v="S10743"/>
        <s v="S10744"/>
        <s v="S10745"/>
        <s v="S10746"/>
        <s v="S10747"/>
        <s v="S10748"/>
        <s v="S10749"/>
        <s v="S10750"/>
        <s v="S10751"/>
        <s v="S10752"/>
        <s v="S10753"/>
        <s v="S10754"/>
        <s v="S10755"/>
        <s v="S10756"/>
        <s v="S10757"/>
        <s v="S10758"/>
        <s v="S10759"/>
        <s v="S10760"/>
        <s v="S10761"/>
        <s v="S10762"/>
        <s v="S10763"/>
        <s v="S10764"/>
        <s v="S10765"/>
        <s v="S10766"/>
        <s v="S10767"/>
        <s v="S10768"/>
        <s v="S10769"/>
        <s v="S10770"/>
        <s v="S10771"/>
        <s v="S10772"/>
        <s v="S10773"/>
        <s v="S10774"/>
        <s v="S10775"/>
        <s v="S10776"/>
        <s v="S10777"/>
        <s v="S10778"/>
        <s v="S10779"/>
        <s v="S10780"/>
        <s v="S10781"/>
        <s v="S10782"/>
        <s v="S10783"/>
        <s v="S10784"/>
        <s v="S10785"/>
        <s v="S10786"/>
        <s v="S10787"/>
        <s v="S10788"/>
        <s v="S10789"/>
        <s v="S10790"/>
        <s v="S10791"/>
        <s v="S10792"/>
        <s v="S10793"/>
        <s v="S10794"/>
        <s v="S10795"/>
        <s v="S10796"/>
        <s v="S10797"/>
        <s v="S10798"/>
        <s v="S10799"/>
        <s v="S10800"/>
        <s v="S10801"/>
        <s v="S10802"/>
        <s v="S10803"/>
        <s v="S10804"/>
        <s v="S10805"/>
        <s v="S10806"/>
        <s v="S10807"/>
        <s v="S10808"/>
        <s v="S10809"/>
        <s v="S10810"/>
        <s v="S10811"/>
        <s v="S10812"/>
        <s v="S10813"/>
        <s v="S10814"/>
        <s v="S10815"/>
        <s v="S10816"/>
        <s v="S10817"/>
        <s v="S10818"/>
        <s v="S10819"/>
        <s v="S10820"/>
        <s v="S10821"/>
        <s v="S10822"/>
        <s v="S10823"/>
        <s v="S10824"/>
        <s v="S10825"/>
        <s v="S10826"/>
        <s v="S10827"/>
        <s v="S10828"/>
        <s v="S10829"/>
        <s v="S10830"/>
        <s v="S10831"/>
        <s v="S10832"/>
        <s v="S10833"/>
        <s v="S10834"/>
        <s v="S10835"/>
        <s v="S10836"/>
        <s v="S10837"/>
        <s v="S10838"/>
        <s v="S10839"/>
        <s v="S10840"/>
        <s v="S10841"/>
        <s v="S10842"/>
        <s v="S10843"/>
        <s v="S10844"/>
        <s v="S10845"/>
        <s v="S10846"/>
        <s v="S10847"/>
        <s v="S10848"/>
        <s v="S10849"/>
        <s v="S10850"/>
        <s v="S10851"/>
        <s v="S10852"/>
        <s v="S10853"/>
        <s v="S10854"/>
        <s v="S10855"/>
        <s v="S10856"/>
        <s v="S10857"/>
        <s v="S10858"/>
        <s v="S10859"/>
        <s v="S10860"/>
        <s v="S10861"/>
        <s v="S10862"/>
        <s v="S10863"/>
        <s v="S10864"/>
        <s v="S10865"/>
        <s v="S10866"/>
        <s v="S10867"/>
        <s v="S10868"/>
        <s v="S10869"/>
        <s v="S10870"/>
        <s v="S10871"/>
        <s v="S10872"/>
        <s v="S10873"/>
        <s v="S10874"/>
        <s v="S10875"/>
        <s v="S10876"/>
        <s v="S10877"/>
        <s v="S10878"/>
        <s v="S10879"/>
        <s v="S10880"/>
        <s v="S10881"/>
        <s v="S10882"/>
        <s v="S10883"/>
        <s v="S10884"/>
        <s v="S10885"/>
        <s v="S10886"/>
        <s v="S10887"/>
        <s v="S10888"/>
        <s v="S10889"/>
        <s v="S10890"/>
        <s v="S10891"/>
        <s v="S10892"/>
        <s v="S10893"/>
        <s v="S10894"/>
        <s v="S10895"/>
        <s v="S10896"/>
        <s v="S10897"/>
        <s v="S10898"/>
        <s v="S10899"/>
        <s v="S10900"/>
        <s v="S10901"/>
        <s v="S10902"/>
        <s v="S10903"/>
        <s v="S10904"/>
        <s v="S10905"/>
        <s v="S10906"/>
        <s v="S10907"/>
        <s v="S10908"/>
        <s v="S10909"/>
        <s v="S10910"/>
        <s v="S10911"/>
        <s v="S10912"/>
        <s v="S10913"/>
        <s v="S10914"/>
        <s v="S10915"/>
        <s v="S10916"/>
        <s v="S10917"/>
        <s v="S10918"/>
        <s v="S10919"/>
        <s v="S10920"/>
        <s v="S10921"/>
        <s v="S10922"/>
        <s v="S10923"/>
        <s v="S10924"/>
        <s v="S10925"/>
        <s v="S10926"/>
        <s v="S10927"/>
        <s v="S10928"/>
        <s v="S10929"/>
        <s v="S10930"/>
        <s v="S10931"/>
        <s v="S10932"/>
        <s v="S10933"/>
        <s v="S10934"/>
        <s v="S10935"/>
        <s v="S10936"/>
        <s v="S10937"/>
        <s v="S10938"/>
        <s v="S10939"/>
        <s v="S10940"/>
        <s v="S10941"/>
        <s v="S10942"/>
        <s v="S10943"/>
        <s v="S10944"/>
        <s v="S10945"/>
        <s v="S10946"/>
        <s v="S10947"/>
        <s v="S10948"/>
        <s v="S10949"/>
        <s v="S10950"/>
        <s v="S10951"/>
        <s v="S10952"/>
        <s v="S10953"/>
        <s v="S10954"/>
        <s v="S10955"/>
        <s v="S10956"/>
        <s v="S10957"/>
        <s v="S10958"/>
        <s v="S10959"/>
        <s v="S10960"/>
        <s v="S10961"/>
        <s v="S10962"/>
        <s v="S10963"/>
        <s v="S10964"/>
        <s v="S10965"/>
        <s v="S10966"/>
        <s v="S10967"/>
        <s v="S10968"/>
        <s v="S10969"/>
        <s v="S10970"/>
        <s v="S10971"/>
        <s v="S10972"/>
        <s v="S10973"/>
        <s v="S10974"/>
        <s v="S10975"/>
        <s v="S10976"/>
        <s v="S10977"/>
        <s v="S10978"/>
        <s v="S10979"/>
        <s v="S10980"/>
        <s v="S10981"/>
        <s v="S10982"/>
        <s v="S10983"/>
        <s v="S10984"/>
        <s v="S10985"/>
        <s v="S10986"/>
        <s v="S10987"/>
        <s v="S10988"/>
        <s v="S10989"/>
        <s v="S10990"/>
        <s v="S10991"/>
        <s v="S10992"/>
        <s v="S10993"/>
        <s v="S10994"/>
        <s v="S10995"/>
        <s v="S10996"/>
        <s v="S10997"/>
        <s v="S10998"/>
        <s v="S10999"/>
        <s v="S11000"/>
        <s v="S11001"/>
        <s v="S11002"/>
        <s v="S11003"/>
        <s v="S11004"/>
        <s v="S11005"/>
        <s v="S11006"/>
        <s v="S11007"/>
        <s v="S11008"/>
        <s v="S11009"/>
        <s v="S11010"/>
        <s v="S11011"/>
        <s v="S11012"/>
        <s v="S11013"/>
        <s v="S11014"/>
        <s v="S11015"/>
        <s v="S11016"/>
        <s v="S11017"/>
        <s v="S11018"/>
        <s v="S11019"/>
        <s v="S11020"/>
        <s v="S11021"/>
        <s v="S11022"/>
        <s v="S11023"/>
        <s v="S11024"/>
        <s v="S11025"/>
        <s v="S11026"/>
        <s v="S11027"/>
        <s v="S11028"/>
        <s v="S11029"/>
        <s v="S11030"/>
        <s v="S11031"/>
        <s v="S11032"/>
        <s v="S11033"/>
        <s v="S11034"/>
        <s v="S11035"/>
        <s v="S11036"/>
        <s v="S11037"/>
        <s v="S11038"/>
        <s v="S11039"/>
        <s v="S11040"/>
        <s v="S11041"/>
        <s v="S11042"/>
        <s v="S11043"/>
        <s v="S11044"/>
        <s v="S11045"/>
        <s v="S11046"/>
        <s v="S11047"/>
        <s v="S11048"/>
        <s v="S11049"/>
        <s v="S11050"/>
        <s v="S11051"/>
        <s v="S11052"/>
        <s v="S11053"/>
        <s v="S11054"/>
        <s v="S11055"/>
        <s v="S11056"/>
        <s v="S11057"/>
        <s v="S11058"/>
        <s v="S11059"/>
        <s v="S11060"/>
        <s v="S11061"/>
        <s v="S11062"/>
        <s v="S11063"/>
        <s v="S11064"/>
        <s v="S11065"/>
        <s v="S11066"/>
        <s v="S11067"/>
        <s v="S11068"/>
        <s v="S11069"/>
        <s v="S11070"/>
        <s v="S11071"/>
        <s v="S11072"/>
        <s v="S11073"/>
        <s v="S11074"/>
        <s v="S11075"/>
        <s v="S11076"/>
        <s v="S11077"/>
        <s v="S11078"/>
        <s v="S11079"/>
        <s v="S11080"/>
        <s v="S11081"/>
        <s v="S11082"/>
        <s v="S11083"/>
        <s v="S11084"/>
        <s v="S11085"/>
        <s v="S11086"/>
        <s v="S11087"/>
        <s v="S11088"/>
        <s v="S11089"/>
        <s v="S11090"/>
        <s v="S11091"/>
        <s v="S11092"/>
        <s v="S11093"/>
        <s v="S11094"/>
        <s v="S11095"/>
        <s v="S11096"/>
        <s v="S11097"/>
        <s v="S11098"/>
        <s v="S11099"/>
        <s v="S11100"/>
        <s v="S11101"/>
        <s v="S11102"/>
        <s v="S11103"/>
        <s v="S11104"/>
        <s v="S11105"/>
        <s v="S11106"/>
        <s v="S11107"/>
        <s v="S11108"/>
        <s v="S11109"/>
        <s v="S11110"/>
        <s v="S11111"/>
        <s v="S11112"/>
        <s v="S11113"/>
        <s v="S11114"/>
        <s v="S11115"/>
        <s v="S11116"/>
        <s v="S11117"/>
        <s v="S11118"/>
        <s v="S11119"/>
        <s v="S11120"/>
        <s v="S11121"/>
        <s v="S11122"/>
        <s v="S11123"/>
        <s v="S11124"/>
        <s v="S11125"/>
        <s v="S11126"/>
        <s v="S11127"/>
        <s v="S11128"/>
        <s v="S11129"/>
        <s v="S11130"/>
        <s v="S11131"/>
        <s v="S11132"/>
        <s v="S11133"/>
        <s v="S11134"/>
        <s v="S11135"/>
        <s v="S11136"/>
        <s v="S11137"/>
        <s v="S11138"/>
        <s v="S11139"/>
        <s v="S11140"/>
        <s v="S11141"/>
        <s v="S11142"/>
        <s v="S11143"/>
        <s v="S11144"/>
        <s v="S11145"/>
        <s v="S11146"/>
        <s v="S11147"/>
        <s v="S11148"/>
        <s v="S11149"/>
        <s v="S11150"/>
        <s v="S11151"/>
        <s v="S11152"/>
        <s v="S11153"/>
        <s v="S11154"/>
        <s v="S11155"/>
        <s v="S11156"/>
        <s v="S11157"/>
        <s v="S11158"/>
        <s v="S11159"/>
        <s v="S11160"/>
        <s v="S11161"/>
        <s v="S11162"/>
        <s v="S11163"/>
        <s v="S11164"/>
        <s v="S11165"/>
        <s v="S11166"/>
        <s v="S11167"/>
        <s v="S11168"/>
        <s v="S11169"/>
        <s v="S11170"/>
        <s v="S11171"/>
        <s v="S11172"/>
        <s v="S11173"/>
        <s v="S11174"/>
        <s v="S11175"/>
        <s v="S11176"/>
        <s v="S11177"/>
        <s v="S11178"/>
        <s v="S11179"/>
        <s v="S11180"/>
        <s v="S11181"/>
        <s v="S11182"/>
        <s v="S11183"/>
        <s v="S11184"/>
        <s v="S11185"/>
        <s v="S11186"/>
        <s v="S11187"/>
        <s v="S11188"/>
        <s v="S11189"/>
        <s v="S11190"/>
        <s v="S11191"/>
        <s v="S11192"/>
        <s v="S11193"/>
        <s v="S11194"/>
        <s v="S11195"/>
        <s v="S11196"/>
        <s v="S11197"/>
        <s v="S11198"/>
        <s v="S11199"/>
        <s v="S11200"/>
        <s v="S11201"/>
        <s v="S11202"/>
        <s v="S11203"/>
        <s v="S11204"/>
        <s v="S11205"/>
        <s v="S11206"/>
        <s v="S11207"/>
        <s v="S11208"/>
        <s v="S11209"/>
        <s v="S11210"/>
        <s v="S11211"/>
        <s v="S11212"/>
        <s v="S11213"/>
        <s v="S11214"/>
        <s v="S11215"/>
        <s v="S11216"/>
        <s v="S11217"/>
        <s v="S11218"/>
        <s v="S11219"/>
        <s v="S11220"/>
        <s v="S11221"/>
        <s v="S11222"/>
        <s v="S11223"/>
        <s v="S11224"/>
        <s v="S11225"/>
        <s v="S11226"/>
        <s v="S11227"/>
        <s v="S11228"/>
        <s v="S11229"/>
        <s v="S11230"/>
        <s v="S11231"/>
        <s v="S11232"/>
        <s v="S11233"/>
        <s v="S11234"/>
        <s v="S11235"/>
        <s v="S11236"/>
        <s v="S11237"/>
        <s v="S11238"/>
        <s v="S11239"/>
        <s v="S11240"/>
        <s v="S11241"/>
        <s v="S11242"/>
        <s v="S11243"/>
        <s v="S11244"/>
        <s v="S11245"/>
        <s v="S11246"/>
        <s v="S11247"/>
        <s v="S11248"/>
        <s v="S11249"/>
        <s v="S11250"/>
        <s v="S11251"/>
        <s v="S11252"/>
        <s v="S11253"/>
        <s v="S11254"/>
        <s v="S11255"/>
        <s v="S11256"/>
        <s v="S11257"/>
        <s v="S11258"/>
        <s v="S11259"/>
        <s v="S11260"/>
        <s v="S11261"/>
        <s v="S11262"/>
        <s v="S11263"/>
        <s v="S11264"/>
        <s v="S11265"/>
        <s v="S11266"/>
        <s v="S11267"/>
        <s v="S11268"/>
        <s v="S11269"/>
        <s v="S11270"/>
        <s v="S11271"/>
        <s v="S11272"/>
        <s v="S11273"/>
        <s v="S11274"/>
        <s v="S11275"/>
        <s v="S11276"/>
        <s v="S11277"/>
        <s v="S11278"/>
        <s v="S11279"/>
        <s v="S11280"/>
        <s v="S11281"/>
        <s v="S11282"/>
        <s v="S11283"/>
        <s v="S11284"/>
        <s v="S11285"/>
        <s v="S11286"/>
        <s v="S11287"/>
        <s v="S11288"/>
        <s v="S11289"/>
        <s v="S11290"/>
        <s v="S11291"/>
        <s v="S11292"/>
        <s v="S11293"/>
        <s v="S11294"/>
        <s v="S11295"/>
        <s v="S11296"/>
        <s v="S11297"/>
        <s v="S11298"/>
        <s v="S11299"/>
        <s v="S11300"/>
        <s v="S11301"/>
        <s v="S11302"/>
        <s v="S11303"/>
        <s v="S11304"/>
        <s v="S11305"/>
        <s v="S11306"/>
        <s v="S11307"/>
        <s v="S11308"/>
        <s v="S11309"/>
        <s v="S11310"/>
        <s v="S11311"/>
        <s v="S11312"/>
        <s v="S11313"/>
        <s v="S11314"/>
        <s v="S11315"/>
        <s v="S11316"/>
        <s v="S11317"/>
        <s v="S11318"/>
        <s v="S11319"/>
        <s v="S11320"/>
        <s v="S11321"/>
        <s v="S11322"/>
        <s v="S11323"/>
        <s v="S11324"/>
        <s v="S11325"/>
        <s v="S11326"/>
        <s v="S11327"/>
        <s v="S11328"/>
        <s v="S11329"/>
        <s v="S11330"/>
        <s v="S11331"/>
        <s v="S11332"/>
        <s v="S11333"/>
        <s v="S11334"/>
        <s v="S11335"/>
        <s v="S11336"/>
        <s v="S11337"/>
        <s v="S11338"/>
        <s v="S11339"/>
        <s v="S11340"/>
        <s v="S11341"/>
        <s v="S11342"/>
        <s v="S11343"/>
        <s v="S11344"/>
        <s v="S11345"/>
        <s v="S11346"/>
        <s v="S11347"/>
        <s v="S11348"/>
        <s v="S11349"/>
        <s v="S11350"/>
        <s v="S11351"/>
        <s v="S11352"/>
        <s v="S11353"/>
        <s v="S11354"/>
        <s v="S11355"/>
        <s v="S11356"/>
        <s v="S11357"/>
        <s v="S11358"/>
        <s v="S11359"/>
        <s v="S11360"/>
        <s v="S11361"/>
        <s v="S11362"/>
        <s v="S11363"/>
        <s v="S11364"/>
        <s v="S11365"/>
        <s v="S11366"/>
        <s v="S11367"/>
        <s v="S11368"/>
        <s v="S11369"/>
        <s v="S11370"/>
        <s v="S11371"/>
        <s v="S11372"/>
        <s v="S11373"/>
        <s v="S11374"/>
        <s v="S11375"/>
        <s v="S11376"/>
        <s v="S11377"/>
        <s v="S11378"/>
        <s v="S11379"/>
        <s v="S11380"/>
        <s v="S11381"/>
        <s v="S11382"/>
        <s v="S11383"/>
        <s v="S11384"/>
        <s v="S11385"/>
        <s v="S11386"/>
        <s v="S11387"/>
        <s v="S11388"/>
        <s v="S11389"/>
        <s v="S11390"/>
        <s v="S11391"/>
        <s v="S11392"/>
        <s v="S11393"/>
        <s v="S11394"/>
        <s v="S11395"/>
        <s v="S11396"/>
        <s v="S11397"/>
        <s v="S11398"/>
        <s v="S11399"/>
        <s v="S11400"/>
        <s v="S11401"/>
        <s v="S11402"/>
        <s v="S11403"/>
        <s v="S11404"/>
        <s v="S11405"/>
        <s v="S11406"/>
        <s v="S11407"/>
        <s v="S11408"/>
        <s v="S11409"/>
        <s v="S11410"/>
        <s v="S11411"/>
        <s v="S11412"/>
        <s v="S11413"/>
        <s v="S11414"/>
        <s v="S11415"/>
        <s v="S11416"/>
        <s v="S11417"/>
        <s v="S11418"/>
        <s v="S11419"/>
        <s v="S11420"/>
        <s v="S11421"/>
        <s v="S11422"/>
        <s v="S11423"/>
        <s v="S11424"/>
        <s v="S11425"/>
        <s v="S11426"/>
        <s v="S11427"/>
        <s v="S11428"/>
        <s v="S11429"/>
        <s v="S11430"/>
        <s v="S11431"/>
        <s v="S11432"/>
        <s v="S11433"/>
        <s v="S11434"/>
        <s v="S11435"/>
        <s v="S11436"/>
        <s v="S11437"/>
        <s v="S11438"/>
        <s v="S11439"/>
        <s v="S11440"/>
        <s v="S11441"/>
        <s v="S11442"/>
        <s v="S11443"/>
        <s v="S11444"/>
        <s v="S11445"/>
        <s v="S11446"/>
        <s v="S11447"/>
        <s v="S11448"/>
        <s v="S11449"/>
        <s v="S11450"/>
        <s v="S11451"/>
        <s v="S11452"/>
        <s v="S11453"/>
        <s v="S11454"/>
        <s v="S11455"/>
        <s v="S11456"/>
        <s v="S11457"/>
        <s v="S11458"/>
        <s v="S11459"/>
        <s v="S11460"/>
        <s v="S11461"/>
        <s v="S11462"/>
        <s v="S11463"/>
        <s v="S11464"/>
        <s v="S11465"/>
        <s v="S11466"/>
        <s v="S11467"/>
        <s v="S11468"/>
        <s v="S11469"/>
        <s v="S11470"/>
        <s v="S11471"/>
        <s v="S11472"/>
        <s v="S11473"/>
        <s v="S11474"/>
        <s v="S11475"/>
        <s v="S11476"/>
        <s v="S11477"/>
        <s v="S11478"/>
        <s v="S11479"/>
        <s v="S11480"/>
        <s v="S11481"/>
        <s v="S11482"/>
        <s v="S11483"/>
        <s v="S11484"/>
        <s v="S11485"/>
        <s v="S11486"/>
        <s v="S11487"/>
        <s v="S11488"/>
        <s v="S11489"/>
        <s v="S11490"/>
        <s v="S11491"/>
        <s v="S11492"/>
        <s v="S11493"/>
        <s v="S11494"/>
        <s v="S11495"/>
        <s v="S11496"/>
        <s v="S11497"/>
        <s v="S11498"/>
        <s v="S11499"/>
        <s v="S11500"/>
        <s v="S11501"/>
        <s v="S11502"/>
        <s v="S11503"/>
        <s v="S11504"/>
        <s v="S11505"/>
        <s v="S11506"/>
        <s v="S11507"/>
        <s v="S11508"/>
        <s v="S11509"/>
        <s v="S11510"/>
        <s v="S11511"/>
        <s v="S11512"/>
        <s v="S11513"/>
        <s v="S11514"/>
        <s v="S11515"/>
        <s v="S11516"/>
        <s v="S11517"/>
        <s v="S11518"/>
        <s v="S11519"/>
        <s v="S11520"/>
        <s v="S11521"/>
        <s v="S11522"/>
        <s v="S11523"/>
        <s v="S11524"/>
        <s v="S11525"/>
        <s v="S11526"/>
        <s v="S11527"/>
        <s v="S11528"/>
        <s v="S11529"/>
        <s v="S11530"/>
        <s v="S11531"/>
        <s v="S11532"/>
        <s v="S11533"/>
        <s v="S11534"/>
        <s v="S11535"/>
        <s v="S11536"/>
        <s v="S11537"/>
        <s v="S11538"/>
        <s v="S11539"/>
        <s v="S11540"/>
        <s v="S11541"/>
        <s v="S11542"/>
        <s v="S11543"/>
        <s v="S11544"/>
        <s v="S11545"/>
        <s v="S11546"/>
        <s v="S11547"/>
        <s v="S11548"/>
        <s v="S11549"/>
        <s v="S11550"/>
        <s v="S11551"/>
        <s v="S11552"/>
        <s v="S11553"/>
        <s v="S11554"/>
        <s v="S11555"/>
        <s v="S11556"/>
        <s v="S11557"/>
        <s v="S11558"/>
        <s v="S11559"/>
        <s v="S11560"/>
        <s v="S11561"/>
        <s v="S11562"/>
        <s v="S11563"/>
        <s v="S11564"/>
        <s v="S11565"/>
        <s v="S11566"/>
        <s v="S11567"/>
        <s v="S11568"/>
        <s v="S11569"/>
        <s v="S11570"/>
        <s v="S11571"/>
        <s v="S11572"/>
        <s v="S11573"/>
        <s v="S11574"/>
        <s v="S11575"/>
        <s v="S11576"/>
        <s v="S11577"/>
        <s v="S11578"/>
        <s v="S11579"/>
        <s v="S11580"/>
        <s v="S11581"/>
        <s v="S11582"/>
        <s v="S11583"/>
        <s v="S11584"/>
        <s v="S11585"/>
        <s v="S11586"/>
        <s v="S11587"/>
        <s v="S11588"/>
        <s v="S11589"/>
        <s v="S11590"/>
        <s v="S11591"/>
        <s v="S11592"/>
        <s v="S11593"/>
        <s v="S11594"/>
        <s v="S11595"/>
        <s v="S11596"/>
        <s v="S11597"/>
        <s v="S11598"/>
        <s v="S11599"/>
        <s v="S11600"/>
        <s v="S11601"/>
        <s v="S11602"/>
        <s v="S11603"/>
        <s v="S11604"/>
        <s v="S11605"/>
        <s v="S11606"/>
        <s v="S11607"/>
        <s v="S11608"/>
        <s v="S11609"/>
        <s v="S11610"/>
        <s v="S11611"/>
        <s v="S11612"/>
        <s v="S11613"/>
        <s v="S11614"/>
        <s v="S11615"/>
        <s v="S11616"/>
        <s v="S11617"/>
        <s v="S11618"/>
        <s v="S11619"/>
        <s v="S11620"/>
        <s v="S11621"/>
        <s v="S11622"/>
        <s v="S11623"/>
        <s v="S11624"/>
        <s v="S11625"/>
        <s v="S11626"/>
        <s v="S11627"/>
        <s v="S11628"/>
        <s v="S11629"/>
        <s v="S11630"/>
        <s v="S11631"/>
        <s v="S11632"/>
        <s v="S11633"/>
        <s v="S11634"/>
        <s v="S11635"/>
        <s v="S11636"/>
        <s v="S11637"/>
        <s v="S11638"/>
        <s v="S11639"/>
        <s v="S11640"/>
        <s v="S11641"/>
        <s v="S11642"/>
        <s v="S11643"/>
        <s v="S11644"/>
        <s v="S11645"/>
        <s v="S11646"/>
        <s v="S11647"/>
        <s v="S11648"/>
        <s v="S11649"/>
        <s v="S11650"/>
        <s v="S11651"/>
        <s v="S11652"/>
        <s v="S11653"/>
        <s v="S11654"/>
        <s v="S11655"/>
        <s v="S11656"/>
        <s v="S11657"/>
        <s v="S11658"/>
        <s v="S11659"/>
        <s v="S11660"/>
        <s v="S11661"/>
        <s v="S11662"/>
        <s v="S11663"/>
        <s v="S11664"/>
        <s v="S11665"/>
        <s v="S11666"/>
        <s v="S11667"/>
        <s v="S11668"/>
        <s v="S11669"/>
        <s v="S11670"/>
        <s v="S11671"/>
        <s v="S11672"/>
        <s v="S11673"/>
        <s v="S11674"/>
        <s v="S11675"/>
        <s v="S11676"/>
        <s v="S11677"/>
        <s v="S11678"/>
        <s v="S11679"/>
        <s v="S11680"/>
        <s v="S11681"/>
        <s v="S11682"/>
        <s v="S11683"/>
        <s v="S11684"/>
        <s v="S11685"/>
        <s v="S11686"/>
        <s v="S11687"/>
        <s v="S11688"/>
        <s v="S11689"/>
        <s v="S11690"/>
        <s v="S11691"/>
        <s v="S11692"/>
        <s v="S11693"/>
        <s v="S11694"/>
        <s v="S11695"/>
        <s v="S11696"/>
        <s v="S11697"/>
        <s v="S11698"/>
        <s v="S11699"/>
        <s v="S11700"/>
        <s v="S11701"/>
        <s v="S11702"/>
        <s v="S11703"/>
        <s v="S11704"/>
        <s v="S11705"/>
        <s v="S11706"/>
        <s v="S11707"/>
        <s v="S11708"/>
        <s v="S11709"/>
        <s v="S11710"/>
        <s v="S11711"/>
        <s v="S11712"/>
        <s v="S11713"/>
        <s v="S11714"/>
        <s v="S11715"/>
        <s v="S11716"/>
        <s v="S11717"/>
        <s v="S11718"/>
        <s v="S11719"/>
        <s v="S11720"/>
        <s v="S11721"/>
        <s v="S11722"/>
        <s v="S11723"/>
        <s v="S11724"/>
        <s v="S11725"/>
        <s v="S11726"/>
        <s v="S11727"/>
        <s v="S11728"/>
        <s v="S11729"/>
        <s v="S11730"/>
        <s v="S11731"/>
        <s v="S11732"/>
        <s v="S11733"/>
        <s v="S11734"/>
        <s v="S11735"/>
        <s v="S11736"/>
        <s v="S11737"/>
        <s v="S11738"/>
        <s v="S11739"/>
        <s v="S11740"/>
        <s v="S11741"/>
        <s v="S11742"/>
        <s v="S11743"/>
        <s v="S11744"/>
        <s v="S11745"/>
        <s v="S11746"/>
        <s v="S11747"/>
        <s v="S11748"/>
        <s v="S11749"/>
        <s v="S11750"/>
        <s v="S11751"/>
        <s v="S11752"/>
        <s v="S11753"/>
        <s v="S11754"/>
        <s v="S11755"/>
        <s v="S11756"/>
        <s v="S11757"/>
        <s v="S11758"/>
        <s v="S11759"/>
        <s v="S11760"/>
        <s v="S11761"/>
        <s v="S11762"/>
        <s v="S11763"/>
        <s v="S11764"/>
        <s v="S11765"/>
        <s v="S11766"/>
        <s v="S11767"/>
        <s v="S11768"/>
        <s v="S11769"/>
        <s v="S11770"/>
        <s v="S11771"/>
        <s v="S11772"/>
        <s v="S11773"/>
        <s v="S11774"/>
        <s v="S11775"/>
        <s v="S11776"/>
        <s v="S11777"/>
        <s v="S11778"/>
        <s v="S11779"/>
        <s v="S11780"/>
        <s v="S11781"/>
        <s v="S11782"/>
        <s v="S11783"/>
        <s v="S11784"/>
        <s v="S11785"/>
        <s v="S11786"/>
        <s v="S11787"/>
        <s v="S11788"/>
        <s v="S11789"/>
        <s v="S11790"/>
        <s v="S11791"/>
        <s v="S11792"/>
        <s v="S11793"/>
        <s v="S11794"/>
        <s v="S11795"/>
        <s v="S11796"/>
        <s v="S11797"/>
        <s v="S11798"/>
        <s v="S11799"/>
        <s v="S11800"/>
        <s v="S11801"/>
        <s v="S11802"/>
        <s v="S11803"/>
        <s v="S11804"/>
        <s v="S11805"/>
        <s v="S11806"/>
        <s v="S11807"/>
        <s v="S11808"/>
        <s v="S11809"/>
        <s v="S11810"/>
        <s v="S11811"/>
        <s v="S11812"/>
        <s v="S11813"/>
        <s v="S11814"/>
        <s v="S11815"/>
        <s v="S11816"/>
        <s v="S11817"/>
        <s v="S11818"/>
        <s v="S11819"/>
        <s v="S11820"/>
        <s v="S11821"/>
        <s v="S11822"/>
        <s v="S11823"/>
        <s v="S11824"/>
        <s v="S11825"/>
        <s v="S11826"/>
        <s v="S11827"/>
        <s v="S11828"/>
        <s v="S11829"/>
        <s v="S11830"/>
        <s v="S11831"/>
        <s v="S11832"/>
        <s v="S11833"/>
        <s v="S11834"/>
        <s v="S11835"/>
        <s v="S11836"/>
        <s v="S11837"/>
        <s v="S11838"/>
        <s v="S11839"/>
        <s v="S11840"/>
        <s v="S11841"/>
        <s v="S11842"/>
        <s v="S11843"/>
        <s v="S11844"/>
        <s v="S11845"/>
        <s v="S11846"/>
        <s v="S11847"/>
        <s v="S11848"/>
        <s v="S11849"/>
        <s v="S11850"/>
        <s v="S11851"/>
        <s v="S11852"/>
        <s v="S11853"/>
        <s v="S11854"/>
        <s v="S11855"/>
        <s v="S11856"/>
        <s v="S11857"/>
        <s v="S11858"/>
        <s v="S11859"/>
        <s v="S11860"/>
        <s v="S11861"/>
        <s v="S11862"/>
        <s v="S11863"/>
        <s v="S11864"/>
        <s v="S11865"/>
        <s v="S11866"/>
        <s v="S11867"/>
        <s v="S11868"/>
        <s v="S11869"/>
        <s v="S11870"/>
        <s v="S11871"/>
        <s v="S11872"/>
        <s v="S11873"/>
        <s v="S11874"/>
        <s v="S11875"/>
        <s v="S11876"/>
        <s v="S11877"/>
        <s v="S11878"/>
        <s v="S11879"/>
        <s v="S11880"/>
        <s v="S11881"/>
        <s v="S11882"/>
        <s v="S11883"/>
        <s v="S11884"/>
        <s v="S11885"/>
        <s v="S11886"/>
        <s v="S11887"/>
        <s v="S11888"/>
        <s v="S11889"/>
        <s v="S11890"/>
        <s v="S11891"/>
        <s v="S11892"/>
        <s v="S11893"/>
        <s v="S11894"/>
        <s v="S11895"/>
        <s v="S11896"/>
        <s v="S11897"/>
        <s v="S11898"/>
        <s v="S11899"/>
        <s v="S11900"/>
        <s v="S11901"/>
        <s v="S11902"/>
        <s v="S11903"/>
        <s v="S11904"/>
        <s v="S11905"/>
        <s v="S11906"/>
        <s v="S11907"/>
        <s v="S11908"/>
        <s v="S11909"/>
        <s v="S11910"/>
        <s v="S11911"/>
        <s v="S11912"/>
        <s v="S11913"/>
        <s v="S11914"/>
        <s v="S11915"/>
        <s v="S11916"/>
        <s v="S11917"/>
        <s v="S11918"/>
        <s v="S11919"/>
        <s v="S11920"/>
        <s v="S11921"/>
        <s v="S11922"/>
        <s v="S11923"/>
        <s v="S11924"/>
        <s v="S11925"/>
        <s v="S11926"/>
        <s v="S11927"/>
        <s v="S11928"/>
        <s v="S11929"/>
        <s v="S11930"/>
        <s v="S11931"/>
        <s v="S11932"/>
        <s v="S11933"/>
        <s v="S11934"/>
        <s v="S11935"/>
        <s v="S11936"/>
        <s v="S11937"/>
        <s v="S11938"/>
        <s v="S11939"/>
        <s v="S11940"/>
        <s v="S11941"/>
        <s v="S11942"/>
        <s v="S11943"/>
        <s v="S11944"/>
        <s v="S11945"/>
        <s v="S11946"/>
        <s v="S11947"/>
        <s v="S11948"/>
        <s v="S11949"/>
        <s v="S11950"/>
        <s v="S11951"/>
        <s v="S11952"/>
        <s v="S11953"/>
        <s v="S11954"/>
        <s v="S11955"/>
        <s v="S11956"/>
        <s v="S11957"/>
        <s v="S11958"/>
        <s v="S11959"/>
        <s v="S11960"/>
        <s v="S11961"/>
        <s v="S11962"/>
        <s v="S11963"/>
        <s v="S11964"/>
        <s v="S11965"/>
        <s v="S11966"/>
        <s v="S11967"/>
        <s v="S11968"/>
        <s v="S11969"/>
        <s v="S11970"/>
        <s v="S11971"/>
        <s v="S11972"/>
        <s v="S11973"/>
        <s v="S11974"/>
        <s v="S11975"/>
        <s v="S11976"/>
        <s v="S11977"/>
        <s v="S11978"/>
        <s v="S11979"/>
        <s v="S11980"/>
        <s v="S11981"/>
        <s v="S11982"/>
        <s v="S11983"/>
        <s v="S11984"/>
        <s v="S11985"/>
        <s v="S11986"/>
        <s v="S11987"/>
        <s v="S11988"/>
        <s v="S11989"/>
        <s v="S11990"/>
        <s v="S11991"/>
        <s v="S11992"/>
        <s v="S11993"/>
        <s v="S11994"/>
        <s v="S11995"/>
        <s v="S11996"/>
        <s v="S11997"/>
        <s v="S11998"/>
        <s v="S11999"/>
      </sharedItems>
    </cacheField>
    <cacheField name="Enrollment_Date" numFmtId="164">
      <sharedItems containsSemiMixedTypes="0" containsNonDate="0" containsDate="1" containsString="0" minDate="2024-01-01T00:00:00" maxDate="2025-01-01T00:00:00" count="365">
        <d v="2024-02-12T00:00:00"/>
        <d v="2024-11-04T00:00:00"/>
        <d v="2024-12-23T00:00:00"/>
        <d v="2024-10-13T00:00:00"/>
        <d v="2024-03-01T00:00:00"/>
        <d v="2024-10-16T00:00:00"/>
        <d v="2024-08-05T00:00:00"/>
        <d v="2024-02-06T00:00:00"/>
        <d v="2024-11-29T00:00:00"/>
        <d v="2024-07-18T00:00:00"/>
        <d v="2024-02-25T00:00:00"/>
        <d v="2024-01-19T00:00:00"/>
        <d v="2024-08-06T00:00:00"/>
        <d v="2024-03-21T00:00:00"/>
        <d v="2024-06-04T00:00:00"/>
        <d v="2024-06-14T00:00:00"/>
        <d v="2024-04-30T00:00:00"/>
        <d v="2024-04-21T00:00:00"/>
        <d v="2024-08-17T00:00:00"/>
        <d v="2024-02-16T00:00:00"/>
        <d v="2024-02-21T00:00:00"/>
        <d v="2024-11-02T00:00:00"/>
        <d v="2024-12-17T00:00:00"/>
        <d v="2024-10-02T00:00:00"/>
        <d v="2024-11-16T00:00:00"/>
        <d v="2024-08-25T00:00:00"/>
        <d v="2024-03-12T00:00:00"/>
        <d v="2024-10-18T00:00:00"/>
        <d v="2024-08-18T00:00:00"/>
        <d v="2024-03-11T00:00:00"/>
        <d v="2024-11-08T00:00:00"/>
        <d v="2024-02-26T00:00:00"/>
        <d v="2024-07-01T00:00:00"/>
        <d v="2024-10-27T00:00:00"/>
        <d v="2024-08-28T00:00:00"/>
        <d v="2024-03-07T00:00:00"/>
        <d v="2024-11-07T00:00:00"/>
        <d v="2024-04-05T00:00:00"/>
        <d v="2024-08-22T00:00:00"/>
        <d v="2024-07-03T00:00:00"/>
        <d v="2024-10-14T00:00:00"/>
        <d v="2024-12-29T00:00:00"/>
        <d v="2024-03-25T00:00:00"/>
        <d v="2024-12-18T00:00:00"/>
        <d v="2024-03-30T00:00:00"/>
        <d v="2024-06-03T00:00:00"/>
        <d v="2024-10-04T00:00:00"/>
        <d v="2024-11-27T00:00:00"/>
        <d v="2024-03-09T00:00:00"/>
        <d v="2024-07-12T00:00:00"/>
        <d v="2024-08-10T00:00:00"/>
        <d v="2024-10-01T00:00:00"/>
        <d v="2024-12-07T00:00:00"/>
        <d v="2024-03-19T00:00:00"/>
        <d v="2024-07-06T00:00:00"/>
        <d v="2024-04-11T00:00:00"/>
        <d v="2024-09-19T00:00:00"/>
        <d v="2024-05-24T00:00:00"/>
        <d v="2024-09-27T00:00:00"/>
        <d v="2024-02-23T00:00:00"/>
        <d v="2024-10-12T00:00:00"/>
        <d v="2024-07-22T00:00:00"/>
        <d v="2024-09-07T00:00:00"/>
        <d v="2024-06-30T00:00:00"/>
        <d v="2024-12-08T00:00:00"/>
        <d v="2024-06-09T00:00:00"/>
        <d v="2024-05-15T00:00:00"/>
        <d v="2024-03-18T00:00:00"/>
        <d v="2024-01-22T00:00:00"/>
        <d v="2024-12-27T00:00:00"/>
        <d v="2024-01-26T00:00:00"/>
        <d v="2024-08-23T00:00:00"/>
        <d v="2024-11-21T00:00:00"/>
        <d v="2024-12-30T00:00:00"/>
        <d v="2024-03-17T00:00:00"/>
        <d v="2024-08-12T00:00:00"/>
        <d v="2024-12-02T00:00:00"/>
        <d v="2024-03-04T00:00:00"/>
        <d v="2024-08-14T00:00:00"/>
        <d v="2024-04-09T00:00:00"/>
        <d v="2024-07-08T00:00:00"/>
        <d v="2024-09-18T00:00:00"/>
        <d v="2024-01-27T00:00:00"/>
        <d v="2024-03-06T00:00:00"/>
        <d v="2024-12-20T00:00:00"/>
        <d v="2024-01-18T00:00:00"/>
        <d v="2024-12-16T00:00:00"/>
        <d v="2024-10-19T00:00:00"/>
        <d v="2024-04-10T00:00:00"/>
        <d v="2024-02-29T00:00:00"/>
        <d v="2024-05-03T00:00:00"/>
        <d v="2024-03-28T00:00:00"/>
        <d v="2024-01-04T00:00:00"/>
        <d v="2024-05-10T00:00:00"/>
        <d v="2024-07-14T00:00:00"/>
        <d v="2024-01-14T00:00:00"/>
        <d v="2024-05-04T00:00:00"/>
        <d v="2024-10-31T00:00:00"/>
        <d v="2024-05-20T00:00:00"/>
        <d v="2024-06-21T00:00:00"/>
        <d v="2024-06-23T00:00:00"/>
        <d v="2024-06-17T00:00:00"/>
        <d v="2024-02-22T00:00:00"/>
        <d v="2024-09-08T00:00:00"/>
        <d v="2024-08-15T00:00:00"/>
        <d v="2024-11-28T00:00:00"/>
        <d v="2024-01-24T00:00:00"/>
        <d v="2024-05-05T00:00:00"/>
        <d v="2024-06-08T00:00:00"/>
        <d v="2024-04-08T00:00:00"/>
        <d v="2024-01-28T00:00:00"/>
        <d v="2024-04-17T00:00:00"/>
        <d v="2024-06-26T00:00:00"/>
        <d v="2024-08-31T00:00:00"/>
        <d v="2024-04-15T00:00:00"/>
        <d v="2024-01-06T00:00:00"/>
        <d v="2024-05-01T00:00:00"/>
        <d v="2024-04-18T00:00:00"/>
        <d v="2024-09-04T00:00:00"/>
        <d v="2024-04-07T00:00:00"/>
        <d v="2024-06-13T00:00:00"/>
        <d v="2024-04-23T00:00:00"/>
        <d v="2024-08-29T00:00:00"/>
        <d v="2024-11-22T00:00:00"/>
        <d v="2024-03-02T00:00:00"/>
        <d v="2024-11-25T00:00:00"/>
        <d v="2024-07-27T00:00:00"/>
        <d v="2024-06-20T00:00:00"/>
        <d v="2024-09-13T00:00:00"/>
        <d v="2024-08-30T00:00:00"/>
        <d v="2024-02-27T00:00:00"/>
        <d v="2024-05-21T00:00:00"/>
        <d v="2024-11-30T00:00:00"/>
        <d v="2024-12-13T00:00:00"/>
        <d v="2024-10-28T00:00:00"/>
        <d v="2024-08-09T00:00:00"/>
        <d v="2024-01-10T00:00:00"/>
        <d v="2024-10-22T00:00:00"/>
        <d v="2024-10-03T00:00:00"/>
        <d v="2024-01-16T00:00:00"/>
        <d v="2024-09-26T00:00:00"/>
        <d v="2024-04-03T00:00:00"/>
        <d v="2024-01-21T00:00:00"/>
        <d v="2024-11-11T00:00:00"/>
        <d v="2024-11-01T00:00:00"/>
        <d v="2024-09-22T00:00:00"/>
        <d v="2024-03-05T00:00:00"/>
        <d v="2024-12-21T00:00:00"/>
        <d v="2024-02-08T00:00:00"/>
        <d v="2024-10-05T00:00:00"/>
        <d v="2024-11-05T00:00:00"/>
        <d v="2024-07-11T00:00:00"/>
        <d v="2024-06-02T00:00:00"/>
        <d v="2024-06-06T00:00:00"/>
        <d v="2024-12-15T00:00:00"/>
        <d v="2024-12-12T00:00:00"/>
        <d v="2024-09-11T00:00:00"/>
        <d v="2024-12-14T00:00:00"/>
        <d v="2024-05-23T00:00:00"/>
        <d v="2024-04-22T00:00:00"/>
        <d v="2024-05-13T00:00:00"/>
        <d v="2024-10-30T00:00:00"/>
        <d v="2024-04-24T00:00:00"/>
        <d v="2024-03-31T00:00:00"/>
        <d v="2024-10-08T00:00:00"/>
        <d v="2024-08-26T00:00:00"/>
        <d v="2024-10-26T00:00:00"/>
        <d v="2024-02-20T00:00:00"/>
        <d v="2024-02-19T00:00:00"/>
        <d v="2024-06-16T00:00:00"/>
        <d v="2024-05-18T00:00:00"/>
        <d v="2024-07-26T00:00:00"/>
        <d v="2024-07-05T00:00:00"/>
        <d v="2024-03-15T00:00:00"/>
        <d v="2024-07-09T00:00:00"/>
        <d v="2024-05-29T00:00:00"/>
        <d v="2024-05-11T00:00:00"/>
        <d v="2024-06-29T00:00:00"/>
        <d v="2024-05-02T00:00:00"/>
        <d v="2024-12-09T00:00:00"/>
        <d v="2024-08-02T00:00:00"/>
        <d v="2024-09-03T00:00:00"/>
        <d v="2024-07-28T00:00:00"/>
        <d v="2024-04-16T00:00:00"/>
        <d v="2024-03-23T00:00:00"/>
        <d v="2024-08-27T00:00:00"/>
        <d v="2024-09-20T00:00:00"/>
        <d v="2024-07-20T00:00:00"/>
        <d v="2024-12-04T00:00:00"/>
        <d v="2024-07-17T00:00:00"/>
        <d v="2024-10-10T00:00:00"/>
        <d v="2024-04-28T00:00:00"/>
        <d v="2024-09-01T00:00:00"/>
        <d v="2024-02-05T00:00:00"/>
        <d v="2024-06-22T00:00:00"/>
        <d v="2024-04-04T00:00:00"/>
        <d v="2024-12-26T00:00:00"/>
        <d v="2024-09-06T00:00:00"/>
        <d v="2024-05-31T00:00:00"/>
        <d v="2024-05-19T00:00:00"/>
        <d v="2024-02-24T00:00:00"/>
        <d v="2024-09-23T00:00:00"/>
        <d v="2024-07-29T00:00:00"/>
        <d v="2024-06-11T00:00:00"/>
        <d v="2024-04-29T00:00:00"/>
        <d v="2024-01-09T00:00:00"/>
        <d v="2024-12-19T00:00:00"/>
        <d v="2024-07-21T00:00:00"/>
        <d v="2024-07-24T00:00:00"/>
        <d v="2024-09-21T00:00:00"/>
        <d v="2024-07-25T00:00:00"/>
        <d v="2024-01-31T00:00:00"/>
        <d v="2024-08-16T00:00:00"/>
        <d v="2024-02-10T00:00:00"/>
        <d v="2024-03-03T00:00:00"/>
        <d v="2024-09-14T00:00:00"/>
        <d v="2024-02-15T00:00:00"/>
        <d v="2024-09-09T00:00:00"/>
        <d v="2024-08-24T00:00:00"/>
        <d v="2024-07-04T00:00:00"/>
        <d v="2024-02-17T00:00:00"/>
        <d v="2024-01-20T00:00:00"/>
        <d v="2024-01-23T00:00:00"/>
        <d v="2024-03-20T00:00:00"/>
        <d v="2024-11-03T00:00:00"/>
        <d v="2024-06-25T00:00:00"/>
        <d v="2024-01-17T00:00:00"/>
        <d v="2024-06-24T00:00:00"/>
        <d v="2024-10-11T00:00:00"/>
        <d v="2024-04-25T00:00:00"/>
        <d v="2024-05-30T00:00:00"/>
        <d v="2024-04-06T00:00:00"/>
        <d v="2024-02-13T00:00:00"/>
        <d v="2024-06-12T00:00:00"/>
        <d v="2024-01-30T00:00:00"/>
        <d v="2024-11-13T00:00:00"/>
        <d v="2024-09-05T00:00:00"/>
        <d v="2024-01-15T00:00:00"/>
        <d v="2024-09-25T00:00:00"/>
        <d v="2024-04-19T00:00:00"/>
        <d v="2024-01-01T00:00:00"/>
        <d v="2024-11-12T00:00:00"/>
        <d v="2024-09-28T00:00:00"/>
        <d v="2024-10-20T00:00:00"/>
        <d v="2024-12-22T00:00:00"/>
        <d v="2024-11-09T00:00:00"/>
        <d v="2024-10-06T00:00:00"/>
        <d v="2024-12-11T00:00:00"/>
        <d v="2024-08-20T00:00:00"/>
        <d v="2024-08-13T00:00:00"/>
        <d v="2024-12-31T00:00:00"/>
        <d v="2024-10-17T00:00:00"/>
        <d v="2024-08-03T00:00:00"/>
        <d v="2024-11-19T00:00:00"/>
        <d v="2024-05-26T00:00:00"/>
        <d v="2024-12-28T00:00:00"/>
        <d v="2024-09-17T00:00:00"/>
        <d v="2024-02-09T00:00:00"/>
        <d v="2024-03-10T00:00:00"/>
        <d v="2024-10-29T00:00:00"/>
        <d v="2024-10-15T00:00:00"/>
        <d v="2024-05-12T00:00:00"/>
        <d v="2024-04-26T00:00:00"/>
        <d v="2024-09-12T00:00:00"/>
        <d v="2024-10-09T00:00:00"/>
        <d v="2024-02-03T00:00:00"/>
        <d v="2024-11-24T00:00:00"/>
        <d v="2024-11-17T00:00:00"/>
        <d v="2024-02-14T00:00:00"/>
        <d v="2024-09-15T00:00:00"/>
        <d v="2024-05-07T00:00:00"/>
        <d v="2024-02-18T00:00:00"/>
        <d v="2024-02-01T00:00:00"/>
        <d v="2024-12-24T00:00:00"/>
        <d v="2024-05-27T00:00:00"/>
        <d v="2024-04-20T00:00:00"/>
        <d v="2024-12-05T00:00:00"/>
        <d v="2024-02-04T00:00:00"/>
        <d v="2024-08-08T00:00:00"/>
        <d v="2024-07-31T00:00:00"/>
        <d v="2024-08-07T00:00:00"/>
        <d v="2024-06-05T00:00:00"/>
        <d v="2024-09-16T00:00:00"/>
        <d v="2024-07-19T00:00:00"/>
        <d v="2024-06-07T00:00:00"/>
        <d v="2024-12-01T00:00:00"/>
        <d v="2024-08-04T00:00:00"/>
        <d v="2024-03-22T00:00:00"/>
        <d v="2024-10-25T00:00:00"/>
        <d v="2024-09-24T00:00:00"/>
        <d v="2024-06-10T00:00:00"/>
        <d v="2024-05-28T00:00:00"/>
        <d v="2024-02-07T00:00:00"/>
        <d v="2024-07-02T00:00:00"/>
        <d v="2024-02-02T00:00:00"/>
        <d v="2024-10-24T00:00:00"/>
        <d v="2024-12-03T00:00:00"/>
        <d v="2024-01-08T00:00:00"/>
        <d v="2024-10-21T00:00:00"/>
        <d v="2024-07-30T00:00:00"/>
        <d v="2024-05-09T00:00:00"/>
        <d v="2024-07-13T00:00:00"/>
        <d v="2024-11-06T00:00:00"/>
        <d v="2024-04-13T00:00:00"/>
        <d v="2024-07-16T00:00:00"/>
        <d v="2024-04-27T00:00:00"/>
        <d v="2024-05-08T00:00:00"/>
        <d v="2024-01-12T00:00:00"/>
        <d v="2024-01-29T00:00:00"/>
        <d v="2024-12-06T00:00:00"/>
        <d v="2024-08-11T00:00:00"/>
        <d v="2024-08-01T00:00:00"/>
        <d v="2024-07-10T00:00:00"/>
        <d v="2024-09-30T00:00:00"/>
        <d v="2024-04-12T00:00:00"/>
        <d v="2024-07-15T00:00:00"/>
        <d v="2024-03-24T00:00:00"/>
        <d v="2024-11-15T00:00:00"/>
        <d v="2024-12-25T00:00:00"/>
        <d v="2024-07-23T00:00:00"/>
        <d v="2024-09-10T00:00:00"/>
        <d v="2024-04-01T00:00:00"/>
        <d v="2024-11-23T00:00:00"/>
        <d v="2024-03-08T00:00:00"/>
        <d v="2024-06-28T00:00:00"/>
        <d v="2024-11-18T00:00:00"/>
        <d v="2024-03-16T00:00:00"/>
        <d v="2024-05-17T00:00:00"/>
        <d v="2024-05-16T00:00:00"/>
        <d v="2024-05-22T00:00:00"/>
        <d v="2024-06-18T00:00:00"/>
        <d v="2024-01-13T00:00:00"/>
        <d v="2024-06-27T00:00:00"/>
        <d v="2024-08-19T00:00:00"/>
        <d v="2024-11-14T00:00:00"/>
        <d v="2024-03-13T00:00:00"/>
        <d v="2024-09-02T00:00:00"/>
        <d v="2024-01-03T00:00:00"/>
        <d v="2024-05-25T00:00:00"/>
        <d v="2024-05-06T00:00:00"/>
        <d v="2024-06-19T00:00:00"/>
        <d v="2024-05-14T00:00:00"/>
        <d v="2024-07-07T00:00:00"/>
        <d v="2024-01-05T00:00:00"/>
        <d v="2024-04-14T00:00:00"/>
        <d v="2024-10-23T00:00:00"/>
        <d v="2024-02-11T00:00:00"/>
        <d v="2024-03-27T00:00:00"/>
        <d v="2024-03-29T00:00:00"/>
        <d v="2024-01-07T00:00:00"/>
        <d v="2024-10-07T00:00:00"/>
        <d v="2024-11-10T00:00:00"/>
        <d v="2024-09-29T00:00:00"/>
        <d v="2024-03-26T00:00:00"/>
        <d v="2024-02-28T00:00:00"/>
        <d v="2024-12-10T00:00:00"/>
        <d v="2024-01-25T00:00:00"/>
        <d v="2024-06-15T00:00:00"/>
        <d v="2024-04-02T00:00:00"/>
        <d v="2024-08-21T00:00:00"/>
        <d v="2024-03-14T00:00:00"/>
        <d v="2024-01-02T00:00:00"/>
        <d v="2024-11-26T00:00:00"/>
        <d v="2024-11-20T00:00:00"/>
        <d v="2024-06-01T00:00:00"/>
      </sharedItems>
      <fieldGroup par="18" base="1">
        <rangePr groupBy="days" startDate="2024-01-01T00:00:00" endDate="2025-01-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5"/>
        </groupItems>
      </fieldGroup>
    </cacheField>
    <cacheField name="Course" numFmtId="0">
      <sharedItems count="14">
        <s v="Financial Accounting"/>
        <s v="Corporate Administration (ATCA)"/>
        <s v="Quantity Surveying (QS)"/>
        <s v="Digital Marketing"/>
        <s v="Logistics &amp; Supply Chain"/>
        <s v="Python for Data Analysis"/>
        <s v="SAP FICO"/>
        <s v="SAP MM"/>
        <s v="AI Generalist"/>
        <s v="Cyber Security"/>
        <s v="Data Analytics"/>
        <s v="UAE VAT &amp; Taxation"/>
        <s v="Project Management"/>
        <s v="Power BI &amp; Business Intelligence"/>
      </sharedItems>
    </cacheField>
    <cacheField name="Course_Category" numFmtId="0">
      <sharedItems count="12">
        <s v="Finance"/>
        <s v="Administration"/>
        <s v="Construction"/>
        <s v="Marketing"/>
        <s v="Logistics"/>
        <s v="Programming"/>
        <s v="ERP"/>
        <s v="AI"/>
        <s v="IT Security"/>
        <s v="Analytics"/>
        <s v="Tax"/>
        <s v="Management"/>
      </sharedItems>
    </cacheField>
    <cacheField name="Course_Level" numFmtId="0">
      <sharedItems count="2">
        <s v="Advanced"/>
        <s v="Basic"/>
      </sharedItems>
    </cacheField>
    <cacheField name="Duration_months" numFmtId="1">
      <sharedItems containsSemiMixedTypes="0" containsString="0" containsNumber="1" containsInteger="1" minValue="3" maxValue="6" count="2">
        <n v="6"/>
        <n v="3"/>
      </sharedItems>
    </cacheField>
    <cacheField name="Daily_Learning_Time(hr)" numFmtId="1">
      <sharedItems containsSemiMixedTypes="0" containsString="0" containsNumber="1" containsInteger="1" minValue="1" maxValue="1"/>
    </cacheField>
    <cacheField name="Course_Fee_AED" numFmtId="1">
      <sharedItems containsSemiMixedTypes="0" containsString="0" containsNumber="1" containsInteger="1" minValue="3006" maxValue="14991"/>
    </cacheField>
    <cacheField name="Terms_Completed" numFmtId="1">
      <sharedItems containsSemiMixedTypes="0" containsString="0" containsNumber="1" containsInteger="1" minValue="1" maxValue="3" count="3">
        <n v="1"/>
        <n v="3"/>
        <n v="2"/>
      </sharedItems>
    </cacheField>
    <cacheField name="Amount_Paid_AED" numFmtId="1">
      <sharedItems containsSemiMixedTypes="0" containsString="0" containsNumber="1" containsInteger="1" minValue="1002" maxValue="14991"/>
    </cacheField>
    <cacheField name="Payment_Status" numFmtId="0">
      <sharedItems count="2">
        <s v="Ongoing"/>
        <s v="Cleared"/>
      </sharedItems>
    </cacheField>
    <cacheField name="Mode" numFmtId="0">
      <sharedItems count="3">
        <s v="Hybrid"/>
        <s v="Offline"/>
        <s v="Online"/>
      </sharedItems>
    </cacheField>
    <cacheField name="Branch" numFmtId="0">
      <sharedItems count="6">
        <s v="Al Ain"/>
        <s v="Ras Al Khaimah"/>
        <s v="Abu Dhabi"/>
        <s v="Dubai"/>
        <s v="Ajman"/>
        <s v="Sharjah"/>
      </sharedItems>
    </cacheField>
    <cacheField name="Instructor_Name" numFmtId="0">
      <sharedItems count="15">
        <s v="Ali Hassan"/>
        <s v="Lina George"/>
        <s v="Noura Al Mansoori"/>
        <s v="Sara Ahmed"/>
        <s v="Omar Farooq"/>
        <s v="Maria Joseph"/>
        <s v="Hassan Ali"/>
        <s v="Aisha Rahman"/>
        <s v="Zain Rahman"/>
        <s v="Yusuf Kareem"/>
        <s v="Khalid Omar"/>
        <s v="Fatima Noor"/>
        <s v="John Mathew"/>
        <s v="Ahmed Khan"/>
        <s v="Daniel George"/>
      </sharedItems>
    </cacheField>
    <cacheField name="Nationality" numFmtId="0">
      <sharedItems count="10">
        <s v="Sri Lanka"/>
        <s v="Philippines"/>
        <s v="Jordan"/>
        <s v="Pakistan"/>
        <s v="India"/>
        <s v="Egypt"/>
        <s v="Nigeria"/>
        <s v="Nepal"/>
        <s v="UAE"/>
        <s v="Bangladesh"/>
      </sharedItems>
    </cacheField>
    <cacheField name="Completion_Status" numFmtId="0">
      <sharedItems count="2">
        <s v="Ongoing"/>
        <s v="Completed"/>
      </sharedItems>
    </cacheField>
    <cacheField name="pending Revenue" numFmtId="0">
      <sharedItems containsSemiMixedTypes="0" containsString="0" containsNumber="1" containsInteger="1" minValue="0" maxValue="9973" count="1189">
        <n v="4692"/>
        <n v="0"/>
        <n v="1"/>
        <n v="5172"/>
        <n v="2"/>
        <n v="2267"/>
        <n v="2540"/>
        <n v="1393"/>
        <n v="2286"/>
        <n v="4668"/>
        <n v="2494"/>
        <n v="1784"/>
        <n v="3072"/>
        <n v="2323"/>
        <n v="5416"/>
        <n v="1906"/>
        <n v="4686"/>
        <n v="1737"/>
        <n v="1447"/>
        <n v="2362"/>
        <n v="3991"/>
        <n v="2699"/>
        <n v="1577"/>
        <n v="1970"/>
        <n v="2058"/>
        <n v="6550"/>
        <n v="3596"/>
        <n v="1815"/>
        <n v="3793"/>
        <n v="4020"/>
        <n v="1974"/>
        <n v="3996"/>
        <n v="6632"/>
        <n v="2144"/>
        <n v="3277"/>
        <n v="7024"/>
        <n v="4780"/>
        <n v="2211"/>
        <n v="2168"/>
        <n v="2266"/>
        <n v="9157"/>
        <n v="4479"/>
        <n v="2403"/>
        <n v="1705"/>
        <n v="2392"/>
        <n v="3989"/>
        <n v="4983"/>
        <n v="4900"/>
        <n v="4000"/>
        <n v="3142"/>
        <n v="1902"/>
        <n v="3496"/>
        <n v="5582"/>
        <n v="5544"/>
        <n v="4901"/>
        <n v="3528"/>
        <n v="5149"/>
        <n v="2017"/>
        <n v="2990"/>
        <n v="4990"/>
        <n v="1761"/>
        <n v="4697"/>
        <n v="6774"/>
        <n v="1600"/>
        <n v="4196"/>
        <n v="4044"/>
        <n v="4854"/>
        <n v="7844"/>
        <n v="3057"/>
        <n v="2047"/>
        <n v="2216"/>
        <n v="4359"/>
        <n v="2328"/>
        <n v="7749"/>
        <n v="3498"/>
        <n v="3594"/>
        <n v="2946"/>
        <n v="1579"/>
        <n v="4341"/>
        <n v="1738"/>
        <n v="1612"/>
        <n v="1209"/>
        <n v="4482"/>
        <n v="4202"/>
        <n v="2482"/>
        <n v="1781"/>
        <n v="9931"/>
        <n v="3591"/>
        <n v="1029"/>
        <n v="4530"/>
        <n v="1522"/>
        <n v="2043"/>
        <n v="1511"/>
        <n v="4150"/>
        <n v="4146"/>
        <n v="5027"/>
        <n v="2587"/>
        <n v="2554"/>
        <n v="1860"/>
        <n v="7258"/>
        <n v="4906"/>
        <n v="3948"/>
        <n v="3848"/>
        <n v="4590"/>
        <n v="2150"/>
        <n v="3134"/>
        <n v="1926"/>
        <n v="3056"/>
        <n v="4964"/>
        <n v="3915"/>
        <n v="4340"/>
        <n v="2040"/>
        <n v="3086"/>
        <n v="2570"/>
        <n v="1347"/>
        <n v="5031"/>
        <n v="3970"/>
        <n v="3630"/>
        <n v="1909"/>
        <n v="1125"/>
        <n v="4345"/>
        <n v="1957"/>
        <n v="2631"/>
        <n v="9792"/>
        <n v="4314"/>
        <n v="2049"/>
        <n v="1831"/>
        <n v="1364"/>
        <n v="3936"/>
        <n v="4843"/>
        <n v="1370"/>
        <n v="7280"/>
        <n v="4456"/>
        <n v="3146"/>
        <n v="3226"/>
        <n v="6711"/>
        <n v="4362"/>
        <n v="1987"/>
        <n v="1722"/>
        <n v="3548"/>
        <n v="4538"/>
        <n v="3446"/>
        <n v="2050"/>
        <n v="2320"/>
        <n v="1846"/>
        <n v="2697"/>
        <n v="4347"/>
        <n v="4174"/>
        <n v="9619"/>
        <n v="2472"/>
        <n v="3278"/>
        <n v="2381"/>
        <n v="5362"/>
        <n v="2257"/>
        <n v="3324"/>
        <n v="3020"/>
        <n v="3389"/>
        <n v="2824"/>
        <n v="7924"/>
        <n v="2555"/>
        <n v="3654"/>
        <n v="5288"/>
        <n v="5068"/>
        <n v="3108"/>
        <n v="3355"/>
        <n v="3688"/>
        <n v="7502"/>
        <n v="1779"/>
        <n v="1729"/>
        <n v="2572"/>
        <n v="2151"/>
        <n v="3168"/>
        <n v="1264"/>
        <n v="2409"/>
        <n v="2926"/>
        <n v="2042"/>
        <n v="2238"/>
        <n v="2792"/>
        <n v="1613"/>
        <n v="5890"/>
        <n v="2700"/>
        <n v="8479"/>
        <n v="3696"/>
        <n v="6175"/>
        <n v="2891"/>
        <n v="1642"/>
        <n v="3464"/>
        <n v="2996"/>
        <n v="3000"/>
        <n v="5276"/>
        <n v="3186"/>
        <n v="3778"/>
        <n v="4782"/>
        <n v="2951"/>
        <n v="3826"/>
        <n v="1805"/>
        <n v="4399"/>
        <n v="2402"/>
        <n v="2560"/>
        <n v="1450"/>
        <n v="3346"/>
        <n v="2816"/>
        <n v="3029"/>
        <n v="2106"/>
        <n v="3530"/>
        <n v="7486"/>
        <n v="4634"/>
        <n v="5299"/>
        <n v="9360"/>
        <n v="7410"/>
        <n v="1267"/>
        <n v="2137"/>
        <n v="8321"/>
        <n v="2142"/>
        <n v="2740"/>
        <n v="1276"/>
        <n v="1392"/>
        <n v="4974"/>
        <n v="2801"/>
        <n v="2644"/>
        <n v="1607"/>
        <n v="1399"/>
        <n v="1768"/>
        <n v="1967"/>
        <n v="3740"/>
        <n v="4315"/>
        <n v="1963"/>
        <n v="2980"/>
        <n v="3365"/>
        <n v="1952"/>
        <n v="3196"/>
        <n v="3884"/>
        <n v="5243"/>
        <n v="2578"/>
        <n v="3669"/>
        <n v="2386"/>
        <n v="5277"/>
        <n v="7439"/>
        <n v="2020"/>
        <n v="2404"/>
        <n v="7236"/>
        <n v="2434"/>
        <n v="1725"/>
        <n v="7974"/>
        <n v="4215"/>
        <n v="1556"/>
        <n v="5028"/>
        <n v="4255"/>
        <n v="2853"/>
        <n v="1391"/>
        <n v="1813"/>
        <n v="2417"/>
        <n v="4254"/>
        <n v="3382"/>
        <n v="3577"/>
        <n v="1616"/>
        <n v="4366"/>
        <n v="3802"/>
        <n v="6558"/>
        <n v="3314"/>
        <n v="4494"/>
        <n v="5983"/>
        <n v="1575"/>
        <n v="7306"/>
        <n v="4478"/>
        <n v="2948"/>
        <n v="7150"/>
        <n v="5194"/>
        <n v="3833"/>
        <n v="4134"/>
        <n v="3285"/>
        <n v="1598"/>
        <n v="4943"/>
        <n v="2346"/>
        <n v="1022"/>
        <n v="4831"/>
        <n v="3475"/>
        <n v="2444"/>
        <n v="4674"/>
        <n v="3497"/>
        <n v="1629"/>
        <n v="4173"/>
        <n v="4823"/>
        <n v="3001"/>
        <n v="2967"/>
        <n v="1730"/>
        <n v="3842"/>
        <n v="1723"/>
        <n v="1675"/>
        <n v="1992"/>
        <n v="1980"/>
        <n v="1571"/>
        <n v="3246"/>
        <n v="4005"/>
        <n v="5197"/>
        <n v="1920"/>
        <n v="4873"/>
        <n v="2124"/>
        <n v="3684"/>
        <n v="4410"/>
        <n v="3997"/>
        <n v="1757"/>
        <n v="4276"/>
        <n v="5658"/>
        <n v="1648"/>
        <n v="2490"/>
        <n v="3289"/>
        <n v="1997"/>
        <n v="4572"/>
        <n v="4766"/>
        <n v="6342"/>
        <n v="1962"/>
        <n v="4666"/>
        <n v="1505"/>
        <n v="2205"/>
        <n v="4796"/>
        <n v="6433"/>
        <n v="2884"/>
        <n v="3966"/>
        <n v="3988"/>
        <n v="4875"/>
        <n v="2942"/>
        <n v="4068"/>
        <n v="4235"/>
        <n v="2741"/>
        <n v="2146"/>
        <n v="2177"/>
        <n v="4302"/>
        <n v="2912"/>
        <n v="3051"/>
        <n v="5006"/>
        <n v="2379"/>
        <n v="2249"/>
        <n v="2939"/>
        <n v="6218"/>
        <n v="2950"/>
        <n v="3400"/>
        <n v="4011"/>
        <n v="1377"/>
        <n v="4923"/>
        <n v="4170"/>
        <n v="6768"/>
        <n v="5018"/>
        <n v="2976"/>
        <n v="2970"/>
        <n v="3017"/>
        <n v="2278"/>
        <n v="3522"/>
        <n v="5002"/>
        <n v="3588"/>
        <n v="4069"/>
        <n v="4630"/>
        <n v="9249"/>
        <n v="1762"/>
        <n v="3101"/>
        <n v="6049"/>
        <n v="4038"/>
        <n v="2315"/>
        <n v="2193"/>
        <n v="2665"/>
        <n v="1633"/>
        <n v="4286"/>
        <n v="7791"/>
        <n v="5522"/>
        <n v="2458"/>
        <n v="3352"/>
        <n v="2114"/>
        <n v="3667"/>
        <n v="6156"/>
        <n v="2004"/>
        <n v="2284"/>
        <n v="3998"/>
        <n v="4137"/>
        <n v="4028"/>
        <n v="2502"/>
        <n v="1818"/>
        <n v="2864"/>
        <n v="2955"/>
        <n v="3907"/>
        <n v="3440"/>
        <n v="8395"/>
        <n v="2090"/>
        <n v="2015"/>
        <n v="3924"/>
        <n v="4537"/>
        <n v="1871"/>
        <n v="2103"/>
        <n v="2375"/>
        <n v="4373"/>
        <n v="4847"/>
        <n v="2568"/>
        <n v="5545"/>
        <n v="3595"/>
        <n v="3794"/>
        <n v="1566"/>
        <n v="3573"/>
        <n v="2971"/>
        <n v="3585"/>
        <n v="1958"/>
        <n v="2512"/>
        <n v="4259"/>
        <n v="1599"/>
        <n v="2492"/>
        <n v="4423"/>
        <n v="2037"/>
        <n v="2943"/>
        <n v="2513"/>
        <n v="1621"/>
        <n v="2877"/>
        <n v="3858"/>
        <n v="1535"/>
        <n v="1634"/>
        <n v="8007"/>
        <n v="2427"/>
        <n v="2522"/>
        <n v="1315"/>
        <n v="4160"/>
        <n v="4852"/>
        <n v="1782"/>
        <n v="2663"/>
        <n v="1792"/>
        <n v="3071"/>
        <n v="1501"/>
        <n v="3729"/>
        <n v="1908"/>
        <n v="3264"/>
        <n v="2414"/>
        <n v="7674"/>
        <n v="1645"/>
        <n v="1282"/>
        <n v="1488"/>
        <n v="4184"/>
        <n v="2026"/>
        <n v="5464"/>
        <n v="1567"/>
        <n v="1662"/>
        <n v="3546"/>
        <n v="3632"/>
        <n v="4573"/>
        <n v="2016"/>
        <n v="9756"/>
        <n v="4394"/>
        <n v="1823"/>
        <n v="3756"/>
        <n v="4773"/>
        <n v="4248"/>
        <n v="3576"/>
        <n v="5974"/>
        <n v="5034"/>
        <n v="3236"/>
        <n v="3210"/>
        <n v="1420"/>
        <n v="1735"/>
        <n v="7294"/>
        <n v="1889"/>
        <n v="2192"/>
        <n v="2108"/>
        <n v="1795"/>
        <n v="1836"/>
        <n v="7354"/>
        <n v="4497"/>
        <n v="1854"/>
        <n v="3876"/>
        <n v="4288"/>
        <n v="2508"/>
        <n v="4920"/>
        <n v="3312"/>
        <n v="3879"/>
        <n v="2224"/>
        <n v="3078"/>
        <n v="4161"/>
        <n v="4562"/>
        <n v="1092"/>
        <n v="4132"/>
        <n v="8248"/>
        <n v="3034"/>
        <n v="9331"/>
        <n v="4627"/>
        <n v="1699"/>
        <n v="2530"/>
        <n v="4037"/>
        <n v="4715"/>
        <n v="7139"/>
        <n v="3351"/>
        <n v="4078"/>
        <n v="2690"/>
        <n v="4116"/>
        <n v="4986"/>
        <n v="1415"/>
        <n v="4570"/>
        <n v="2965"/>
        <n v="4444"/>
        <n v="6659"/>
        <n v="5044"/>
        <n v="9973"/>
        <n v="2033"/>
        <n v="1477"/>
        <n v="4667"/>
        <n v="3202"/>
        <n v="3622"/>
        <n v="1713"/>
        <n v="2052"/>
        <n v="1841"/>
        <n v="3403"/>
        <n v="5745"/>
        <n v="3565"/>
        <n v="3022"/>
        <n v="3358"/>
        <n v="3894"/>
        <n v="3386"/>
        <n v="3453"/>
        <n v="2710"/>
        <n v="3374"/>
        <n v="2963"/>
        <n v="4002"/>
        <n v="2886"/>
        <n v="5021"/>
        <n v="2139"/>
        <n v="3637"/>
        <n v="3012"/>
        <n v="5708"/>
        <n v="8278"/>
        <n v="2290"/>
        <n v="4684"/>
        <n v="4532"/>
        <n v="1033"/>
        <n v="2686"/>
        <n v="4180"/>
        <n v="3878"/>
        <n v="1940"/>
        <n v="4365"/>
        <n v="3065"/>
        <n v="3566"/>
        <n v="2687"/>
        <n v="3075"/>
        <n v="6256"/>
        <n v="8879"/>
        <n v="1219"/>
        <n v="3554"/>
        <n v="7552"/>
        <n v="1584"/>
        <n v="3481"/>
        <n v="1560"/>
        <n v="1603"/>
        <n v="2848"/>
        <n v="3747"/>
        <n v="2842"/>
        <n v="3148"/>
        <n v="1342"/>
        <n v="3009"/>
        <n v="1883"/>
        <n v="6069"/>
        <n v="1668"/>
        <n v="1357"/>
        <n v="2305"/>
        <n v="7001"/>
        <n v="1749"/>
        <n v="2549"/>
        <n v="2358"/>
        <n v="8336"/>
        <n v="1793"/>
        <n v="3889"/>
        <n v="2957"/>
        <n v="1640"/>
        <n v="4531"/>
        <n v="6942"/>
        <n v="1141"/>
        <n v="2109"/>
        <n v="2269"/>
        <n v="4476"/>
        <n v="1321"/>
        <n v="2031"/>
        <n v="1918"/>
        <n v="1665"/>
        <n v="4655"/>
        <n v="5441"/>
        <n v="1866"/>
        <n v="1995"/>
        <n v="2840"/>
        <n v="1816"/>
        <n v="2515"/>
        <n v="1565"/>
        <n v="4878"/>
        <n v="1659"/>
        <n v="5012"/>
        <n v="3427"/>
        <n v="7524"/>
        <n v="3335"/>
        <n v="1733"/>
        <n v="2324"/>
        <n v="3672"/>
        <n v="3758"/>
        <n v="3238"/>
        <n v="9469"/>
        <n v="3579"/>
        <n v="9963"/>
        <n v="4508"/>
        <n v="9727"/>
        <n v="3847"/>
        <n v="2685"/>
        <n v="2977"/>
        <n v="1573"/>
        <n v="8800"/>
        <n v="5832"/>
        <n v="3811"/>
        <n v="4658"/>
        <n v="3178"/>
        <n v="7876"/>
        <n v="1552"/>
        <n v="6463"/>
        <n v="1964"/>
        <n v="2734"/>
        <n v="1809"/>
        <n v="3910"/>
        <n v="3515"/>
        <n v="1011"/>
        <n v="3686"/>
        <n v="6826"/>
        <n v="2438"/>
        <n v="3944"/>
        <n v="3592"/>
        <n v="2507"/>
        <n v="4468"/>
        <n v="2342"/>
        <n v="2762"/>
        <n v="3341"/>
        <n v="2073"/>
        <n v="3560"/>
        <n v="4227"/>
        <n v="4320"/>
        <n v="1379"/>
        <n v="1897"/>
        <n v="5212"/>
        <n v="1586"/>
        <n v="1811"/>
        <n v="2715"/>
        <n v="3123"/>
        <n v="5046"/>
        <n v="7159"/>
        <n v="3266"/>
        <n v="1523"/>
        <n v="1193"/>
        <n v="5528"/>
        <n v="3514"/>
        <n v="8506"/>
        <n v="4798"/>
        <n v="7672"/>
        <n v="2497"/>
        <n v="1494"/>
        <n v="1472"/>
        <n v="7822"/>
        <n v="3254"/>
        <n v="4896"/>
        <n v="1787"/>
        <n v="7912"/>
        <n v="6858"/>
        <n v="1273"/>
        <n v="6703"/>
        <n v="2239"/>
        <n v="4062"/>
        <n v="1654"/>
        <n v="2077"/>
        <n v="3534"/>
        <n v="3393"/>
        <n v="3093"/>
        <n v="2706"/>
        <n v="4311"/>
        <n v="3085"/>
        <n v="3092"/>
        <n v="5720"/>
        <n v="1951"/>
        <n v="2930"/>
        <n v="3436"/>
        <n v="3337"/>
        <n v="1469"/>
        <n v="7934"/>
        <n v="1359"/>
        <n v="4591"/>
        <n v="2788"/>
        <n v="1924"/>
        <n v="1894"/>
        <n v="3558"/>
        <n v="1785"/>
        <n v="1639"/>
        <n v="4696"/>
        <n v="3853"/>
        <n v="5345"/>
        <n v="1941"/>
        <n v="4486"/>
        <n v="2833"/>
        <n v="3641"/>
        <n v="4557"/>
        <n v="3195"/>
        <n v="2526"/>
        <n v="2164"/>
        <n v="3283"/>
        <n v="4821"/>
        <n v="1413"/>
        <n v="1650"/>
        <n v="2258"/>
        <n v="4966"/>
        <n v="4264"/>
        <n v="3694"/>
        <n v="1928"/>
        <n v="5490"/>
        <n v="4188"/>
        <n v="6570"/>
        <n v="4828"/>
        <n v="1104"/>
        <n v="4405"/>
        <n v="1880"/>
        <n v="2251"/>
        <n v="2460"/>
        <n v="9936"/>
        <n v="2360"/>
        <n v="6923"/>
        <n v="1425"/>
        <n v="4166"/>
        <n v="4563"/>
        <n v="3230"/>
        <n v="3933"/>
        <n v="8660"/>
        <n v="3221"/>
        <n v="2119"/>
        <n v="2480"/>
        <n v="1844"/>
        <n v="2626"/>
        <n v="3964"/>
        <n v="4377"/>
        <n v="4408"/>
        <n v="1352"/>
        <n v="4784"/>
        <n v="3760"/>
        <n v="2546"/>
        <n v="1504"/>
        <n v="1771"/>
        <n v="6120"/>
        <n v="3100"/>
        <n v="4031"/>
        <n v="3201"/>
        <n v="3136"/>
        <n v="3296"/>
        <n v="2415"/>
        <n v="5286"/>
        <n v="3880"/>
        <n v="3257"/>
        <n v="2156"/>
        <n v="3660"/>
        <n v="2652"/>
        <n v="2470"/>
        <n v="5370"/>
        <n v="2424"/>
        <n v="4866"/>
        <n v="1947"/>
        <n v="2314"/>
        <n v="4008"/>
        <n v="4894"/>
        <n v="2115"/>
        <n v="6743"/>
        <n v="3273"/>
        <n v="5240"/>
        <n v="9892"/>
        <n v="1257"/>
        <n v="2553"/>
        <n v="3881"/>
        <n v="3256"/>
        <n v="7453"/>
        <n v="3141"/>
        <n v="6678"/>
        <n v="8155"/>
        <n v="2163"/>
        <n v="3432"/>
        <n v="1585"/>
        <n v="2896"/>
        <n v="7846"/>
        <n v="4450"/>
        <n v="3734"/>
        <n v="3655"/>
        <n v="1996"/>
        <n v="4216"/>
        <n v="3158"/>
        <n v="3331"/>
        <n v="2147"/>
        <n v="4610"/>
        <n v="1965"/>
        <n v="2849"/>
        <n v="3444"/>
        <n v="9348"/>
        <n v="5486"/>
        <n v="2969"/>
        <n v="3394"/>
        <n v="3757"/>
        <n v="2289"/>
        <n v="9294"/>
        <n v="1187"/>
        <n v="9200"/>
        <n v="4927"/>
        <n v="3651"/>
        <n v="1867"/>
        <n v="7452"/>
        <n v="2376"/>
        <n v="6314"/>
        <n v="3870"/>
        <n v="5495"/>
        <n v="3754"/>
        <n v="2185"/>
        <n v="3325"/>
        <n v="2240"/>
        <n v="1531"/>
        <n v="3536"/>
        <n v="4260"/>
        <n v="1381"/>
        <n v="2180"/>
        <n v="3658"/>
        <n v="1682"/>
        <n v="4355"/>
        <n v="8112"/>
        <n v="1618"/>
        <n v="4372"/>
        <n v="3262"/>
        <n v="1937"/>
        <n v="4811"/>
        <n v="3543"/>
        <n v="8812"/>
        <n v="6066"/>
        <n v="1968"/>
        <n v="6645"/>
        <n v="4357"/>
        <n v="2889"/>
        <n v="8131"/>
        <n v="2865"/>
        <n v="4089"/>
        <n v="3608"/>
        <n v="1253"/>
        <n v="9376"/>
        <n v="5638"/>
        <n v="2373"/>
        <n v="7875"/>
        <n v="3182"/>
        <n v="1799"/>
        <n v="4050"/>
        <n v="5912"/>
        <n v="2646"/>
        <n v="2261"/>
        <n v="1870"/>
        <n v="5706"/>
        <n v="2385"/>
        <n v="1558"/>
        <n v="2025"/>
        <n v="7570"/>
        <n v="2750"/>
        <n v="3010"/>
        <n v="2907"/>
        <n v="6704"/>
        <n v="2773"/>
        <n v="2655"/>
        <n v="6387"/>
        <n v="7867"/>
        <n v="2471"/>
        <n v="5109"/>
        <n v="1834"/>
        <n v="1685"/>
        <n v="4646"/>
        <n v="2430"/>
        <n v="4771"/>
        <n v="2349"/>
        <n v="2097"/>
        <n v="6460"/>
        <n v="4864"/>
        <n v="1115"/>
        <n v="6864"/>
        <n v="2708"/>
        <n v="1549"/>
        <n v="3229"/>
        <n v="4168"/>
        <n v="1147"/>
        <n v="1202"/>
        <n v="3047"/>
        <n v="6627"/>
        <n v="4470"/>
        <n v="4239"/>
        <n v="1766"/>
        <n v="2812"/>
        <n v="2808"/>
        <n v="1382"/>
        <n v="2533"/>
        <n v="1756"/>
        <n v="3956"/>
        <n v="7612"/>
        <n v="2161"/>
        <n v="1672"/>
        <n v="4349"/>
        <n v="1878"/>
        <n v="5074"/>
        <n v="4122"/>
        <n v="4744"/>
        <n v="1496"/>
        <n v="3360"/>
        <n v="4835"/>
        <n v="4458"/>
        <n v="4127"/>
        <n v="1144"/>
        <n v="3972"/>
        <n v="1604"/>
        <n v="8846"/>
        <n v="2252"/>
        <n v="4175"/>
        <n v="3976"/>
        <n v="3011"/>
        <n v="4816"/>
        <n v="3259"/>
        <n v="5810"/>
        <n v="4552"/>
        <n v="4982"/>
        <n v="4884"/>
        <n v="9924"/>
        <n v="4891"/>
        <n v="2268"/>
        <n v="3571"/>
        <n v="1020"/>
        <n v="1545"/>
        <n v="2172"/>
        <n v="3978"/>
        <n v="1623"/>
        <n v="1825"/>
        <n v="7274"/>
        <n v="1540"/>
        <n v="3662"/>
        <n v="6230"/>
        <n v="2236"/>
        <n v="1216"/>
        <n v="2123"/>
        <n v="3116"/>
        <n v="1872"/>
        <n v="4204"/>
        <n v="2596"/>
        <n v="2789"/>
        <n v="4298"/>
        <n v="1861"/>
        <n v="1829"/>
        <n v="1812"/>
        <n v="1452"/>
        <n v="3338"/>
        <n v="1229"/>
        <n v="2467"/>
        <n v="1690"/>
        <n v="1949"/>
        <n v="3479"/>
        <n v="1877"/>
        <n v="1857"/>
        <n v="2281"/>
        <n v="1745"/>
        <n v="1704"/>
        <n v="2895"/>
        <n v="6078"/>
        <n v="5063"/>
        <n v="1907"/>
        <n v="7588"/>
        <n v="2498"/>
        <n v="4238"/>
        <n v="4639"/>
        <n v="1794"/>
        <n v="7927"/>
        <n v="2695"/>
        <n v="2672"/>
        <n v="1669"/>
        <n v="3556"/>
        <n v="3502"/>
        <n v="6779"/>
        <n v="2834"/>
        <n v="7788"/>
        <n v="6938"/>
        <n v="2243"/>
        <n v="5670"/>
        <n v="2175"/>
        <n v="4251"/>
        <n v="9268"/>
        <n v="3109"/>
        <n v="7722"/>
        <n v="1977"/>
        <n v="1341"/>
        <n v="2418"/>
        <n v="3216"/>
        <n v="4545"/>
        <n v="5170"/>
        <n v="2521"/>
        <n v="3121"/>
        <n v="5222"/>
        <n v="2949"/>
        <n v="2241"/>
        <n v="1543"/>
        <n v="2365"/>
        <n v="1750"/>
        <n v="2689"/>
        <n v="1335"/>
        <n v="3917"/>
        <n v="3617"/>
        <n v="4724"/>
        <n v="3153"/>
        <n v="6253"/>
        <n v="3428"/>
        <n v="6244"/>
        <n v="4382"/>
        <n v="2506"/>
        <n v="4939"/>
        <n v="4938"/>
        <n v="3373"/>
        <n v="4914"/>
        <n v="3249"/>
        <n v="3318"/>
        <n v="4918"/>
        <n v="1740"/>
        <n v="1490"/>
        <n v="2028"/>
        <n v="1484"/>
        <n v="4284"/>
        <n v="3985"/>
        <n v="1492"/>
        <n v="2053"/>
        <n v="3328"/>
        <n v="2719"/>
        <n v="3122"/>
        <n v="3860"/>
        <n v="1528"/>
        <n v="2023"/>
        <n v="3690"/>
        <n v="9960"/>
        <n v="2617"/>
        <n v="2176"/>
        <n v="1840"/>
        <n v="2571"/>
        <n v="2531"/>
        <n v="5262"/>
        <n v="4203"/>
        <n v="1373"/>
        <n v="2550"/>
        <n v="3648"/>
        <n v="1683"/>
        <n v="9453"/>
        <n v="3487"/>
        <n v="3251"/>
        <n v="9480"/>
        <n v="3823"/>
        <n v="3510"/>
        <n v="3070"/>
        <n v="3268"/>
        <n v="4034"/>
        <n v="3984"/>
        <n v="4232"/>
        <n v="7329"/>
        <n v="4886"/>
        <n v="2143"/>
        <n v="3361"/>
        <n v="6848"/>
        <n v="5440"/>
        <n v="2173"/>
        <n v="3334"/>
        <n v="1820"/>
        <n v="6978"/>
        <n v="7505"/>
        <n v="1765"/>
        <n v="1824"/>
        <n v="6304"/>
        <n v="6735"/>
        <n v="7377"/>
        <n v="3736"/>
        <n v="6702"/>
        <n v="2184"/>
        <n v="3776"/>
        <n v="5258"/>
        <n v="2718"/>
        <n v="3549"/>
        <n v="2932"/>
        <n v="3809"/>
        <n v="1930"/>
        <n v="3584"/>
        <n v="2567"/>
        <n v="2310"/>
        <n v="2416"/>
        <n v="1875"/>
        <n v="1233"/>
        <n v="3610"/>
        <n v="1890"/>
        <n v="2377"/>
        <n v="2255"/>
        <n v="3773"/>
        <n v="2195"/>
        <n v="1641"/>
        <n v="2383"/>
        <n v="1021"/>
        <n v="5275"/>
        <n v="2005"/>
        <n v="3640"/>
        <n v="1742"/>
        <n v="3094"/>
        <n v="2283"/>
        <n v="1249"/>
        <n v="3905"/>
        <n v="1985"/>
        <n v="2094"/>
        <n v="5114"/>
        <n v="2330"/>
        <n v="4242"/>
        <n v="7266"/>
        <n v="6551"/>
        <n v="1404"/>
        <n v="2825"/>
        <n v="1643"/>
        <n v="5903"/>
        <n v="1798"/>
        <n v="7623"/>
        <n v="4310"/>
        <n v="2485"/>
        <n v="5122"/>
        <n v="9378"/>
        <n v="2975"/>
        <n v="5828"/>
        <n v="2536"/>
        <n v="2072"/>
        <n v="1568"/>
        <n v="5007"/>
        <n v="4418"/>
        <n v="2934"/>
        <n v="3885"/>
        <n v="6863"/>
        <n v="2680"/>
        <n v="4026"/>
        <n v="3449"/>
        <n v="2974"/>
        <n v="4544"/>
        <n v="1946"/>
        <n v="1901"/>
        <n v="8252"/>
        <n v="5770"/>
        <n v="3526"/>
        <n v="5536"/>
        <n v="2519"/>
        <n v="3850"/>
        <n v="4540"/>
        <n v="6945"/>
        <n v="1412"/>
        <n v="4522"/>
        <n v="1548"/>
        <n v="2518"/>
        <n v="3126"/>
        <n v="4299"/>
        <n v="1419"/>
        <n v="9589"/>
        <n v="6300"/>
        <n v="6312"/>
        <n v="4770"/>
        <n v="2256"/>
        <n v="2348"/>
        <n v="3544"/>
        <n v="1518"/>
        <n v="7376"/>
        <n v="2029"/>
        <n v="9677"/>
        <n v="2384"/>
        <n v="3045"/>
        <n v="4772"/>
        <n v="3950"/>
        <n v="2027"/>
        <n v="2159"/>
        <n v="1473"/>
        <n v="5958"/>
        <n v="3955"/>
        <n v="2650"/>
        <n v="2593"/>
        <n v="7412"/>
        <n v="4712"/>
        <n v="2822"/>
        <n v="2395"/>
        <n v="3265"/>
        <n v="2274"/>
        <n v="1561"/>
        <n v="1979"/>
        <n v="2654"/>
        <n v="4916"/>
        <n v="4550"/>
        <n v="4777"/>
        <n v="2528"/>
        <n v="2321"/>
        <n v="1198"/>
        <n v="1753"/>
        <n v="6778"/>
        <n v="2036"/>
        <n v="2835"/>
        <n v="3627"/>
      </sharedItems>
    </cacheField>
    <cacheField name="Revenue" numFmtId="0">
      <sharedItems containsSemiMixedTypes="0" containsString="0" containsNumber="1" containsInteger="1" minValue="1002" maxValue="14991" count="1688">
        <n v="2346"/>
        <n v="4521"/>
        <n v="7086"/>
        <n v="4791"/>
        <n v="4374"/>
        <n v="4902"/>
        <n v="2586"/>
        <n v="5094"/>
        <n v="4530"/>
        <n v="5080"/>
        <n v="2784"/>
        <n v="4587"/>
        <n v="6303"/>
        <n v="10581"/>
        <n v="4572"/>
        <n v="4092"/>
        <n v="3780"/>
        <n v="9336"/>
        <n v="4986"/>
        <n v="3568"/>
        <n v="1536"/>
        <n v="4644"/>
        <n v="5238"/>
        <n v="2708"/>
        <n v="3810"/>
        <n v="2343"/>
        <n v="5271"/>
        <n v="3472"/>
        <n v="2892"/>
        <n v="4720"/>
        <n v="1995"/>
        <n v="4988"/>
        <n v="1349"/>
        <n v="10308"/>
        <n v="7071"/>
        <n v="3150"/>
        <n v="4179"/>
        <n v="3938"/>
        <n v="6270"/>
        <n v="5646"/>
        <n v="4114"/>
        <n v="7245"/>
        <n v="3274"/>
        <n v="7188"/>
        <n v="3630"/>
        <n v="1896"/>
        <n v="8040"/>
        <n v="3944"/>
        <n v="1997"/>
        <n v="3315"/>
        <n v="7362"/>
        <n v="5769"/>
        <n v="6387"/>
        <n v="4284"/>
        <n v="6554"/>
        <n v="5766"/>
        <n v="10596"/>
        <n v="3511"/>
        <n v="3969"/>
        <n v="2389"/>
        <n v="11085"/>
        <n v="4418"/>
        <n v="4336"/>
        <n v="4528"/>
        <n v="14055"/>
        <n v="7233"/>
        <n v="4578"/>
        <n v="4512"/>
        <n v="7227"/>
        <n v="2239"/>
        <n v="4802"/>
        <n v="3410"/>
        <n v="5409"/>
        <n v="3270"/>
        <n v="4257"/>
        <n v="5292"/>
        <n v="4782"/>
        <n v="1994"/>
        <n v="9962"/>
        <n v="5019"/>
        <n v="2449"/>
        <n v="1999"/>
        <n v="6282"/>
        <n v="3800"/>
        <n v="1748"/>
        <n v="4500"/>
        <n v="2791"/>
        <n v="2772"/>
        <n v="9802"/>
        <n v="1763"/>
        <n v="2574"/>
        <n v="4032"/>
        <n v="1494"/>
        <n v="2495"/>
        <n v="3522"/>
        <n v="9392"/>
        <n v="3386"/>
        <n v="3198"/>
        <n v="2098"/>
        <n v="8086"/>
        <n v="9706"/>
        <n v="3921"/>
        <n v="1528"/>
        <n v="4094"/>
        <n v="1107"/>
        <n v="2179"/>
        <n v="4656"/>
        <n v="3874"/>
        <n v="6570"/>
        <n v="1797"/>
        <n v="4432"/>
        <n v="1473"/>
        <n v="3158"/>
        <n v="6492"/>
        <n v="13722"/>
        <n v="8680"/>
        <n v="3476"/>
        <n v="3224"/>
        <n v="7494"/>
        <n v="4764"/>
        <n v="2414"/>
        <n v="13734"/>
        <n v="2241"/>
        <n v="7614"/>
        <n v="7164"/>
        <n v="2450"/>
        <n v="2100"/>
        <n v="11046"/>
        <n v="1240"/>
        <n v="3562"/>
        <n v="4965"/>
        <n v="1795"/>
        <n v="2056"/>
        <n v="2265"/>
        <n v="3044"/>
        <n v="4084"/>
        <n v="3020"/>
        <n v="2074"/>
        <n v="2072"/>
        <n v="7395"/>
        <n v="10470"/>
        <n v="2513"/>
        <n v="4191"/>
        <n v="5170"/>
        <n v="1276"/>
        <n v="3718"/>
        <n v="3628"/>
        <n v="2452"/>
        <n v="8958"/>
        <n v="10212"/>
        <n v="1974"/>
        <n v="7696"/>
        <n v="2295"/>
        <n v="4300"/>
        <n v="1566"/>
        <n v="3852"/>
        <n v="1527"/>
        <n v="2482"/>
        <n v="5268"/>
        <n v="1957"/>
        <n v="4263"/>
        <n v="2169"/>
        <n v="1019"/>
        <n v="1542"/>
        <n v="5138"/>
        <n v="2692"/>
        <n v="2515"/>
        <n v="5202"/>
        <n v="7938"/>
        <n v="7350"/>
        <n v="1814"/>
        <n v="3814"/>
        <n v="2248"/>
        <n v="5631"/>
        <n v="2172"/>
        <n v="9087"/>
        <n v="3914"/>
        <n v="3960"/>
        <n v="5262"/>
        <n v="4896"/>
        <n v="2157"/>
        <n v="5772"/>
        <n v="3660"/>
        <n v="2728"/>
        <n v="5313"/>
        <n v="7870"/>
        <n v="5502"/>
        <n v="14682"/>
        <n v="2421"/>
        <n v="2738"/>
        <n v="3640"/>
        <n v="2227"/>
        <n v="6290"/>
        <n v="6333"/>
        <n v="5958"/>
        <n v="4548"/>
        <n v="1613"/>
        <n v="3355"/>
        <n v="2181"/>
        <n v="3974"/>
        <n v="5427"/>
        <n v="4590"/>
        <n v="9207"/>
        <n v="3444"/>
        <n v="1774"/>
        <n v="2268"/>
        <n v="3200"/>
        <n v="9489"/>
        <n v="6890"/>
        <n v="4096"/>
        <n v="4638"/>
        <n v="3690"/>
        <n v="1348"/>
        <n v="2173"/>
        <n v="8348"/>
        <n v="4809"/>
        <n v="4944"/>
        <n v="1638"/>
        <n v="4760"/>
        <n v="4959"/>
        <n v="2681"/>
        <n v="6795"/>
        <n v="4510"/>
        <n v="6644"/>
        <n v="6186"/>
        <n v="5796"/>
        <n v="1510"/>
        <n v="1694"/>
        <n v="1411"/>
        <n v="10566"/>
        <n v="4155"/>
        <n v="6564"/>
        <n v="6000"/>
        <n v="3962"/>
        <n v="5108"/>
        <n v="1826"/>
        <n v="6924"/>
        <n v="2643"/>
        <n v="4806"/>
        <n v="8589"/>
        <n v="10956"/>
        <n v="14508"/>
        <n v="2533"/>
        <n v="1553"/>
        <n v="1677"/>
        <n v="4068"/>
        <n v="1843"/>
        <n v="3750"/>
        <n v="5112"/>
        <n v="3554"/>
        <n v="3454"/>
        <n v="1286"/>
        <n v="6687"/>
        <n v="4298"/>
        <n v="5174"/>
        <n v="6336"/>
        <n v="2524"/>
        <n v="4814"/>
        <n v="4836"/>
        <n v="5848"/>
        <n v="1020"/>
        <n v="13899"/>
        <n v="6852"/>
        <n v="4474"/>
        <n v="6744"/>
        <n v="5457"/>
        <n v="1396"/>
        <n v="2945"/>
        <n v="5396"/>
        <n v="6681"/>
        <n v="6753"/>
        <n v="4239"/>
        <n v="1848"/>
        <n v="3087"/>
        <n v="5778"/>
        <n v="3280"/>
        <n v="6159"/>
        <n v="5361"/>
        <n v="1731"/>
        <n v="5988"/>
        <n v="12708"/>
        <n v="11301"/>
        <n v="1500"/>
        <n v="2637"/>
        <n v="5877"/>
        <n v="1592"/>
        <n v="1888"/>
        <n v="9564"/>
        <n v="5898"/>
        <n v="1912"/>
        <n v="3608"/>
        <n v="8794"/>
        <n v="8943"/>
        <n v="1201"/>
        <n v="5118"/>
        <n v="2896"/>
        <n v="10623"/>
        <n v="3834"/>
        <n v="1673"/>
        <n v="5115"/>
        <n v="1408"/>
        <n v="10884"/>
        <n v="11631"/>
        <n v="3688"/>
        <n v="6056"/>
        <n v="4208"/>
        <n v="4953"/>
        <n v="1765"/>
        <n v="3743"/>
        <n v="2317"/>
        <n v="2649"/>
        <n v="4679"/>
        <n v="5922"/>
        <n v="3704"/>
        <n v="2532"/>
        <n v="4274"/>
        <n v="5226"/>
        <n v="4160"/>
        <n v="4282"/>
        <n v="4506"/>
        <n v="5476"/>
        <n v="5184"/>
        <n v="6267"/>
        <n v="2550"/>
        <n v="5550"/>
        <n v="3105"/>
        <n v="2782"/>
        <n v="11151"/>
        <n v="9946"/>
        <n v="5598"/>
        <n v="5340"/>
        <n v="3669"/>
        <n v="5284"/>
        <n v="4689"/>
        <n v="3212"/>
        <n v="6354"/>
        <n v="2798"/>
        <n v="3536"/>
        <n v="3930"/>
        <n v="1870"/>
        <n v="8626"/>
        <n v="3926"/>
        <n v="5619"/>
        <n v="1490"/>
        <n v="1682"/>
        <n v="3900"/>
        <n v="1598"/>
        <n v="1942"/>
        <n v="2621"/>
        <n v="5152"/>
        <n v="6831"/>
        <n v="7334"/>
        <n v="1193"/>
        <n v="2638"/>
        <n v="3719"/>
        <n v="4036"/>
        <n v="3618"/>
        <n v="1217"/>
        <n v="5829"/>
        <n v="3448"/>
        <n v="3987"/>
        <n v="5220"/>
        <n v="8428"/>
        <n v="3110"/>
        <n v="2127"/>
        <n v="5702"/>
        <n v="3622"/>
        <n v="4830"/>
        <n v="1369"/>
        <n v="6760"/>
        <n v="14991"/>
        <n v="1788"/>
        <n v="7809"/>
        <n v="3230"/>
        <n v="9363"/>
        <n v="5424"/>
        <n v="12600"/>
        <n v="8732"/>
        <n v="4002"/>
        <n v="4212"/>
        <n v="7782"/>
        <n v="9747"/>
        <n v="14385"/>
        <n v="1901"/>
        <n v="3279"/>
        <n v="6624"/>
        <n v="2247"/>
        <n v="2991"/>
        <n v="4761"/>
        <n v="6318"/>
        <n v="4422"/>
        <n v="3653"/>
        <n v="5682"/>
        <n v="2238"/>
        <n v="5896"/>
        <n v="3574"/>
        <n v="2597"/>
        <n v="7662"/>
        <n v="2067"/>
        <n v="1642"/>
        <n v="3194"/>
        <n v="2471"/>
        <n v="4692"/>
        <n v="4305"/>
        <n v="4182"/>
        <n v="2044"/>
        <n v="2415"/>
        <n v="1737"/>
        <n v="3532"/>
        <n v="5757"/>
        <n v="4888"/>
        <n v="2337"/>
        <n v="6992"/>
        <n v="5790"/>
        <n v="7473"/>
        <n v="14061"/>
        <n v="3258"/>
        <n v="2086"/>
        <n v="2411"/>
        <n v="5930"/>
        <n v="10818"/>
        <n v="3458"/>
        <n v="7680"/>
        <n v="5571"/>
        <n v="7341"/>
        <n v="3446"/>
        <n v="4296"/>
        <n v="3346"/>
        <n v="3980"/>
        <n v="3956"/>
        <n v="3142"/>
        <n v="6087"/>
        <n v="1623"/>
        <n v="2002"/>
        <n v="3606"/>
        <n v="9195"/>
        <n v="2598"/>
        <n v="3795"/>
        <n v="3840"/>
        <n v="9746"/>
        <n v="2494"/>
        <n v="4246"/>
        <n v="6651"/>
        <n v="1842"/>
        <n v="2205"/>
        <n v="3246"/>
        <n v="7994"/>
        <n v="3512"/>
        <n v="2137"/>
        <n v="2829"/>
        <n v="3294"/>
        <n v="4323"/>
        <n v="1245"/>
        <n v="6574"/>
        <n v="8574"/>
        <n v="3990"/>
        <n v="2285"/>
        <n v="9532"/>
        <n v="9006"/>
        <n v="3171"/>
        <n v="3924"/>
        <n v="2333"/>
        <n v="3010"/>
        <n v="4406"/>
        <n v="4566"/>
        <n v="2397"/>
        <n v="3216"/>
        <n v="5764"/>
        <n v="1983"/>
        <n v="7959"/>
        <n v="11922"/>
        <n v="8253"/>
        <n v="7972"/>
        <n v="2437"/>
        <n v="4514"/>
        <n v="5882"/>
        <n v="2034"/>
        <n v="8468"/>
        <n v="1370"/>
        <n v="4292"/>
        <n v="3732"/>
        <n v="4354"/>
        <n v="7869"/>
        <n v="2150"/>
        <n v="7734"/>
        <n v="1455"/>
        <n v="8706"/>
        <n v="6098"/>
        <n v="2503"/>
        <n v="7575"/>
        <n v="6786"/>
        <n v="4756"/>
        <n v="4498"/>
        <n v="1469"/>
        <n v="12744"/>
        <n v="3109"/>
        <n v="1475"/>
        <n v="1699"/>
        <n v="8018"/>
        <n v="2752"/>
        <n v="2461"/>
        <n v="7791"/>
        <n v="6309"/>
        <n v="6888"/>
        <n v="2085"/>
        <n v="3384"/>
        <n v="8058"/>
        <n v="6702"/>
        <n v="2509"/>
        <n v="1487"/>
        <n v="1484"/>
        <n v="9825"/>
        <n v="1508"/>
        <n v="4552"/>
        <n v="1761"/>
        <n v="2500"/>
        <n v="1794"/>
        <n v="2314"/>
        <n v="4800"/>
        <n v="4624"/>
        <n v="11628"/>
        <n v="1550"/>
        <n v="6423"/>
        <n v="3024"/>
        <n v="4266"/>
        <n v="8072"/>
        <n v="4628"/>
        <n v="2228"/>
        <n v="1462"/>
        <n v="4384"/>
        <n v="5628"/>
        <n v="5330"/>
        <n v="3264"/>
        <n v="8570"/>
        <n v="6003"/>
        <n v="3895"/>
        <n v="2761"/>
        <n v="1229"/>
        <n v="1676"/>
        <n v="4833"/>
        <n v="7581"/>
        <n v="4226"/>
        <n v="14754"/>
        <n v="5733"/>
        <n v="1833"/>
        <n v="4752"/>
        <n v="3077"/>
        <n v="1002"/>
        <n v="4568"/>
        <n v="7996"/>
        <n v="6357"/>
        <n v="2068"/>
        <n v="6660"/>
        <n v="2014"/>
        <n v="1251"/>
        <n v="14883"/>
        <n v="4098"/>
        <n v="3634"/>
        <n v="13002"/>
        <n v="5724"/>
        <n v="5908"/>
        <n v="1953"/>
        <n v="6878"/>
        <n v="11811"/>
        <n v="4704"/>
        <n v="3888"/>
        <n v="4197"/>
        <n v="4176"/>
        <n v="4293"/>
        <n v="4030"/>
        <n v="7848"/>
        <n v="14148"/>
        <n v="3738"/>
        <n v="4206"/>
        <n v="6762"/>
        <n v="4750"/>
        <n v="14373"/>
        <n v="5100"/>
        <n v="8742"/>
        <n v="2423"/>
        <n v="5136"/>
        <n v="9408"/>
        <n v="3196"/>
        <n v="1897"/>
        <n v="3130"/>
        <n v="1786"/>
        <n v="7428"/>
        <n v="9138"/>
        <n v="8502"/>
        <n v="5938"/>
        <n v="7605"/>
        <n v="7293"/>
        <n v="14418"/>
        <n v="1792"/>
        <n v="5022"/>
        <n v="2129"/>
        <n v="1442"/>
        <n v="4982"/>
        <n v="2211"/>
        <n v="1018"/>
        <n v="5562"/>
        <n v="1256"/>
        <n v="3240"/>
        <n v="5496"/>
        <n v="5750"/>
        <n v="1928"/>
        <n v="7401"/>
        <n v="3068"/>
        <n v="5418"/>
        <n v="4003"/>
        <n v="7875"/>
        <n v="1213"/>
        <n v="5046"/>
        <n v="1261"/>
        <n v="2628"/>
        <n v="4646"/>
        <n v="2080"/>
        <n v="2426"/>
        <n v="9534"/>
        <n v="5324"/>
        <n v="3582"/>
        <n v="1535"/>
        <n v="2998"/>
        <n v="5004"/>
        <n v="1864"/>
        <n v="4593"/>
        <n v="3812"/>
        <n v="8397"/>
        <n v="1631"/>
        <n v="4824"/>
        <n v="8733"/>
        <n v="13209"/>
        <n v="3837"/>
        <n v="2786"/>
        <n v="1463"/>
        <n v="3286"/>
        <n v="2564"/>
        <n v="12486"/>
        <n v="2976"/>
        <n v="2092"/>
        <n v="1012"/>
        <n v="7944"/>
        <n v="9258"/>
        <n v="2732"/>
        <n v="6273"/>
        <n v="5043"/>
        <n v="6525"/>
        <n v="5703"/>
        <n v="6138"/>
        <n v="6390"/>
        <n v="3132"/>
        <n v="7158"/>
        <n v="3322"/>
        <n v="5556"/>
        <n v="1772"/>
        <n v="11802"/>
        <n v="11196"/>
        <n v="1816"/>
        <n v="5664"/>
        <n v="2286"/>
        <n v="4877"/>
        <n v="2196"/>
        <n v="5601"/>
        <n v="3642"/>
        <n v="4221"/>
        <n v="1877"/>
        <n v="2386"/>
        <n v="2123"/>
        <n v="1787"/>
        <n v="2986"/>
        <n v="2516"/>
        <n v="1618"/>
        <n v="4683"/>
        <n v="1604"/>
        <n v="2246"/>
        <n v="7872"/>
        <n v="2334"/>
        <n v="6858"/>
        <n v="2840"/>
        <n v="3468"/>
        <n v="3646"/>
        <n v="7050"/>
        <n v="3776"/>
        <n v="4989"/>
        <n v="4216"/>
        <n v="5751"/>
        <n v="3586"/>
        <n v="5436"/>
        <n v="7404"/>
        <n v="3668"/>
        <n v="10998"/>
        <n v="3677"/>
        <n v="1937"/>
        <n v="2144"/>
        <n v="1253"/>
        <n v="2460"/>
        <n v="1656"/>
        <n v="1939"/>
        <n v="4444"/>
        <n v="1538"/>
        <n v="2281"/>
        <n v="2182"/>
        <n v="2066"/>
        <n v="9225"/>
        <n v="9720"/>
        <n v="4124"/>
        <n v="1516"/>
        <n v="4665"/>
        <n v="3040"/>
        <n v="2313"/>
        <n v="3398"/>
        <n v="5056"/>
        <n v="2018"/>
        <n v="2357"/>
        <n v="3569"/>
        <n v="1675"/>
        <n v="8610"/>
        <n v="4326"/>
        <n v="3363"/>
        <n v="2038"/>
        <n v="5380"/>
        <n v="2058"/>
        <n v="2492"/>
        <n v="6699"/>
        <n v="2830"/>
        <n v="9285"/>
        <n v="2222"/>
        <n v="3329"/>
        <n v="6189"/>
        <n v="3162"/>
        <n v="2522"/>
        <n v="7137"/>
        <n v="4062"/>
        <n v="2950"/>
        <n v="5052"/>
        <n v="6400"/>
        <n v="1810"/>
        <n v="5727"/>
        <n v="3424"/>
        <n v="1025"/>
        <n v="3682"/>
        <n v="6806"/>
        <n v="2872"/>
        <n v="14700"/>
        <n v="4695"/>
        <n v="1782"/>
        <n v="1511"/>
        <n v="5625"/>
        <n v="1679"/>
        <n v="1947"/>
        <n v="6768"/>
        <n v="6904"/>
        <n v="5420"/>
        <n v="1687"/>
        <n v="1481"/>
        <n v="2001"/>
        <n v="2510"/>
        <n v="4276"/>
        <n v="1818"/>
        <n v="6020"/>
        <n v="6717"/>
        <n v="2854"/>
        <n v="4139"/>
        <n v="4557"/>
        <n v="4580"/>
        <n v="5892"/>
        <n v="4204"/>
        <n v="3231"/>
        <n v="2342"/>
        <n v="4029"/>
        <n v="5370"/>
        <n v="8356"/>
        <n v="7754"/>
        <n v="3880"/>
        <n v="5838"/>
        <n v="8726"/>
        <n v="9948"/>
        <n v="6130"/>
        <n v="7132"/>
        <n v="1537"/>
        <n v="6342"/>
        <n v="3127"/>
        <n v="7962"/>
        <n v="4439"/>
        <n v="2434"/>
        <n v="1777"/>
        <n v="3775"/>
        <n v="3166"/>
        <n v="3134"/>
        <n v="6958"/>
        <n v="3116"/>
        <n v="6408"/>
        <n v="6036"/>
        <n v="3202"/>
        <n v="1423"/>
        <n v="1873"/>
        <n v="3708"/>
        <n v="5684"/>
        <n v="6292"/>
        <n v="2684"/>
        <n v="6014"/>
        <n v="8064"/>
        <n v="3766"/>
        <n v="3034"/>
        <n v="5130"/>
        <n v="3334"/>
        <n v="6183"/>
        <n v="2712"/>
        <n v="6750"/>
        <n v="1343"/>
        <n v="1152"/>
        <n v="3500"/>
        <n v="5148"/>
        <n v="3498"/>
        <n v="5098"/>
        <n v="4716"/>
        <n v="6948"/>
        <n v="4168"/>
        <n v="3584"/>
        <n v="7776"/>
        <n v="1478"/>
        <n v="8199"/>
        <n v="9058"/>
        <n v="3470"/>
        <n v="2282"/>
        <n v="1054"/>
        <n v="4227"/>
        <n v="4538"/>
        <n v="7359"/>
        <n v="2237"/>
        <n v="2640"/>
        <n v="4060"/>
        <n v="3330"/>
        <n v="5193"/>
        <n v="2327"/>
        <n v="2720"/>
        <n v="5952"/>
        <n v="5460"/>
        <n v="5484"/>
        <n v="3256"/>
        <n v="8277"/>
        <n v="5678"/>
        <n v="7128"/>
        <n v="3632"/>
        <n v="1257"/>
        <n v="3128"/>
        <n v="2438"/>
        <n v="3316"/>
        <n v="2505"/>
        <n v="3761"/>
        <n v="1667"/>
        <n v="5853"/>
        <n v="3464"/>
        <n v="4648"/>
        <n v="1835"/>
        <n v="7516"/>
        <n v="5097"/>
        <n v="1619"/>
        <n v="1489"/>
        <n v="4734"/>
        <n v="4056"/>
        <n v="4977"/>
        <n v="1789"/>
        <n v="5304"/>
        <n v="4981"/>
        <n v="7096"/>
        <n v="2254"/>
        <n v="11016"/>
        <n v="10656"/>
        <n v="4863"/>
        <n v="7692"/>
        <n v="1342"/>
        <n v="5950"/>
        <n v="3144"/>
        <n v="7650"/>
        <n v="4399"/>
        <n v="4884"/>
        <n v="2916"/>
        <n v="3702"/>
        <n v="1905"/>
        <n v="2329"/>
        <n v="1588"/>
        <n v="3102"/>
        <n v="3168"/>
        <n v="3928"/>
        <n v="1366"/>
        <n v="3614"/>
        <n v="1955"/>
        <n v="7026"/>
        <n v="4722"/>
        <n v="3412"/>
        <n v="9060"/>
        <n v="5064"/>
        <n v="4874"/>
        <n v="6897"/>
        <n v="1971"/>
        <n v="4218"/>
        <n v="1796"/>
        <n v="8936"/>
        <n v="1170"/>
        <n v="1380"/>
        <n v="1661"/>
        <n v="1670"/>
        <n v="4142"/>
        <n v="7120"/>
        <n v="9873"/>
        <n v="5127"/>
        <n v="7248"/>
        <n v="8454"/>
        <n v="2160"/>
        <n v="2754"/>
        <n v="8862"/>
        <n v="7554"/>
        <n v="3794"/>
        <n v="14859"/>
        <n v="2605"/>
        <n v="3172"/>
        <n v="5426"/>
        <n v="5364"/>
        <n v="1561"/>
        <n v="3579"/>
        <n v="3645"/>
        <n v="1632"/>
        <n v="8436"/>
        <n v="13047"/>
        <n v="2033"/>
        <n v="2764"/>
        <n v="7024"/>
        <n v="5181"/>
        <n v="4253"/>
        <n v="6777"/>
        <n v="2398"/>
        <n v="3835"/>
        <n v="4994"/>
        <n v="2988"/>
        <n v="1024"/>
        <n v="8688"/>
        <n v="2940"/>
        <n v="7914"/>
        <n v="3910"/>
        <n v="1626"/>
        <n v="2448"/>
        <n v="3570"/>
        <n v="3955"/>
        <n v="3429"/>
        <n v="2546"/>
        <n v="3460"/>
        <n v="5697"/>
        <n v="4995"/>
        <n v="3351"/>
        <n v="4476"/>
        <n v="4113"/>
        <n v="2031"/>
        <n v="3304"/>
        <n v="4154"/>
        <n v="5886"/>
        <n v="3156"/>
        <n v="7066"/>
        <n v="4620"/>
        <n v="1352"/>
        <n v="2155"/>
        <n v="6166"/>
        <n v="1545"/>
        <n v="2860"/>
        <n v="3148"/>
        <n v="3898"/>
        <n v="1465"/>
        <n v="1717"/>
        <n v="6579"/>
        <n v="6672"/>
        <n v="2936"/>
        <n v="6291"/>
        <n v="3966"/>
        <n v="7722"/>
        <n v="2714"/>
        <n v="4122"/>
        <n v="1036"/>
        <n v="5574"/>
        <n v="6093"/>
        <n v="3848"/>
        <n v="3788"/>
        <n v="1778"/>
        <n v="5139"/>
        <n v="9870"/>
        <n v="13422"/>
        <n v="2348"/>
        <n v="7704"/>
        <n v="2672"/>
        <n v="6693"/>
        <n v="3882"/>
        <n v="2242"/>
        <n v="7278"/>
        <n v="2278"/>
        <n v="1597"/>
        <n v="5048"/>
        <n v="4328"/>
        <n v="1641"/>
        <n v="13989"/>
        <n v="2410"/>
        <n v="2822"/>
        <n v="3296"/>
        <n v="3778"/>
        <n v="3008"/>
        <n v="2724"/>
        <n v="2132"/>
        <n v="1847"/>
        <n v="2745"/>
        <n v="2094"/>
        <n v="3471"/>
        <n v="3284"/>
        <n v="2204"/>
        <n v="2202"/>
        <n v="7356"/>
        <n v="3758"/>
        <n v="4502"/>
        <n v="4920"/>
        <n v="4967"/>
        <n v="11745"/>
        <n v="3461"/>
        <n v="2846"/>
        <n v="5805"/>
        <n v="6963"/>
        <n v="4254"/>
        <n v="5784"/>
        <n v="2083"/>
        <n v="7023"/>
        <n v="2780"/>
        <n v="3394"/>
        <n v="6456"/>
        <n v="1966"/>
        <n v="5973"/>
        <n v="6837"/>
        <n v="4330"/>
        <n v="1610"/>
        <n v="4236"/>
        <n v="3686"/>
        <n v="1313"/>
        <n v="1982"/>
        <n v="2188"/>
        <n v="6411"/>
        <n v="2203"/>
        <n v="2704"/>
        <n v="4845"/>
        <n v="2392"/>
        <n v="1879"/>
        <n v="6990"/>
        <n v="5847"/>
        <n v="1273"/>
        <n v="3540"/>
        <n v="6855"/>
        <n v="3059"/>
        <n v="9388"/>
        <n v="2015"/>
        <n v="1506"/>
        <n v="1600"/>
        <n v="5982"/>
        <n v="1567"/>
        <n v="1647"/>
        <n v="1207"/>
        <n v="2642"/>
        <n v="6585"/>
        <n v="1940"/>
        <n v="5884"/>
        <n v="6801"/>
        <n v="4005"/>
        <n v="11247"/>
        <n v="4617"/>
        <n v="6510"/>
        <n v="4308"/>
        <n v="5712"/>
        <n v="1829"/>
        <n v="4095"/>
        <n v="5302"/>
        <n v="4940"/>
        <n v="6741"/>
        <n v="1211"/>
        <n v="9510"/>
        <n v="1260"/>
        <n v="2433"/>
        <n v="7602"/>
        <n v="3894"/>
        <n v="6051"/>
        <n v="2003"/>
        <n v="2447"/>
        <n v="4230"/>
        <n v="3371"/>
        <n v="1636"/>
        <n v="2619"/>
        <n v="6612"/>
        <n v="4945"/>
        <n v="7240"/>
        <n v="4341"/>
        <n v="3726"/>
        <n v="1570"/>
        <n v="5676"/>
        <n v="4245"/>
        <n v="3338"/>
        <n v="4077"/>
        <n v="4324"/>
        <n v="1715"/>
        <n v="4701"/>
        <n v="5788"/>
        <n v="3923"/>
        <n v="8898"/>
        <n v="1867"/>
        <n v="12999"/>
        <n v="1827"/>
        <n v="4017"/>
        <n v="3988"/>
        <n v="2108"/>
        <n v="1578"/>
        <n v="1665"/>
        <n v="5352"/>
        <n v="9220"/>
        <n v="13263"/>
        <n v="5397"/>
        <n v="6120"/>
        <n v="1424"/>
        <n v="6300"/>
        <n v="4335"/>
        <n v="1722"/>
        <n v="4673"/>
        <n v="3936"/>
        <n v="2742"/>
        <n v="1696"/>
        <n v="1878"/>
        <n v="4053"/>
        <n v="4923"/>
        <n v="4576"/>
        <n v="2372"/>
        <n v="4600"/>
        <n v="5157"/>
        <n v="1196"/>
        <n v="2463"/>
        <n v="13050"/>
        <n v="4116"/>
        <n v="1825"/>
        <n v="4731"/>
        <n v="4632"/>
        <n v="3730"/>
        <n v="7380"/>
        <n v="4748"/>
        <n v="11739"/>
        <n v="3157"/>
        <n v="1935"/>
        <n v="2747"/>
        <n v="1876"/>
        <n v="4366"/>
        <n v="6648"/>
        <n v="4478"/>
        <n v="3060"/>
        <n v="1768"/>
        <n v="8518"/>
        <n v="9654"/>
        <n v="9444"/>
        <n v="2760"/>
        <n v="3878"/>
        <n v="1090"/>
        <n v="1828"/>
        <n v="3362"/>
        <n v="2177"/>
        <n v="4467"/>
        <n v="3236"/>
        <n v="6537"/>
        <n v="2185"/>
        <n v="8019"/>
        <n v="7818"/>
        <n v="8361"/>
        <n v="5559"/>
        <n v="2405"/>
        <n v="1771"/>
        <n v="4405"/>
        <n v="12621"/>
        <n v="3033"/>
        <n v="13257"/>
        <n v="3222"/>
        <n v="4431"/>
        <n v="5154"/>
        <n v="5140"/>
        <n v="4248"/>
        <n v="8714"/>
        <n v="5776"/>
        <n v="4065"/>
        <n v="5726"/>
        <n v="6900"/>
        <n v="5976"/>
        <n v="3783"/>
        <n v="7216"/>
        <n v="2504"/>
        <n v="4687"/>
        <n v="3654"/>
        <n v="2818"/>
        <n v="4688"/>
        <n v="6520"/>
        <n v="1186"/>
        <n v="1716"/>
        <n v="3937"/>
        <n v="6362"/>
        <n v="3598"/>
        <n v="2025"/>
        <n v="2955"/>
        <n v="7197"/>
        <n v="5290"/>
        <n v="4522"/>
        <n v="3740"/>
        <n v="2852"/>
        <n v="4770"/>
        <n v="3112"/>
        <n v="11499"/>
        <n v="4050"/>
        <n v="3784"/>
        <n v="5498"/>
        <n v="4569"/>
        <n v="1504"/>
        <n v="5810"/>
        <n v="3352"/>
        <n v="5640"/>
        <n v="7758"/>
        <n v="5961"/>
        <n v="14799"/>
        <n v="5544"/>
        <n v="5310"/>
        <n v="3193"/>
        <n v="5793"/>
        <n v="3933"/>
        <n v="3267"/>
        <n v="11424"/>
        <n v="4942"/>
        <n v="2554"/>
        <n v="3366"/>
        <n v="7560"/>
        <n v="2322"/>
        <n v="1214"/>
        <n v="2385"/>
        <n v="4694"/>
        <n v="3278"/>
        <n v="4194"/>
        <n v="3229"/>
        <n v="2506"/>
        <n v="2432"/>
        <n v="3324"/>
        <n v="3432"/>
        <n v="7596"/>
        <n v="1354"/>
        <n v="3096"/>
        <n v="1614"/>
        <n v="2290"/>
        <n v="2400"/>
        <n v="6090"/>
        <n v="3313"/>
        <n v="11904"/>
        <n v="2234"/>
        <n v="8474"/>
        <n v="5700"/>
        <n v="3528"/>
        <n v="7179"/>
        <n v="6711"/>
        <n v="5817"/>
        <n v="1406"/>
        <n v="1403"/>
        <n v="2762"/>
        <n v="6531"/>
        <n v="3510"/>
        <n v="1977"/>
        <n v="5826"/>
        <n v="3805"/>
        <n v="4545"/>
        <n v="2009"/>
        <n v="11088"/>
        <n v="8952"/>
        <n v="4320"/>
        <n v="3879"/>
        <n v="2090"/>
        <n v="3344"/>
        <n v="9657"/>
        <n v="5874"/>
        <n v="3462"/>
        <n v="2174"/>
        <n v="3754"/>
        <n v="2537"/>
        <n v="2061"/>
        <n v="7586"/>
        <n v="10164"/>
        <n v="2992"/>
        <n v="9670"/>
        <n v="11469"/>
        <n v="3492"/>
        <n v="8254"/>
        <n v="1846"/>
        <n v="2284"/>
        <n v="10632"/>
        <n v="1985"/>
        <n v="5490"/>
        <n v="5895"/>
        <n v="3204"/>
        <n v="4504"/>
        <n v="2087"/>
        <n v="1987"/>
        <n v="1505"/>
        <n v="11178"/>
        <n v="2407"/>
        <n v="1629"/>
        <n v="2905"/>
        <n v="9438"/>
        <n v="4290"/>
        <n v="2276"/>
        <n v="2490"/>
        <n v="2442"/>
        <n v="4962"/>
        <n v="1605"/>
        <n v="2445"/>
        <n v="3858"/>
        <n v="4532"/>
        <n v="7923"/>
        <n v="5565"/>
        <n v="7140"/>
        <n v="3594"/>
        <n v="3666"/>
        <n v="7344"/>
        <n v="2036"/>
        <n v="3088"/>
        <n v="1086"/>
        <n v="8490"/>
        <n v="5667"/>
        <n v="1989"/>
        <n v="3242"/>
        <n v="3636"/>
        <n v="10893"/>
        <n v="3076"/>
        <n v="1831"/>
        <n v="4365"/>
        <n v="3115"/>
        <n v="4472"/>
        <n v="2430"/>
        <n v="6228"/>
        <n v="14160"/>
        <n v="3744"/>
        <n v="2102"/>
        <n v="1297"/>
        <n v="7671"/>
        <n v="8594"/>
        <n v="6669"/>
        <n v="4974"/>
        <n v="3720"/>
        <n v="6933"/>
        <n v="3658"/>
        <n v="3620"/>
        <n v="4575"/>
        <n v="2902"/>
        <n v="6674"/>
        <n v="2454"/>
        <n v="1233"/>
        <n v="3380"/>
        <n v="4052"/>
        <n v="1739"/>
        <n v="5379"/>
        <n v="11697"/>
        <n v="3714"/>
        <n v="3792"/>
        <n v="4562"/>
        <n v="3490"/>
        <n v="4074"/>
        <n v="3406"/>
        <n v="3318"/>
        <n v="3206"/>
        <n v="12651"/>
        <n v="1447"/>
        <n v="4758"/>
        <n v="8274"/>
        <n v="5151"/>
        <n v="3039"/>
        <n v="2531"/>
        <n v="13791"/>
        <n v="3793"/>
        <n v="10650"/>
        <n v="1844"/>
        <n v="4996"/>
        <n v="2119"/>
        <n v="2319"/>
        <n v="3963"/>
        <n v="5386"/>
        <n v="3336"/>
        <n v="1558"/>
        <n v="1453"/>
        <n v="1751"/>
        <n v="7740"/>
        <n v="14439"/>
        <n v="3389"/>
        <n v="1417"/>
        <n v="4484"/>
        <n v="7080"/>
        <n v="2835"/>
        <n v="4346"/>
        <n v="4634"/>
        <n v="1554"/>
        <n v="3861"/>
        <n v="7556"/>
        <n v="3952"/>
        <n v="3801"/>
        <n v="2682"/>
        <n v="1208"/>
        <n v="6428"/>
        <n v="2272"/>
        <n v="2585"/>
        <n v="5040"/>
        <n v="6238"/>
        <n v="1938"/>
        <n v="2611"/>
        <n v="12162"/>
        <n v="4674"/>
        <n v="1120"/>
        <n v="5850"/>
        <n v="3082"/>
        <n v="4728"/>
        <n v="5931"/>
        <n v="8157"/>
        <n v="6678"/>
        <n v="3496"/>
        <n v="1344"/>
        <n v="2666"/>
        <n v="10119"/>
        <n v="7834"/>
        <n v="1808"/>
        <n v="2362"/>
        <n v="5589"/>
        <n v="4200"/>
        <n v="3729"/>
        <n v="1576"/>
        <n v="3126"/>
        <n v="1714"/>
        <n v="3122"/>
        <n v="9462"/>
        <n v="2190"/>
        <n v="5010"/>
        <n v="5970"/>
        <n v="2469"/>
        <n v="5469"/>
        <n v="7065"/>
        <n v="6742"/>
        <n v="2457"/>
        <n v="10356"/>
        <n v="1624"/>
        <n v="6636"/>
        <n v="8228"/>
        <n v="2459"/>
        <n v="3478"/>
        <n v="9237"/>
        <n v="6892"/>
        <n v="4054"/>
        <n v="5568"/>
        <n v="6552"/>
        <n v="7760"/>
        <n v="2968"/>
        <n v="8564"/>
        <n v="7970"/>
        <n v="2982"/>
        <n v="1180"/>
        <n v="4407"/>
        <n v="5223"/>
        <n v="1026"/>
        <n v="7125"/>
        <n v="1664"/>
        <n v="5434"/>
        <n v="1560"/>
        <n v="5487"/>
        <n v="1930"/>
        <n v="3054"/>
        <n v="4046"/>
        <n v="1845"/>
        <n v="4979"/>
        <n v="5234"/>
        <n v="4348"/>
        <n v="3676"/>
        <n v="5142"/>
        <n v="5062"/>
        <n v="5586"/>
        <n v="6057"/>
        <n v="5400"/>
        <n v="5044"/>
        <n v="2631"/>
        <n v="2101"/>
        <n v="2746"/>
        <n v="5096"/>
        <n v="7336"/>
        <n v="7296"/>
        <n v="3364"/>
        <n v="4726"/>
        <n v="1743"/>
        <n v="1625"/>
        <n v="8529"/>
        <n v="4740"/>
        <n v="1911"/>
        <n v="5526"/>
        <n v="8709"/>
        <n v="1754"/>
        <n v="1633"/>
        <n v="2016"/>
        <n v="1991"/>
        <n v="2116"/>
        <n v="7203"/>
        <n v="3664"/>
        <n v="5334"/>
        <n v="1680"/>
        <n v="3423"/>
        <n v="5367"/>
        <n v="6668"/>
        <n v="6396"/>
        <n v="3488"/>
        <n v="3752"/>
        <n v="3526"/>
        <n v="3151"/>
        <n v="3367"/>
        <n v="8358"/>
        <n v="5475"/>
        <n v="4470"/>
        <n v="4935"/>
        <n v="1868"/>
        <n v="3350"/>
        <n v="4364"/>
        <n v="1887"/>
        <n v="2629"/>
        <n v="1358"/>
        <n v="14157"/>
        <n v="7878"/>
        <n v="1904"/>
        <n v="3219"/>
        <n v="10335"/>
        <n v="4488"/>
        <n v="1815"/>
        <n v="1791"/>
        <n v="1283"/>
        <n v="4737"/>
        <n v="4244"/>
        <n v="3746"/>
        <n v="11199"/>
        <n v="5067"/>
        <n v="7512"/>
        <n v="6246"/>
        <n v="2466"/>
        <n v="11037"/>
        <n v="7218"/>
        <n v="4178"/>
        <n v="3644"/>
        <n v="1886"/>
        <n v="4386"/>
        <n v="3282"/>
        <n v="4762"/>
        <n v="2040"/>
        <n v="7548"/>
        <n v="4006"/>
        <n v="1820"/>
        <n v="3482"/>
        <n v="1547"/>
        <n v="10362"/>
        <n v="9099"/>
        <n v="2498"/>
        <n v="1952"/>
        <n v="3968"/>
        <n v="11538"/>
        <n v="4188"/>
        <n v="1014"/>
        <n v="2556"/>
        <n v="6646"/>
        <n v="4660"/>
        <n v="2120"/>
        <n v="10215"/>
        <n v="6568"/>
        <n v="2750"/>
        <n v="7251"/>
        <n v="3275"/>
        <n v="8913"/>
        <n v="7425"/>
        <n v="2804"/>
        <n v="1412"/>
        <n v="4410"/>
        <n v="9420"/>
        <n v="8949"/>
        <n v="2951"/>
        <n v="3592"/>
        <n v="4698"/>
        <n v="7134"/>
        <n v="6954"/>
        <n v="3811"/>
        <n v="4970"/>
        <n v="2560"/>
        <n v="4998"/>
        <n v="5124"/>
        <n v="5948"/>
        <n v="2913"/>
        <n v="6522"/>
        <n v="6543"/>
        <n v="4929"/>
        <n v="1628"/>
        <n v="5403"/>
        <n v="5070"/>
        <n v="4140"/>
        <n v="2596"/>
        <n v="2209"/>
        <n v="14634"/>
        <n v="1466"/>
        <n v="3932"/>
        <n v="3939"/>
        <n v="3312"/>
        <n v="5433"/>
        <n v="7770"/>
        <n v="8160"/>
        <n v="3431"/>
        <n v="10905"/>
        <n v="1340"/>
        <n v="8050"/>
        <n v="6894"/>
        <n v="1486"/>
        <n v="5265"/>
        <n v="2271"/>
        <n v="5061"/>
        <n v="1804"/>
        <n v="4677"/>
        <n v="4126"/>
        <n v="5679"/>
        <n v="2884"/>
        <n v="11754"/>
        <n v="7048"/>
        <n v="3524"/>
        <n v="2768"/>
        <n v="5036"/>
        <n v="2269"/>
        <n v="10197"/>
        <n v="8229"/>
        <n v="4482"/>
        <n v="2824"/>
        <n v="4992"/>
        <n v="2261"/>
        <n v="1258"/>
        <n v="7851"/>
        <n v="1563"/>
        <n v="8492"/>
        <n v="2149"/>
        <n v="10461"/>
        <n v="2834"/>
        <n v="6843"/>
        <n v="4794"/>
        <n v="3149"/>
        <n v="4434"/>
        <n v="7212"/>
        <n v="3155"/>
        <n v="3656"/>
        <n v="6069"/>
        <n v="3042"/>
        <n v="4696"/>
        <n v="6240"/>
        <n v="7084"/>
        <n v="3036"/>
        <n v="4143"/>
        <n v="10545"/>
        <n v="11205"/>
        <n v="4838"/>
        <n v="10266"/>
        <n v="1192"/>
        <n v="1522"/>
        <n v="1975"/>
        <n v="9189"/>
        <n v="9636"/>
        <n v="4316"/>
        <n v="2944"/>
        <n v="2979"/>
        <n v="7906"/>
        <n v="6084"/>
        <n v="3520"/>
        <n v="5300"/>
        <n v="5186"/>
        <n v="3706"/>
        <n v="5841"/>
        <n v="13281"/>
        <n v="4596"/>
        <n v="2356"/>
        <n v="4786"/>
        <n v="4544"/>
        <n v="12351"/>
        <n v="3120"/>
        <n v="7200"/>
        <n v="2275"/>
        <n v="2388"/>
        <n v="5054"/>
        <n v="2264"/>
        <n v="3504"/>
        <n v="8025"/>
        <n v="7254"/>
        <n v="6804"/>
      </sharedItems>
    </cacheField>
    <cacheField name="Months" numFmtId="0" databaseField="0">
      <fieldGroup base="1">
        <rangePr groupBy="months" startDate="2024-01-01T00:00:00" endDate="2025-01-01T00:00:00"/>
        <groupItems count="14">
          <s v="&lt;1/1/2024"/>
          <s v="Jan"/>
          <s v="Feb"/>
          <s v="Mar"/>
          <s v="Apr"/>
          <s v="May"/>
          <s v="Jun"/>
          <s v="Jul"/>
          <s v="Aug"/>
          <s v="Sep"/>
          <s v="Oct"/>
          <s v="Nov"/>
          <s v="Dec"/>
          <s v="&gt;1/1/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0">
  <r>
    <x v="0"/>
    <x v="0"/>
    <x v="0"/>
    <x v="0"/>
    <x v="0"/>
    <x v="0"/>
    <n v="1"/>
    <n v="7038"/>
    <x v="0"/>
    <n v="2346"/>
    <x v="0"/>
    <x v="0"/>
    <x v="0"/>
    <x v="0"/>
    <x v="0"/>
    <x v="0"/>
    <x v="0"/>
    <x v="0"/>
  </r>
  <r>
    <x v="1"/>
    <x v="1"/>
    <x v="1"/>
    <x v="1"/>
    <x v="1"/>
    <x v="1"/>
    <n v="1"/>
    <n v="4521"/>
    <x v="1"/>
    <n v="4521"/>
    <x v="1"/>
    <x v="0"/>
    <x v="1"/>
    <x v="1"/>
    <x v="1"/>
    <x v="0"/>
    <x v="1"/>
    <x v="1"/>
  </r>
  <r>
    <x v="2"/>
    <x v="2"/>
    <x v="2"/>
    <x v="2"/>
    <x v="1"/>
    <x v="1"/>
    <n v="1"/>
    <n v="7086"/>
    <x v="1"/>
    <n v="7086"/>
    <x v="1"/>
    <x v="0"/>
    <x v="0"/>
    <x v="2"/>
    <x v="2"/>
    <x v="1"/>
    <x v="1"/>
    <x v="2"/>
  </r>
  <r>
    <x v="3"/>
    <x v="3"/>
    <x v="3"/>
    <x v="3"/>
    <x v="0"/>
    <x v="0"/>
    <n v="1"/>
    <n v="4791"/>
    <x v="1"/>
    <n v="4791"/>
    <x v="1"/>
    <x v="1"/>
    <x v="2"/>
    <x v="3"/>
    <x v="3"/>
    <x v="0"/>
    <x v="1"/>
    <x v="3"/>
  </r>
  <r>
    <x v="4"/>
    <x v="4"/>
    <x v="4"/>
    <x v="4"/>
    <x v="0"/>
    <x v="0"/>
    <n v="1"/>
    <n v="4375"/>
    <x v="1"/>
    <n v="4374"/>
    <x v="0"/>
    <x v="0"/>
    <x v="3"/>
    <x v="4"/>
    <x v="4"/>
    <x v="1"/>
    <x v="2"/>
    <x v="4"/>
  </r>
  <r>
    <x v="5"/>
    <x v="5"/>
    <x v="5"/>
    <x v="5"/>
    <x v="1"/>
    <x v="1"/>
    <n v="1"/>
    <n v="4903"/>
    <x v="1"/>
    <n v="4902"/>
    <x v="0"/>
    <x v="1"/>
    <x v="1"/>
    <x v="5"/>
    <x v="3"/>
    <x v="1"/>
    <x v="2"/>
    <x v="5"/>
  </r>
  <r>
    <x v="6"/>
    <x v="6"/>
    <x v="6"/>
    <x v="6"/>
    <x v="1"/>
    <x v="1"/>
    <n v="1"/>
    <n v="7758"/>
    <x v="0"/>
    <n v="2586"/>
    <x v="0"/>
    <x v="2"/>
    <x v="1"/>
    <x v="1"/>
    <x v="5"/>
    <x v="1"/>
    <x v="3"/>
    <x v="6"/>
  </r>
  <r>
    <x v="7"/>
    <x v="7"/>
    <x v="4"/>
    <x v="4"/>
    <x v="0"/>
    <x v="0"/>
    <n v="1"/>
    <n v="5096"/>
    <x v="1"/>
    <n v="5094"/>
    <x v="0"/>
    <x v="2"/>
    <x v="4"/>
    <x v="6"/>
    <x v="4"/>
    <x v="1"/>
    <x v="4"/>
    <x v="7"/>
  </r>
  <r>
    <x v="8"/>
    <x v="8"/>
    <x v="1"/>
    <x v="1"/>
    <x v="1"/>
    <x v="1"/>
    <n v="1"/>
    <n v="6797"/>
    <x v="2"/>
    <n v="4530"/>
    <x v="0"/>
    <x v="2"/>
    <x v="5"/>
    <x v="1"/>
    <x v="6"/>
    <x v="1"/>
    <x v="5"/>
    <x v="8"/>
  </r>
  <r>
    <x v="9"/>
    <x v="9"/>
    <x v="7"/>
    <x v="6"/>
    <x v="0"/>
    <x v="0"/>
    <n v="1"/>
    <n v="7620"/>
    <x v="2"/>
    <n v="5080"/>
    <x v="0"/>
    <x v="0"/>
    <x v="3"/>
    <x v="4"/>
    <x v="3"/>
    <x v="0"/>
    <x v="6"/>
    <x v="9"/>
  </r>
  <r>
    <x v="10"/>
    <x v="10"/>
    <x v="5"/>
    <x v="5"/>
    <x v="1"/>
    <x v="1"/>
    <n v="1"/>
    <n v="4177"/>
    <x v="2"/>
    <n v="2784"/>
    <x v="0"/>
    <x v="1"/>
    <x v="3"/>
    <x v="1"/>
    <x v="7"/>
    <x v="1"/>
    <x v="7"/>
    <x v="10"/>
  </r>
  <r>
    <x v="11"/>
    <x v="11"/>
    <x v="3"/>
    <x v="3"/>
    <x v="0"/>
    <x v="0"/>
    <n v="1"/>
    <n v="4589"/>
    <x v="1"/>
    <n v="4587"/>
    <x v="0"/>
    <x v="0"/>
    <x v="3"/>
    <x v="7"/>
    <x v="8"/>
    <x v="0"/>
    <x v="4"/>
    <x v="11"/>
  </r>
  <r>
    <x v="12"/>
    <x v="12"/>
    <x v="4"/>
    <x v="4"/>
    <x v="1"/>
    <x v="1"/>
    <n v="1"/>
    <n v="6303"/>
    <x v="1"/>
    <n v="6303"/>
    <x v="1"/>
    <x v="1"/>
    <x v="0"/>
    <x v="8"/>
    <x v="8"/>
    <x v="0"/>
    <x v="1"/>
    <x v="12"/>
  </r>
  <r>
    <x v="13"/>
    <x v="13"/>
    <x v="8"/>
    <x v="7"/>
    <x v="0"/>
    <x v="0"/>
    <n v="1"/>
    <n v="10582"/>
    <x v="1"/>
    <n v="10581"/>
    <x v="0"/>
    <x v="1"/>
    <x v="0"/>
    <x v="6"/>
    <x v="8"/>
    <x v="1"/>
    <x v="2"/>
    <x v="13"/>
  </r>
  <r>
    <x v="14"/>
    <x v="14"/>
    <x v="3"/>
    <x v="3"/>
    <x v="0"/>
    <x v="0"/>
    <n v="1"/>
    <n v="6858"/>
    <x v="2"/>
    <n v="4572"/>
    <x v="0"/>
    <x v="1"/>
    <x v="3"/>
    <x v="5"/>
    <x v="4"/>
    <x v="1"/>
    <x v="8"/>
    <x v="14"/>
  </r>
  <r>
    <x v="15"/>
    <x v="15"/>
    <x v="3"/>
    <x v="3"/>
    <x v="1"/>
    <x v="1"/>
    <n v="1"/>
    <n v="4093"/>
    <x v="1"/>
    <n v="4092"/>
    <x v="0"/>
    <x v="0"/>
    <x v="2"/>
    <x v="9"/>
    <x v="2"/>
    <x v="1"/>
    <x v="2"/>
    <x v="15"/>
  </r>
  <r>
    <x v="16"/>
    <x v="16"/>
    <x v="5"/>
    <x v="5"/>
    <x v="1"/>
    <x v="1"/>
    <n v="1"/>
    <n v="3780"/>
    <x v="1"/>
    <n v="3780"/>
    <x v="1"/>
    <x v="0"/>
    <x v="1"/>
    <x v="9"/>
    <x v="7"/>
    <x v="0"/>
    <x v="1"/>
    <x v="16"/>
  </r>
  <r>
    <x v="17"/>
    <x v="9"/>
    <x v="9"/>
    <x v="8"/>
    <x v="0"/>
    <x v="0"/>
    <n v="1"/>
    <n v="14004"/>
    <x v="2"/>
    <n v="9336"/>
    <x v="0"/>
    <x v="2"/>
    <x v="3"/>
    <x v="2"/>
    <x v="3"/>
    <x v="0"/>
    <x v="9"/>
    <x v="17"/>
  </r>
  <r>
    <x v="18"/>
    <x v="17"/>
    <x v="0"/>
    <x v="0"/>
    <x v="0"/>
    <x v="0"/>
    <n v="1"/>
    <n v="7480"/>
    <x v="2"/>
    <n v="4986"/>
    <x v="0"/>
    <x v="1"/>
    <x v="1"/>
    <x v="0"/>
    <x v="3"/>
    <x v="1"/>
    <x v="10"/>
    <x v="18"/>
  </r>
  <r>
    <x v="19"/>
    <x v="18"/>
    <x v="5"/>
    <x v="5"/>
    <x v="1"/>
    <x v="1"/>
    <n v="1"/>
    <n v="5352"/>
    <x v="2"/>
    <n v="3568"/>
    <x v="0"/>
    <x v="0"/>
    <x v="1"/>
    <x v="10"/>
    <x v="9"/>
    <x v="0"/>
    <x v="11"/>
    <x v="19"/>
  </r>
  <r>
    <x v="20"/>
    <x v="19"/>
    <x v="1"/>
    <x v="1"/>
    <x v="1"/>
    <x v="1"/>
    <n v="1"/>
    <n v="4608"/>
    <x v="0"/>
    <n v="1536"/>
    <x v="0"/>
    <x v="0"/>
    <x v="4"/>
    <x v="7"/>
    <x v="5"/>
    <x v="1"/>
    <x v="12"/>
    <x v="20"/>
  </r>
  <r>
    <x v="21"/>
    <x v="20"/>
    <x v="1"/>
    <x v="1"/>
    <x v="0"/>
    <x v="0"/>
    <n v="1"/>
    <n v="6967"/>
    <x v="2"/>
    <n v="4644"/>
    <x v="0"/>
    <x v="0"/>
    <x v="1"/>
    <x v="11"/>
    <x v="1"/>
    <x v="0"/>
    <x v="13"/>
    <x v="21"/>
  </r>
  <r>
    <x v="22"/>
    <x v="21"/>
    <x v="10"/>
    <x v="9"/>
    <x v="0"/>
    <x v="0"/>
    <n v="1"/>
    <n v="5238"/>
    <x v="1"/>
    <n v="5238"/>
    <x v="1"/>
    <x v="2"/>
    <x v="4"/>
    <x v="7"/>
    <x v="3"/>
    <x v="1"/>
    <x v="1"/>
    <x v="22"/>
  </r>
  <r>
    <x v="23"/>
    <x v="22"/>
    <x v="9"/>
    <x v="8"/>
    <x v="1"/>
    <x v="1"/>
    <n v="1"/>
    <n v="8124"/>
    <x v="0"/>
    <n v="2708"/>
    <x v="0"/>
    <x v="1"/>
    <x v="0"/>
    <x v="12"/>
    <x v="9"/>
    <x v="1"/>
    <x v="14"/>
    <x v="23"/>
  </r>
  <r>
    <x v="24"/>
    <x v="23"/>
    <x v="1"/>
    <x v="1"/>
    <x v="1"/>
    <x v="1"/>
    <n v="1"/>
    <n v="5716"/>
    <x v="2"/>
    <n v="3810"/>
    <x v="0"/>
    <x v="0"/>
    <x v="2"/>
    <x v="5"/>
    <x v="3"/>
    <x v="1"/>
    <x v="15"/>
    <x v="24"/>
  </r>
  <r>
    <x v="25"/>
    <x v="23"/>
    <x v="7"/>
    <x v="6"/>
    <x v="0"/>
    <x v="0"/>
    <n v="1"/>
    <n v="7029"/>
    <x v="0"/>
    <n v="2343"/>
    <x v="0"/>
    <x v="2"/>
    <x v="5"/>
    <x v="1"/>
    <x v="7"/>
    <x v="0"/>
    <x v="16"/>
    <x v="25"/>
  </r>
  <r>
    <x v="26"/>
    <x v="24"/>
    <x v="1"/>
    <x v="1"/>
    <x v="0"/>
    <x v="0"/>
    <n v="1"/>
    <n v="5272"/>
    <x v="1"/>
    <n v="5271"/>
    <x v="0"/>
    <x v="2"/>
    <x v="5"/>
    <x v="11"/>
    <x v="8"/>
    <x v="0"/>
    <x v="2"/>
    <x v="26"/>
  </r>
  <r>
    <x v="27"/>
    <x v="0"/>
    <x v="11"/>
    <x v="10"/>
    <x v="1"/>
    <x v="1"/>
    <n v="1"/>
    <n v="5209"/>
    <x v="2"/>
    <n v="3472"/>
    <x v="0"/>
    <x v="1"/>
    <x v="2"/>
    <x v="5"/>
    <x v="9"/>
    <x v="1"/>
    <x v="17"/>
    <x v="27"/>
  </r>
  <r>
    <x v="28"/>
    <x v="25"/>
    <x v="5"/>
    <x v="5"/>
    <x v="0"/>
    <x v="0"/>
    <n v="1"/>
    <n v="4339"/>
    <x v="2"/>
    <n v="2892"/>
    <x v="0"/>
    <x v="2"/>
    <x v="3"/>
    <x v="12"/>
    <x v="3"/>
    <x v="0"/>
    <x v="18"/>
    <x v="28"/>
  </r>
  <r>
    <x v="29"/>
    <x v="26"/>
    <x v="7"/>
    <x v="6"/>
    <x v="1"/>
    <x v="1"/>
    <n v="1"/>
    <n v="7082"/>
    <x v="2"/>
    <n v="4720"/>
    <x v="0"/>
    <x v="2"/>
    <x v="1"/>
    <x v="4"/>
    <x v="1"/>
    <x v="1"/>
    <x v="19"/>
    <x v="29"/>
  </r>
  <r>
    <x v="30"/>
    <x v="2"/>
    <x v="2"/>
    <x v="2"/>
    <x v="0"/>
    <x v="0"/>
    <n v="1"/>
    <n v="5986"/>
    <x v="0"/>
    <n v="1995"/>
    <x v="0"/>
    <x v="2"/>
    <x v="5"/>
    <x v="5"/>
    <x v="0"/>
    <x v="1"/>
    <x v="20"/>
    <x v="30"/>
  </r>
  <r>
    <x v="31"/>
    <x v="17"/>
    <x v="12"/>
    <x v="11"/>
    <x v="0"/>
    <x v="0"/>
    <n v="1"/>
    <n v="7482"/>
    <x v="2"/>
    <n v="4988"/>
    <x v="0"/>
    <x v="1"/>
    <x v="1"/>
    <x v="10"/>
    <x v="4"/>
    <x v="1"/>
    <x v="10"/>
    <x v="31"/>
  </r>
  <r>
    <x v="32"/>
    <x v="27"/>
    <x v="4"/>
    <x v="4"/>
    <x v="0"/>
    <x v="0"/>
    <n v="1"/>
    <n v="4048"/>
    <x v="0"/>
    <n v="1349"/>
    <x v="0"/>
    <x v="0"/>
    <x v="0"/>
    <x v="7"/>
    <x v="2"/>
    <x v="1"/>
    <x v="21"/>
    <x v="32"/>
  </r>
  <r>
    <x v="33"/>
    <x v="28"/>
    <x v="9"/>
    <x v="8"/>
    <x v="0"/>
    <x v="0"/>
    <n v="1"/>
    <n v="10310"/>
    <x v="1"/>
    <n v="10308"/>
    <x v="0"/>
    <x v="1"/>
    <x v="3"/>
    <x v="12"/>
    <x v="8"/>
    <x v="1"/>
    <x v="4"/>
    <x v="33"/>
  </r>
  <r>
    <x v="34"/>
    <x v="29"/>
    <x v="8"/>
    <x v="7"/>
    <x v="1"/>
    <x v="1"/>
    <n v="1"/>
    <n v="7072"/>
    <x v="1"/>
    <n v="7071"/>
    <x v="0"/>
    <x v="1"/>
    <x v="2"/>
    <x v="9"/>
    <x v="1"/>
    <x v="0"/>
    <x v="2"/>
    <x v="34"/>
  </r>
  <r>
    <x v="35"/>
    <x v="30"/>
    <x v="1"/>
    <x v="1"/>
    <x v="0"/>
    <x v="0"/>
    <n v="1"/>
    <n v="4727"/>
    <x v="2"/>
    <n v="3150"/>
    <x v="0"/>
    <x v="2"/>
    <x v="0"/>
    <x v="0"/>
    <x v="7"/>
    <x v="0"/>
    <x v="22"/>
    <x v="35"/>
  </r>
  <r>
    <x v="36"/>
    <x v="31"/>
    <x v="13"/>
    <x v="9"/>
    <x v="0"/>
    <x v="0"/>
    <n v="1"/>
    <n v="4181"/>
    <x v="1"/>
    <n v="4179"/>
    <x v="0"/>
    <x v="1"/>
    <x v="2"/>
    <x v="7"/>
    <x v="5"/>
    <x v="0"/>
    <x v="4"/>
    <x v="36"/>
  </r>
  <r>
    <x v="37"/>
    <x v="32"/>
    <x v="5"/>
    <x v="5"/>
    <x v="0"/>
    <x v="0"/>
    <n v="1"/>
    <n v="5908"/>
    <x v="2"/>
    <n v="3938"/>
    <x v="0"/>
    <x v="1"/>
    <x v="2"/>
    <x v="9"/>
    <x v="4"/>
    <x v="1"/>
    <x v="23"/>
    <x v="37"/>
  </r>
  <r>
    <x v="38"/>
    <x v="33"/>
    <x v="4"/>
    <x v="4"/>
    <x v="1"/>
    <x v="1"/>
    <n v="1"/>
    <n v="6270"/>
    <x v="1"/>
    <n v="6270"/>
    <x v="1"/>
    <x v="2"/>
    <x v="1"/>
    <x v="13"/>
    <x v="1"/>
    <x v="0"/>
    <x v="1"/>
    <x v="38"/>
  </r>
  <r>
    <x v="39"/>
    <x v="34"/>
    <x v="12"/>
    <x v="11"/>
    <x v="0"/>
    <x v="0"/>
    <n v="1"/>
    <n v="5646"/>
    <x v="1"/>
    <n v="5646"/>
    <x v="1"/>
    <x v="0"/>
    <x v="5"/>
    <x v="4"/>
    <x v="9"/>
    <x v="0"/>
    <x v="1"/>
    <x v="39"/>
  </r>
  <r>
    <x v="40"/>
    <x v="35"/>
    <x v="4"/>
    <x v="4"/>
    <x v="0"/>
    <x v="0"/>
    <n v="1"/>
    <n v="6172"/>
    <x v="2"/>
    <n v="4114"/>
    <x v="0"/>
    <x v="0"/>
    <x v="2"/>
    <x v="5"/>
    <x v="2"/>
    <x v="0"/>
    <x v="24"/>
    <x v="40"/>
  </r>
  <r>
    <x v="41"/>
    <x v="36"/>
    <x v="12"/>
    <x v="11"/>
    <x v="0"/>
    <x v="0"/>
    <n v="1"/>
    <n v="7246"/>
    <x v="1"/>
    <n v="7245"/>
    <x v="0"/>
    <x v="1"/>
    <x v="0"/>
    <x v="10"/>
    <x v="1"/>
    <x v="1"/>
    <x v="2"/>
    <x v="41"/>
  </r>
  <r>
    <x v="42"/>
    <x v="37"/>
    <x v="6"/>
    <x v="6"/>
    <x v="1"/>
    <x v="1"/>
    <n v="1"/>
    <n v="9824"/>
    <x v="0"/>
    <n v="3274"/>
    <x v="0"/>
    <x v="2"/>
    <x v="5"/>
    <x v="9"/>
    <x v="1"/>
    <x v="1"/>
    <x v="25"/>
    <x v="42"/>
  </r>
  <r>
    <x v="43"/>
    <x v="38"/>
    <x v="9"/>
    <x v="8"/>
    <x v="0"/>
    <x v="0"/>
    <n v="1"/>
    <n v="10784"/>
    <x v="2"/>
    <n v="7188"/>
    <x v="0"/>
    <x v="2"/>
    <x v="1"/>
    <x v="8"/>
    <x v="3"/>
    <x v="1"/>
    <x v="26"/>
    <x v="43"/>
  </r>
  <r>
    <x v="44"/>
    <x v="32"/>
    <x v="5"/>
    <x v="5"/>
    <x v="1"/>
    <x v="1"/>
    <n v="1"/>
    <n v="5445"/>
    <x v="2"/>
    <n v="3630"/>
    <x v="0"/>
    <x v="0"/>
    <x v="5"/>
    <x v="10"/>
    <x v="8"/>
    <x v="0"/>
    <x v="27"/>
    <x v="44"/>
  </r>
  <r>
    <x v="45"/>
    <x v="21"/>
    <x v="5"/>
    <x v="5"/>
    <x v="0"/>
    <x v="0"/>
    <n v="1"/>
    <n v="5689"/>
    <x v="0"/>
    <n v="1896"/>
    <x v="0"/>
    <x v="2"/>
    <x v="2"/>
    <x v="4"/>
    <x v="6"/>
    <x v="1"/>
    <x v="28"/>
    <x v="45"/>
  </r>
  <r>
    <x v="46"/>
    <x v="39"/>
    <x v="9"/>
    <x v="8"/>
    <x v="0"/>
    <x v="0"/>
    <n v="1"/>
    <n v="12060"/>
    <x v="2"/>
    <n v="8040"/>
    <x v="0"/>
    <x v="2"/>
    <x v="0"/>
    <x v="8"/>
    <x v="7"/>
    <x v="1"/>
    <x v="29"/>
    <x v="46"/>
  </r>
  <r>
    <x v="47"/>
    <x v="40"/>
    <x v="12"/>
    <x v="11"/>
    <x v="1"/>
    <x v="1"/>
    <n v="1"/>
    <n v="5918"/>
    <x v="2"/>
    <n v="3944"/>
    <x v="0"/>
    <x v="1"/>
    <x v="4"/>
    <x v="2"/>
    <x v="3"/>
    <x v="0"/>
    <x v="30"/>
    <x v="47"/>
  </r>
  <r>
    <x v="48"/>
    <x v="41"/>
    <x v="4"/>
    <x v="4"/>
    <x v="0"/>
    <x v="0"/>
    <n v="1"/>
    <n v="5993"/>
    <x v="0"/>
    <n v="1997"/>
    <x v="0"/>
    <x v="2"/>
    <x v="3"/>
    <x v="2"/>
    <x v="9"/>
    <x v="0"/>
    <x v="31"/>
    <x v="48"/>
  </r>
  <r>
    <x v="49"/>
    <x v="42"/>
    <x v="6"/>
    <x v="6"/>
    <x v="0"/>
    <x v="0"/>
    <n v="1"/>
    <n v="9947"/>
    <x v="0"/>
    <n v="3315"/>
    <x v="0"/>
    <x v="0"/>
    <x v="3"/>
    <x v="11"/>
    <x v="4"/>
    <x v="0"/>
    <x v="32"/>
    <x v="49"/>
  </r>
  <r>
    <x v="50"/>
    <x v="43"/>
    <x v="12"/>
    <x v="11"/>
    <x v="0"/>
    <x v="0"/>
    <n v="1"/>
    <n v="7363"/>
    <x v="1"/>
    <n v="7362"/>
    <x v="0"/>
    <x v="2"/>
    <x v="2"/>
    <x v="4"/>
    <x v="1"/>
    <x v="1"/>
    <x v="2"/>
    <x v="50"/>
  </r>
  <r>
    <x v="51"/>
    <x v="44"/>
    <x v="0"/>
    <x v="0"/>
    <x v="0"/>
    <x v="0"/>
    <n v="1"/>
    <n v="5770"/>
    <x v="1"/>
    <n v="5769"/>
    <x v="0"/>
    <x v="0"/>
    <x v="0"/>
    <x v="12"/>
    <x v="4"/>
    <x v="0"/>
    <x v="2"/>
    <x v="51"/>
  </r>
  <r>
    <x v="52"/>
    <x v="45"/>
    <x v="3"/>
    <x v="3"/>
    <x v="1"/>
    <x v="1"/>
    <n v="1"/>
    <n v="6389"/>
    <x v="1"/>
    <n v="6387"/>
    <x v="0"/>
    <x v="1"/>
    <x v="5"/>
    <x v="4"/>
    <x v="9"/>
    <x v="1"/>
    <x v="4"/>
    <x v="52"/>
  </r>
  <r>
    <x v="53"/>
    <x v="46"/>
    <x v="0"/>
    <x v="0"/>
    <x v="1"/>
    <x v="1"/>
    <n v="1"/>
    <n v="6428"/>
    <x v="2"/>
    <n v="4284"/>
    <x v="0"/>
    <x v="0"/>
    <x v="1"/>
    <x v="3"/>
    <x v="8"/>
    <x v="1"/>
    <x v="33"/>
    <x v="53"/>
  </r>
  <r>
    <x v="54"/>
    <x v="47"/>
    <x v="9"/>
    <x v="8"/>
    <x v="1"/>
    <x v="1"/>
    <n v="1"/>
    <n v="9831"/>
    <x v="2"/>
    <n v="6554"/>
    <x v="0"/>
    <x v="1"/>
    <x v="0"/>
    <x v="10"/>
    <x v="3"/>
    <x v="1"/>
    <x v="34"/>
    <x v="54"/>
  </r>
  <r>
    <x v="55"/>
    <x v="48"/>
    <x v="2"/>
    <x v="2"/>
    <x v="1"/>
    <x v="1"/>
    <n v="1"/>
    <n v="5768"/>
    <x v="1"/>
    <n v="5766"/>
    <x v="0"/>
    <x v="0"/>
    <x v="3"/>
    <x v="1"/>
    <x v="7"/>
    <x v="0"/>
    <x v="4"/>
    <x v="55"/>
  </r>
  <r>
    <x v="56"/>
    <x v="49"/>
    <x v="6"/>
    <x v="6"/>
    <x v="1"/>
    <x v="1"/>
    <n v="1"/>
    <n v="10596"/>
    <x v="1"/>
    <n v="10596"/>
    <x v="1"/>
    <x v="0"/>
    <x v="4"/>
    <x v="8"/>
    <x v="7"/>
    <x v="1"/>
    <x v="1"/>
    <x v="56"/>
  </r>
  <r>
    <x v="57"/>
    <x v="50"/>
    <x v="8"/>
    <x v="7"/>
    <x v="0"/>
    <x v="0"/>
    <n v="1"/>
    <n v="10535"/>
    <x v="0"/>
    <n v="3511"/>
    <x v="0"/>
    <x v="0"/>
    <x v="5"/>
    <x v="13"/>
    <x v="0"/>
    <x v="0"/>
    <x v="35"/>
    <x v="57"/>
  </r>
  <r>
    <x v="58"/>
    <x v="51"/>
    <x v="5"/>
    <x v="5"/>
    <x v="0"/>
    <x v="0"/>
    <n v="1"/>
    <n v="3970"/>
    <x v="1"/>
    <n v="3969"/>
    <x v="0"/>
    <x v="2"/>
    <x v="3"/>
    <x v="10"/>
    <x v="6"/>
    <x v="1"/>
    <x v="2"/>
    <x v="58"/>
  </r>
  <r>
    <x v="59"/>
    <x v="52"/>
    <x v="0"/>
    <x v="0"/>
    <x v="0"/>
    <x v="0"/>
    <n v="1"/>
    <n v="7169"/>
    <x v="0"/>
    <n v="2389"/>
    <x v="0"/>
    <x v="2"/>
    <x v="4"/>
    <x v="0"/>
    <x v="3"/>
    <x v="0"/>
    <x v="36"/>
    <x v="59"/>
  </r>
  <r>
    <x v="60"/>
    <x v="53"/>
    <x v="7"/>
    <x v="6"/>
    <x v="0"/>
    <x v="0"/>
    <n v="1"/>
    <n v="11086"/>
    <x v="1"/>
    <n v="11085"/>
    <x v="0"/>
    <x v="0"/>
    <x v="0"/>
    <x v="6"/>
    <x v="8"/>
    <x v="1"/>
    <x v="2"/>
    <x v="60"/>
  </r>
  <r>
    <x v="61"/>
    <x v="54"/>
    <x v="3"/>
    <x v="3"/>
    <x v="1"/>
    <x v="1"/>
    <n v="1"/>
    <n v="6629"/>
    <x v="2"/>
    <n v="4418"/>
    <x v="0"/>
    <x v="2"/>
    <x v="1"/>
    <x v="11"/>
    <x v="0"/>
    <x v="1"/>
    <x v="37"/>
    <x v="61"/>
  </r>
  <r>
    <x v="62"/>
    <x v="55"/>
    <x v="1"/>
    <x v="1"/>
    <x v="1"/>
    <x v="1"/>
    <n v="1"/>
    <n v="6504"/>
    <x v="2"/>
    <n v="4336"/>
    <x v="0"/>
    <x v="2"/>
    <x v="5"/>
    <x v="10"/>
    <x v="8"/>
    <x v="0"/>
    <x v="38"/>
    <x v="62"/>
  </r>
  <r>
    <x v="63"/>
    <x v="56"/>
    <x v="2"/>
    <x v="2"/>
    <x v="1"/>
    <x v="1"/>
    <n v="1"/>
    <n v="6794"/>
    <x v="2"/>
    <n v="4528"/>
    <x v="0"/>
    <x v="0"/>
    <x v="0"/>
    <x v="7"/>
    <x v="5"/>
    <x v="1"/>
    <x v="39"/>
    <x v="63"/>
  </r>
  <r>
    <x v="64"/>
    <x v="57"/>
    <x v="9"/>
    <x v="8"/>
    <x v="0"/>
    <x v="0"/>
    <n v="1"/>
    <n v="14057"/>
    <x v="1"/>
    <n v="14055"/>
    <x v="0"/>
    <x v="2"/>
    <x v="3"/>
    <x v="9"/>
    <x v="3"/>
    <x v="0"/>
    <x v="4"/>
    <x v="64"/>
  </r>
  <r>
    <x v="65"/>
    <x v="58"/>
    <x v="10"/>
    <x v="9"/>
    <x v="0"/>
    <x v="0"/>
    <n v="1"/>
    <n v="7233"/>
    <x v="1"/>
    <n v="7233"/>
    <x v="1"/>
    <x v="2"/>
    <x v="1"/>
    <x v="12"/>
    <x v="7"/>
    <x v="0"/>
    <x v="1"/>
    <x v="65"/>
  </r>
  <r>
    <x v="66"/>
    <x v="59"/>
    <x v="9"/>
    <x v="8"/>
    <x v="0"/>
    <x v="0"/>
    <n v="1"/>
    <n v="13735"/>
    <x v="0"/>
    <n v="4578"/>
    <x v="0"/>
    <x v="2"/>
    <x v="3"/>
    <x v="11"/>
    <x v="9"/>
    <x v="1"/>
    <x v="40"/>
    <x v="66"/>
  </r>
  <r>
    <x v="67"/>
    <x v="60"/>
    <x v="13"/>
    <x v="9"/>
    <x v="0"/>
    <x v="0"/>
    <n v="1"/>
    <n v="4512"/>
    <x v="1"/>
    <n v="4512"/>
    <x v="1"/>
    <x v="2"/>
    <x v="2"/>
    <x v="10"/>
    <x v="4"/>
    <x v="0"/>
    <x v="1"/>
    <x v="67"/>
  </r>
  <r>
    <x v="68"/>
    <x v="61"/>
    <x v="12"/>
    <x v="11"/>
    <x v="0"/>
    <x v="0"/>
    <n v="1"/>
    <n v="7228"/>
    <x v="1"/>
    <n v="7227"/>
    <x v="0"/>
    <x v="1"/>
    <x v="2"/>
    <x v="2"/>
    <x v="6"/>
    <x v="1"/>
    <x v="2"/>
    <x v="68"/>
  </r>
  <r>
    <x v="69"/>
    <x v="62"/>
    <x v="3"/>
    <x v="3"/>
    <x v="1"/>
    <x v="1"/>
    <n v="1"/>
    <n v="6718"/>
    <x v="0"/>
    <n v="2239"/>
    <x v="0"/>
    <x v="1"/>
    <x v="3"/>
    <x v="13"/>
    <x v="3"/>
    <x v="0"/>
    <x v="41"/>
    <x v="69"/>
  </r>
  <r>
    <x v="70"/>
    <x v="8"/>
    <x v="3"/>
    <x v="3"/>
    <x v="0"/>
    <x v="0"/>
    <n v="1"/>
    <n v="7205"/>
    <x v="2"/>
    <n v="4802"/>
    <x v="0"/>
    <x v="0"/>
    <x v="1"/>
    <x v="5"/>
    <x v="6"/>
    <x v="1"/>
    <x v="42"/>
    <x v="70"/>
  </r>
  <r>
    <x v="71"/>
    <x v="63"/>
    <x v="4"/>
    <x v="4"/>
    <x v="0"/>
    <x v="0"/>
    <n v="1"/>
    <n v="5115"/>
    <x v="2"/>
    <n v="3410"/>
    <x v="0"/>
    <x v="0"/>
    <x v="1"/>
    <x v="5"/>
    <x v="6"/>
    <x v="0"/>
    <x v="43"/>
    <x v="71"/>
  </r>
  <r>
    <x v="72"/>
    <x v="64"/>
    <x v="5"/>
    <x v="5"/>
    <x v="1"/>
    <x v="1"/>
    <n v="1"/>
    <n v="5409"/>
    <x v="1"/>
    <n v="5409"/>
    <x v="1"/>
    <x v="0"/>
    <x v="2"/>
    <x v="1"/>
    <x v="6"/>
    <x v="1"/>
    <x v="1"/>
    <x v="72"/>
  </r>
  <r>
    <x v="73"/>
    <x v="65"/>
    <x v="13"/>
    <x v="9"/>
    <x v="0"/>
    <x v="0"/>
    <n v="1"/>
    <n v="3272"/>
    <x v="1"/>
    <n v="3270"/>
    <x v="0"/>
    <x v="2"/>
    <x v="5"/>
    <x v="12"/>
    <x v="9"/>
    <x v="0"/>
    <x v="4"/>
    <x v="73"/>
  </r>
  <r>
    <x v="74"/>
    <x v="66"/>
    <x v="0"/>
    <x v="0"/>
    <x v="0"/>
    <x v="0"/>
    <n v="1"/>
    <n v="4257"/>
    <x v="1"/>
    <n v="4257"/>
    <x v="1"/>
    <x v="1"/>
    <x v="2"/>
    <x v="10"/>
    <x v="2"/>
    <x v="0"/>
    <x v="1"/>
    <x v="74"/>
  </r>
  <r>
    <x v="75"/>
    <x v="67"/>
    <x v="3"/>
    <x v="3"/>
    <x v="0"/>
    <x v="0"/>
    <n v="1"/>
    <n v="5294"/>
    <x v="1"/>
    <n v="5292"/>
    <x v="0"/>
    <x v="1"/>
    <x v="3"/>
    <x v="14"/>
    <x v="6"/>
    <x v="1"/>
    <x v="4"/>
    <x v="75"/>
  </r>
  <r>
    <x v="76"/>
    <x v="68"/>
    <x v="2"/>
    <x v="2"/>
    <x v="0"/>
    <x v="0"/>
    <n v="1"/>
    <n v="7174"/>
    <x v="2"/>
    <n v="4782"/>
    <x v="0"/>
    <x v="0"/>
    <x v="0"/>
    <x v="14"/>
    <x v="6"/>
    <x v="1"/>
    <x v="44"/>
    <x v="76"/>
  </r>
  <r>
    <x v="77"/>
    <x v="48"/>
    <x v="1"/>
    <x v="1"/>
    <x v="1"/>
    <x v="1"/>
    <n v="1"/>
    <n v="5983"/>
    <x v="0"/>
    <n v="1994"/>
    <x v="0"/>
    <x v="1"/>
    <x v="5"/>
    <x v="0"/>
    <x v="6"/>
    <x v="0"/>
    <x v="45"/>
    <x v="77"/>
  </r>
  <r>
    <x v="78"/>
    <x v="69"/>
    <x v="9"/>
    <x v="8"/>
    <x v="0"/>
    <x v="0"/>
    <n v="1"/>
    <n v="14945"/>
    <x v="2"/>
    <n v="9962"/>
    <x v="0"/>
    <x v="2"/>
    <x v="3"/>
    <x v="11"/>
    <x v="7"/>
    <x v="0"/>
    <x v="46"/>
    <x v="78"/>
  </r>
  <r>
    <x v="79"/>
    <x v="70"/>
    <x v="1"/>
    <x v="1"/>
    <x v="1"/>
    <x v="1"/>
    <n v="1"/>
    <n v="5019"/>
    <x v="1"/>
    <n v="5019"/>
    <x v="1"/>
    <x v="1"/>
    <x v="2"/>
    <x v="6"/>
    <x v="9"/>
    <x v="1"/>
    <x v="1"/>
    <x v="79"/>
  </r>
  <r>
    <x v="80"/>
    <x v="71"/>
    <x v="8"/>
    <x v="7"/>
    <x v="1"/>
    <x v="1"/>
    <n v="1"/>
    <n v="7349"/>
    <x v="0"/>
    <n v="2449"/>
    <x v="0"/>
    <x v="1"/>
    <x v="1"/>
    <x v="0"/>
    <x v="5"/>
    <x v="1"/>
    <x v="47"/>
    <x v="80"/>
  </r>
  <r>
    <x v="81"/>
    <x v="72"/>
    <x v="10"/>
    <x v="9"/>
    <x v="1"/>
    <x v="1"/>
    <n v="1"/>
    <n v="5999"/>
    <x v="0"/>
    <n v="1999"/>
    <x v="0"/>
    <x v="0"/>
    <x v="2"/>
    <x v="3"/>
    <x v="8"/>
    <x v="0"/>
    <x v="48"/>
    <x v="81"/>
  </r>
  <r>
    <x v="82"/>
    <x v="73"/>
    <x v="6"/>
    <x v="6"/>
    <x v="0"/>
    <x v="0"/>
    <n v="1"/>
    <n v="9424"/>
    <x v="2"/>
    <n v="6282"/>
    <x v="0"/>
    <x v="1"/>
    <x v="2"/>
    <x v="9"/>
    <x v="1"/>
    <x v="1"/>
    <x v="49"/>
    <x v="82"/>
  </r>
  <r>
    <x v="83"/>
    <x v="74"/>
    <x v="1"/>
    <x v="1"/>
    <x v="0"/>
    <x v="0"/>
    <n v="1"/>
    <n v="5702"/>
    <x v="2"/>
    <n v="3800"/>
    <x v="0"/>
    <x v="0"/>
    <x v="2"/>
    <x v="0"/>
    <x v="7"/>
    <x v="0"/>
    <x v="50"/>
    <x v="83"/>
  </r>
  <r>
    <x v="84"/>
    <x v="75"/>
    <x v="10"/>
    <x v="9"/>
    <x v="0"/>
    <x v="0"/>
    <n v="1"/>
    <n v="5244"/>
    <x v="0"/>
    <n v="1748"/>
    <x v="0"/>
    <x v="1"/>
    <x v="4"/>
    <x v="6"/>
    <x v="2"/>
    <x v="1"/>
    <x v="51"/>
    <x v="84"/>
  </r>
  <r>
    <x v="85"/>
    <x v="76"/>
    <x v="2"/>
    <x v="2"/>
    <x v="1"/>
    <x v="1"/>
    <n v="1"/>
    <n v="4502"/>
    <x v="1"/>
    <n v="4500"/>
    <x v="0"/>
    <x v="0"/>
    <x v="3"/>
    <x v="5"/>
    <x v="7"/>
    <x v="0"/>
    <x v="4"/>
    <x v="85"/>
  </r>
  <r>
    <x v="86"/>
    <x v="77"/>
    <x v="9"/>
    <x v="8"/>
    <x v="1"/>
    <x v="1"/>
    <n v="1"/>
    <n v="8373"/>
    <x v="0"/>
    <n v="2791"/>
    <x v="0"/>
    <x v="2"/>
    <x v="3"/>
    <x v="11"/>
    <x v="8"/>
    <x v="1"/>
    <x v="52"/>
    <x v="86"/>
  </r>
  <r>
    <x v="87"/>
    <x v="17"/>
    <x v="7"/>
    <x v="6"/>
    <x v="0"/>
    <x v="0"/>
    <n v="1"/>
    <n v="8316"/>
    <x v="0"/>
    <n v="2772"/>
    <x v="0"/>
    <x v="0"/>
    <x v="1"/>
    <x v="7"/>
    <x v="8"/>
    <x v="1"/>
    <x v="53"/>
    <x v="87"/>
  </r>
  <r>
    <x v="88"/>
    <x v="78"/>
    <x v="8"/>
    <x v="7"/>
    <x v="0"/>
    <x v="0"/>
    <n v="1"/>
    <n v="14703"/>
    <x v="2"/>
    <n v="9802"/>
    <x v="0"/>
    <x v="1"/>
    <x v="2"/>
    <x v="2"/>
    <x v="8"/>
    <x v="0"/>
    <x v="54"/>
    <x v="88"/>
  </r>
  <r>
    <x v="89"/>
    <x v="79"/>
    <x v="10"/>
    <x v="9"/>
    <x v="0"/>
    <x v="0"/>
    <n v="1"/>
    <n v="5291"/>
    <x v="0"/>
    <n v="1763"/>
    <x v="0"/>
    <x v="2"/>
    <x v="4"/>
    <x v="4"/>
    <x v="8"/>
    <x v="0"/>
    <x v="55"/>
    <x v="89"/>
  </r>
  <r>
    <x v="90"/>
    <x v="80"/>
    <x v="0"/>
    <x v="0"/>
    <x v="0"/>
    <x v="0"/>
    <n v="1"/>
    <n v="7723"/>
    <x v="0"/>
    <n v="2574"/>
    <x v="0"/>
    <x v="2"/>
    <x v="5"/>
    <x v="4"/>
    <x v="5"/>
    <x v="1"/>
    <x v="56"/>
    <x v="90"/>
  </r>
  <r>
    <x v="91"/>
    <x v="53"/>
    <x v="3"/>
    <x v="3"/>
    <x v="1"/>
    <x v="1"/>
    <n v="1"/>
    <n v="6049"/>
    <x v="2"/>
    <n v="4032"/>
    <x v="0"/>
    <x v="0"/>
    <x v="5"/>
    <x v="8"/>
    <x v="5"/>
    <x v="0"/>
    <x v="57"/>
    <x v="91"/>
  </r>
  <r>
    <x v="92"/>
    <x v="23"/>
    <x v="13"/>
    <x v="9"/>
    <x v="1"/>
    <x v="1"/>
    <n v="1"/>
    <n v="4484"/>
    <x v="0"/>
    <n v="1494"/>
    <x v="0"/>
    <x v="0"/>
    <x v="2"/>
    <x v="7"/>
    <x v="0"/>
    <x v="0"/>
    <x v="58"/>
    <x v="92"/>
  </r>
  <r>
    <x v="93"/>
    <x v="81"/>
    <x v="2"/>
    <x v="2"/>
    <x v="1"/>
    <x v="1"/>
    <n v="1"/>
    <n v="7485"/>
    <x v="0"/>
    <n v="2495"/>
    <x v="0"/>
    <x v="2"/>
    <x v="0"/>
    <x v="11"/>
    <x v="5"/>
    <x v="1"/>
    <x v="59"/>
    <x v="93"/>
  </r>
  <r>
    <x v="94"/>
    <x v="12"/>
    <x v="5"/>
    <x v="5"/>
    <x v="0"/>
    <x v="0"/>
    <n v="1"/>
    <n v="5283"/>
    <x v="2"/>
    <n v="3522"/>
    <x v="0"/>
    <x v="2"/>
    <x v="2"/>
    <x v="11"/>
    <x v="8"/>
    <x v="0"/>
    <x v="60"/>
    <x v="94"/>
  </r>
  <r>
    <x v="95"/>
    <x v="25"/>
    <x v="9"/>
    <x v="8"/>
    <x v="0"/>
    <x v="0"/>
    <n v="1"/>
    <n v="14089"/>
    <x v="2"/>
    <n v="9392"/>
    <x v="0"/>
    <x v="1"/>
    <x v="0"/>
    <x v="12"/>
    <x v="8"/>
    <x v="0"/>
    <x v="61"/>
    <x v="95"/>
  </r>
  <r>
    <x v="96"/>
    <x v="30"/>
    <x v="9"/>
    <x v="8"/>
    <x v="1"/>
    <x v="1"/>
    <n v="1"/>
    <n v="10160"/>
    <x v="0"/>
    <n v="3386"/>
    <x v="0"/>
    <x v="1"/>
    <x v="4"/>
    <x v="0"/>
    <x v="2"/>
    <x v="0"/>
    <x v="62"/>
    <x v="96"/>
  </r>
  <r>
    <x v="97"/>
    <x v="82"/>
    <x v="1"/>
    <x v="1"/>
    <x v="0"/>
    <x v="0"/>
    <n v="1"/>
    <n v="4798"/>
    <x v="2"/>
    <n v="3198"/>
    <x v="0"/>
    <x v="1"/>
    <x v="4"/>
    <x v="1"/>
    <x v="3"/>
    <x v="1"/>
    <x v="63"/>
    <x v="97"/>
  </r>
  <r>
    <x v="98"/>
    <x v="83"/>
    <x v="4"/>
    <x v="4"/>
    <x v="0"/>
    <x v="0"/>
    <n v="1"/>
    <n v="6294"/>
    <x v="0"/>
    <n v="2098"/>
    <x v="0"/>
    <x v="0"/>
    <x v="1"/>
    <x v="10"/>
    <x v="2"/>
    <x v="1"/>
    <x v="64"/>
    <x v="98"/>
  </r>
  <r>
    <x v="99"/>
    <x v="84"/>
    <x v="8"/>
    <x v="7"/>
    <x v="0"/>
    <x v="0"/>
    <n v="1"/>
    <n v="12130"/>
    <x v="2"/>
    <n v="8086"/>
    <x v="0"/>
    <x v="1"/>
    <x v="2"/>
    <x v="11"/>
    <x v="5"/>
    <x v="0"/>
    <x v="65"/>
    <x v="99"/>
  </r>
  <r>
    <x v="100"/>
    <x v="85"/>
    <x v="9"/>
    <x v="8"/>
    <x v="1"/>
    <x v="1"/>
    <n v="1"/>
    <n v="14560"/>
    <x v="2"/>
    <n v="9706"/>
    <x v="0"/>
    <x v="2"/>
    <x v="2"/>
    <x v="6"/>
    <x v="5"/>
    <x v="1"/>
    <x v="66"/>
    <x v="100"/>
  </r>
  <r>
    <x v="101"/>
    <x v="86"/>
    <x v="7"/>
    <x v="6"/>
    <x v="0"/>
    <x v="0"/>
    <n v="1"/>
    <n v="11765"/>
    <x v="0"/>
    <n v="3921"/>
    <x v="0"/>
    <x v="0"/>
    <x v="5"/>
    <x v="4"/>
    <x v="6"/>
    <x v="1"/>
    <x v="67"/>
    <x v="101"/>
  </r>
  <r>
    <x v="102"/>
    <x v="4"/>
    <x v="13"/>
    <x v="9"/>
    <x v="0"/>
    <x v="0"/>
    <n v="1"/>
    <n v="4585"/>
    <x v="0"/>
    <n v="1528"/>
    <x v="0"/>
    <x v="0"/>
    <x v="0"/>
    <x v="12"/>
    <x v="7"/>
    <x v="1"/>
    <x v="68"/>
    <x v="102"/>
  </r>
  <r>
    <x v="103"/>
    <x v="87"/>
    <x v="1"/>
    <x v="1"/>
    <x v="0"/>
    <x v="0"/>
    <n v="1"/>
    <n v="6141"/>
    <x v="2"/>
    <n v="4094"/>
    <x v="0"/>
    <x v="0"/>
    <x v="0"/>
    <x v="11"/>
    <x v="7"/>
    <x v="0"/>
    <x v="69"/>
    <x v="103"/>
  </r>
  <r>
    <x v="104"/>
    <x v="88"/>
    <x v="13"/>
    <x v="9"/>
    <x v="1"/>
    <x v="1"/>
    <n v="1"/>
    <n v="3323"/>
    <x v="0"/>
    <n v="1107"/>
    <x v="0"/>
    <x v="0"/>
    <x v="3"/>
    <x v="1"/>
    <x v="3"/>
    <x v="0"/>
    <x v="70"/>
    <x v="104"/>
  </r>
  <r>
    <x v="105"/>
    <x v="89"/>
    <x v="2"/>
    <x v="2"/>
    <x v="0"/>
    <x v="0"/>
    <n v="1"/>
    <n v="6538"/>
    <x v="0"/>
    <n v="2179"/>
    <x v="0"/>
    <x v="1"/>
    <x v="3"/>
    <x v="0"/>
    <x v="6"/>
    <x v="0"/>
    <x v="71"/>
    <x v="105"/>
  </r>
  <r>
    <x v="106"/>
    <x v="90"/>
    <x v="12"/>
    <x v="11"/>
    <x v="1"/>
    <x v="1"/>
    <n v="1"/>
    <n v="6984"/>
    <x v="2"/>
    <n v="4656"/>
    <x v="0"/>
    <x v="0"/>
    <x v="2"/>
    <x v="2"/>
    <x v="8"/>
    <x v="1"/>
    <x v="72"/>
    <x v="106"/>
  </r>
  <r>
    <x v="107"/>
    <x v="91"/>
    <x v="9"/>
    <x v="8"/>
    <x v="1"/>
    <x v="1"/>
    <n v="1"/>
    <n v="11623"/>
    <x v="0"/>
    <n v="3874"/>
    <x v="0"/>
    <x v="1"/>
    <x v="5"/>
    <x v="3"/>
    <x v="7"/>
    <x v="0"/>
    <x v="73"/>
    <x v="107"/>
  </r>
  <r>
    <x v="108"/>
    <x v="92"/>
    <x v="3"/>
    <x v="3"/>
    <x v="1"/>
    <x v="1"/>
    <n v="1"/>
    <n v="6572"/>
    <x v="1"/>
    <n v="6570"/>
    <x v="0"/>
    <x v="2"/>
    <x v="3"/>
    <x v="11"/>
    <x v="3"/>
    <x v="1"/>
    <x v="4"/>
    <x v="108"/>
  </r>
  <r>
    <x v="109"/>
    <x v="93"/>
    <x v="3"/>
    <x v="3"/>
    <x v="0"/>
    <x v="0"/>
    <n v="1"/>
    <n v="5246"/>
    <x v="0"/>
    <n v="1748"/>
    <x v="0"/>
    <x v="2"/>
    <x v="5"/>
    <x v="13"/>
    <x v="8"/>
    <x v="0"/>
    <x v="74"/>
    <x v="84"/>
  </r>
  <r>
    <x v="110"/>
    <x v="94"/>
    <x v="4"/>
    <x v="4"/>
    <x v="1"/>
    <x v="1"/>
    <n v="1"/>
    <n v="5391"/>
    <x v="0"/>
    <n v="1797"/>
    <x v="0"/>
    <x v="1"/>
    <x v="5"/>
    <x v="4"/>
    <x v="3"/>
    <x v="1"/>
    <x v="75"/>
    <x v="109"/>
  </r>
  <r>
    <x v="111"/>
    <x v="95"/>
    <x v="12"/>
    <x v="11"/>
    <x v="1"/>
    <x v="1"/>
    <n v="1"/>
    <n v="6648"/>
    <x v="2"/>
    <n v="4432"/>
    <x v="0"/>
    <x v="0"/>
    <x v="0"/>
    <x v="12"/>
    <x v="2"/>
    <x v="0"/>
    <x v="70"/>
    <x v="110"/>
  </r>
  <r>
    <x v="112"/>
    <x v="96"/>
    <x v="13"/>
    <x v="9"/>
    <x v="1"/>
    <x v="1"/>
    <n v="1"/>
    <n v="4419"/>
    <x v="0"/>
    <n v="1473"/>
    <x v="0"/>
    <x v="2"/>
    <x v="0"/>
    <x v="14"/>
    <x v="9"/>
    <x v="0"/>
    <x v="76"/>
    <x v="111"/>
  </r>
  <r>
    <x v="113"/>
    <x v="97"/>
    <x v="11"/>
    <x v="10"/>
    <x v="0"/>
    <x v="0"/>
    <n v="1"/>
    <n v="4737"/>
    <x v="2"/>
    <n v="3158"/>
    <x v="0"/>
    <x v="0"/>
    <x v="5"/>
    <x v="11"/>
    <x v="1"/>
    <x v="1"/>
    <x v="77"/>
    <x v="112"/>
  </r>
  <r>
    <x v="114"/>
    <x v="98"/>
    <x v="0"/>
    <x v="0"/>
    <x v="1"/>
    <x v="1"/>
    <n v="1"/>
    <n v="6494"/>
    <x v="1"/>
    <n v="6492"/>
    <x v="0"/>
    <x v="2"/>
    <x v="5"/>
    <x v="11"/>
    <x v="8"/>
    <x v="1"/>
    <x v="4"/>
    <x v="113"/>
  </r>
  <r>
    <x v="115"/>
    <x v="99"/>
    <x v="8"/>
    <x v="7"/>
    <x v="1"/>
    <x v="1"/>
    <n v="1"/>
    <n v="13724"/>
    <x v="1"/>
    <n v="13722"/>
    <x v="0"/>
    <x v="0"/>
    <x v="5"/>
    <x v="3"/>
    <x v="9"/>
    <x v="1"/>
    <x v="4"/>
    <x v="114"/>
  </r>
  <r>
    <x v="116"/>
    <x v="100"/>
    <x v="8"/>
    <x v="7"/>
    <x v="1"/>
    <x v="1"/>
    <n v="1"/>
    <n v="13021"/>
    <x v="2"/>
    <n v="8680"/>
    <x v="0"/>
    <x v="2"/>
    <x v="3"/>
    <x v="9"/>
    <x v="4"/>
    <x v="0"/>
    <x v="78"/>
    <x v="115"/>
  </r>
  <r>
    <x v="117"/>
    <x v="61"/>
    <x v="1"/>
    <x v="1"/>
    <x v="1"/>
    <x v="1"/>
    <n v="1"/>
    <n v="5214"/>
    <x v="2"/>
    <n v="3476"/>
    <x v="0"/>
    <x v="0"/>
    <x v="0"/>
    <x v="13"/>
    <x v="6"/>
    <x v="1"/>
    <x v="79"/>
    <x v="116"/>
  </r>
  <r>
    <x v="118"/>
    <x v="101"/>
    <x v="2"/>
    <x v="2"/>
    <x v="0"/>
    <x v="0"/>
    <n v="1"/>
    <n v="4836"/>
    <x v="2"/>
    <n v="3224"/>
    <x v="0"/>
    <x v="1"/>
    <x v="3"/>
    <x v="5"/>
    <x v="3"/>
    <x v="0"/>
    <x v="80"/>
    <x v="117"/>
  </r>
  <r>
    <x v="119"/>
    <x v="35"/>
    <x v="10"/>
    <x v="9"/>
    <x v="0"/>
    <x v="0"/>
    <n v="1"/>
    <n v="7495"/>
    <x v="1"/>
    <n v="7494"/>
    <x v="0"/>
    <x v="0"/>
    <x v="5"/>
    <x v="11"/>
    <x v="7"/>
    <x v="1"/>
    <x v="2"/>
    <x v="118"/>
  </r>
  <r>
    <x v="120"/>
    <x v="102"/>
    <x v="10"/>
    <x v="9"/>
    <x v="0"/>
    <x v="0"/>
    <n v="1"/>
    <n v="4764"/>
    <x v="1"/>
    <n v="4764"/>
    <x v="1"/>
    <x v="1"/>
    <x v="1"/>
    <x v="1"/>
    <x v="2"/>
    <x v="1"/>
    <x v="1"/>
    <x v="119"/>
  </r>
  <r>
    <x v="121"/>
    <x v="103"/>
    <x v="11"/>
    <x v="10"/>
    <x v="1"/>
    <x v="1"/>
    <n v="1"/>
    <n v="3623"/>
    <x v="2"/>
    <n v="2414"/>
    <x v="0"/>
    <x v="2"/>
    <x v="5"/>
    <x v="7"/>
    <x v="5"/>
    <x v="0"/>
    <x v="81"/>
    <x v="120"/>
  </r>
  <r>
    <x v="122"/>
    <x v="104"/>
    <x v="8"/>
    <x v="7"/>
    <x v="0"/>
    <x v="0"/>
    <n v="1"/>
    <n v="13734"/>
    <x v="1"/>
    <n v="13734"/>
    <x v="1"/>
    <x v="0"/>
    <x v="0"/>
    <x v="8"/>
    <x v="0"/>
    <x v="0"/>
    <x v="1"/>
    <x v="121"/>
  </r>
  <r>
    <x v="123"/>
    <x v="105"/>
    <x v="1"/>
    <x v="1"/>
    <x v="0"/>
    <x v="0"/>
    <n v="1"/>
    <n v="6723"/>
    <x v="0"/>
    <n v="2241"/>
    <x v="0"/>
    <x v="0"/>
    <x v="5"/>
    <x v="7"/>
    <x v="0"/>
    <x v="1"/>
    <x v="82"/>
    <x v="122"/>
  </r>
  <r>
    <x v="124"/>
    <x v="106"/>
    <x v="10"/>
    <x v="9"/>
    <x v="1"/>
    <x v="1"/>
    <n v="1"/>
    <n v="7616"/>
    <x v="1"/>
    <n v="7614"/>
    <x v="0"/>
    <x v="2"/>
    <x v="2"/>
    <x v="10"/>
    <x v="3"/>
    <x v="1"/>
    <x v="4"/>
    <x v="123"/>
  </r>
  <r>
    <x v="125"/>
    <x v="107"/>
    <x v="6"/>
    <x v="6"/>
    <x v="0"/>
    <x v="0"/>
    <n v="1"/>
    <n v="7165"/>
    <x v="1"/>
    <n v="7164"/>
    <x v="0"/>
    <x v="1"/>
    <x v="4"/>
    <x v="0"/>
    <x v="2"/>
    <x v="1"/>
    <x v="2"/>
    <x v="124"/>
  </r>
  <r>
    <x v="126"/>
    <x v="108"/>
    <x v="2"/>
    <x v="2"/>
    <x v="1"/>
    <x v="1"/>
    <n v="1"/>
    <n v="7350"/>
    <x v="0"/>
    <n v="2450"/>
    <x v="0"/>
    <x v="2"/>
    <x v="5"/>
    <x v="3"/>
    <x v="3"/>
    <x v="1"/>
    <x v="47"/>
    <x v="125"/>
  </r>
  <r>
    <x v="127"/>
    <x v="109"/>
    <x v="2"/>
    <x v="2"/>
    <x v="0"/>
    <x v="0"/>
    <n v="1"/>
    <n v="6302"/>
    <x v="0"/>
    <n v="2100"/>
    <x v="0"/>
    <x v="0"/>
    <x v="4"/>
    <x v="12"/>
    <x v="0"/>
    <x v="1"/>
    <x v="83"/>
    <x v="126"/>
  </r>
  <r>
    <x v="128"/>
    <x v="110"/>
    <x v="6"/>
    <x v="6"/>
    <x v="1"/>
    <x v="1"/>
    <n v="1"/>
    <n v="11046"/>
    <x v="1"/>
    <n v="11046"/>
    <x v="1"/>
    <x v="2"/>
    <x v="5"/>
    <x v="7"/>
    <x v="7"/>
    <x v="1"/>
    <x v="1"/>
    <x v="127"/>
  </r>
  <r>
    <x v="129"/>
    <x v="111"/>
    <x v="13"/>
    <x v="9"/>
    <x v="1"/>
    <x v="1"/>
    <n v="1"/>
    <n v="3722"/>
    <x v="0"/>
    <n v="1240"/>
    <x v="0"/>
    <x v="1"/>
    <x v="5"/>
    <x v="10"/>
    <x v="0"/>
    <x v="1"/>
    <x v="84"/>
    <x v="128"/>
  </r>
  <r>
    <x v="130"/>
    <x v="38"/>
    <x v="10"/>
    <x v="9"/>
    <x v="0"/>
    <x v="0"/>
    <n v="1"/>
    <n v="5343"/>
    <x v="2"/>
    <n v="3562"/>
    <x v="0"/>
    <x v="0"/>
    <x v="0"/>
    <x v="13"/>
    <x v="1"/>
    <x v="1"/>
    <x v="85"/>
    <x v="129"/>
  </r>
  <r>
    <x v="131"/>
    <x v="7"/>
    <x v="8"/>
    <x v="7"/>
    <x v="0"/>
    <x v="0"/>
    <n v="1"/>
    <n v="14896"/>
    <x v="0"/>
    <n v="4965"/>
    <x v="0"/>
    <x v="2"/>
    <x v="5"/>
    <x v="13"/>
    <x v="1"/>
    <x v="0"/>
    <x v="86"/>
    <x v="130"/>
  </r>
  <r>
    <x v="132"/>
    <x v="112"/>
    <x v="12"/>
    <x v="11"/>
    <x v="0"/>
    <x v="0"/>
    <n v="1"/>
    <n v="5386"/>
    <x v="0"/>
    <n v="1795"/>
    <x v="0"/>
    <x v="1"/>
    <x v="0"/>
    <x v="4"/>
    <x v="6"/>
    <x v="1"/>
    <x v="87"/>
    <x v="131"/>
  </r>
  <r>
    <x v="133"/>
    <x v="113"/>
    <x v="5"/>
    <x v="5"/>
    <x v="0"/>
    <x v="0"/>
    <n v="1"/>
    <n v="4588"/>
    <x v="1"/>
    <n v="4587"/>
    <x v="0"/>
    <x v="0"/>
    <x v="1"/>
    <x v="4"/>
    <x v="5"/>
    <x v="1"/>
    <x v="2"/>
    <x v="11"/>
  </r>
  <r>
    <x v="134"/>
    <x v="53"/>
    <x v="13"/>
    <x v="9"/>
    <x v="0"/>
    <x v="0"/>
    <n v="1"/>
    <n v="3085"/>
    <x v="2"/>
    <n v="2056"/>
    <x v="0"/>
    <x v="1"/>
    <x v="1"/>
    <x v="4"/>
    <x v="7"/>
    <x v="0"/>
    <x v="88"/>
    <x v="132"/>
  </r>
  <r>
    <x v="135"/>
    <x v="114"/>
    <x v="4"/>
    <x v="4"/>
    <x v="1"/>
    <x v="1"/>
    <n v="1"/>
    <n v="6795"/>
    <x v="0"/>
    <n v="2265"/>
    <x v="0"/>
    <x v="2"/>
    <x v="2"/>
    <x v="1"/>
    <x v="7"/>
    <x v="0"/>
    <x v="89"/>
    <x v="133"/>
  </r>
  <r>
    <x v="136"/>
    <x v="115"/>
    <x v="4"/>
    <x v="4"/>
    <x v="1"/>
    <x v="1"/>
    <n v="1"/>
    <n v="4566"/>
    <x v="2"/>
    <n v="3044"/>
    <x v="0"/>
    <x v="2"/>
    <x v="2"/>
    <x v="0"/>
    <x v="0"/>
    <x v="0"/>
    <x v="90"/>
    <x v="134"/>
  </r>
  <r>
    <x v="137"/>
    <x v="52"/>
    <x v="3"/>
    <x v="3"/>
    <x v="1"/>
    <x v="1"/>
    <n v="1"/>
    <n v="6127"/>
    <x v="2"/>
    <n v="4084"/>
    <x v="0"/>
    <x v="1"/>
    <x v="1"/>
    <x v="10"/>
    <x v="5"/>
    <x v="1"/>
    <x v="91"/>
    <x v="135"/>
  </r>
  <r>
    <x v="138"/>
    <x v="116"/>
    <x v="5"/>
    <x v="5"/>
    <x v="0"/>
    <x v="0"/>
    <n v="1"/>
    <n v="4531"/>
    <x v="2"/>
    <n v="3020"/>
    <x v="0"/>
    <x v="0"/>
    <x v="0"/>
    <x v="14"/>
    <x v="1"/>
    <x v="1"/>
    <x v="92"/>
    <x v="136"/>
  </r>
  <r>
    <x v="139"/>
    <x v="93"/>
    <x v="0"/>
    <x v="0"/>
    <x v="0"/>
    <x v="0"/>
    <n v="1"/>
    <n v="6224"/>
    <x v="0"/>
    <n v="2074"/>
    <x v="0"/>
    <x v="2"/>
    <x v="4"/>
    <x v="13"/>
    <x v="3"/>
    <x v="1"/>
    <x v="93"/>
    <x v="137"/>
  </r>
  <r>
    <x v="140"/>
    <x v="98"/>
    <x v="1"/>
    <x v="1"/>
    <x v="0"/>
    <x v="0"/>
    <n v="1"/>
    <n v="6218"/>
    <x v="0"/>
    <n v="2072"/>
    <x v="0"/>
    <x v="1"/>
    <x v="1"/>
    <x v="7"/>
    <x v="4"/>
    <x v="1"/>
    <x v="94"/>
    <x v="138"/>
  </r>
  <r>
    <x v="141"/>
    <x v="117"/>
    <x v="2"/>
    <x v="2"/>
    <x v="1"/>
    <x v="1"/>
    <n v="1"/>
    <n v="7396"/>
    <x v="1"/>
    <n v="7395"/>
    <x v="0"/>
    <x v="1"/>
    <x v="1"/>
    <x v="14"/>
    <x v="3"/>
    <x v="1"/>
    <x v="2"/>
    <x v="139"/>
  </r>
  <r>
    <x v="142"/>
    <x v="58"/>
    <x v="8"/>
    <x v="7"/>
    <x v="1"/>
    <x v="1"/>
    <n v="1"/>
    <n v="10471"/>
    <x v="1"/>
    <n v="10470"/>
    <x v="0"/>
    <x v="0"/>
    <x v="1"/>
    <x v="6"/>
    <x v="6"/>
    <x v="0"/>
    <x v="2"/>
    <x v="140"/>
  </r>
  <r>
    <x v="143"/>
    <x v="26"/>
    <x v="2"/>
    <x v="2"/>
    <x v="1"/>
    <x v="1"/>
    <n v="1"/>
    <n v="7540"/>
    <x v="0"/>
    <n v="2513"/>
    <x v="0"/>
    <x v="2"/>
    <x v="3"/>
    <x v="12"/>
    <x v="4"/>
    <x v="1"/>
    <x v="95"/>
    <x v="141"/>
  </r>
  <r>
    <x v="144"/>
    <x v="118"/>
    <x v="13"/>
    <x v="9"/>
    <x v="1"/>
    <x v="1"/>
    <n v="1"/>
    <n v="4193"/>
    <x v="1"/>
    <n v="4191"/>
    <x v="0"/>
    <x v="0"/>
    <x v="2"/>
    <x v="11"/>
    <x v="3"/>
    <x v="0"/>
    <x v="4"/>
    <x v="142"/>
  </r>
  <r>
    <x v="145"/>
    <x v="119"/>
    <x v="0"/>
    <x v="0"/>
    <x v="1"/>
    <x v="1"/>
    <n v="1"/>
    <n v="7757"/>
    <x v="2"/>
    <n v="5170"/>
    <x v="0"/>
    <x v="1"/>
    <x v="0"/>
    <x v="4"/>
    <x v="9"/>
    <x v="0"/>
    <x v="96"/>
    <x v="143"/>
  </r>
  <r>
    <x v="146"/>
    <x v="120"/>
    <x v="13"/>
    <x v="9"/>
    <x v="1"/>
    <x v="1"/>
    <n v="1"/>
    <n v="3830"/>
    <x v="0"/>
    <n v="1276"/>
    <x v="0"/>
    <x v="1"/>
    <x v="3"/>
    <x v="14"/>
    <x v="7"/>
    <x v="1"/>
    <x v="97"/>
    <x v="144"/>
  </r>
  <r>
    <x v="147"/>
    <x v="121"/>
    <x v="4"/>
    <x v="4"/>
    <x v="1"/>
    <x v="1"/>
    <n v="1"/>
    <n v="5578"/>
    <x v="2"/>
    <n v="3718"/>
    <x v="0"/>
    <x v="1"/>
    <x v="3"/>
    <x v="5"/>
    <x v="1"/>
    <x v="1"/>
    <x v="98"/>
    <x v="145"/>
  </r>
  <r>
    <x v="148"/>
    <x v="122"/>
    <x v="6"/>
    <x v="6"/>
    <x v="1"/>
    <x v="1"/>
    <n v="1"/>
    <n v="10886"/>
    <x v="0"/>
    <n v="3628"/>
    <x v="0"/>
    <x v="0"/>
    <x v="2"/>
    <x v="1"/>
    <x v="7"/>
    <x v="0"/>
    <x v="99"/>
    <x v="146"/>
  </r>
  <r>
    <x v="149"/>
    <x v="123"/>
    <x v="8"/>
    <x v="7"/>
    <x v="0"/>
    <x v="0"/>
    <n v="1"/>
    <n v="7358"/>
    <x v="0"/>
    <n v="2452"/>
    <x v="0"/>
    <x v="1"/>
    <x v="2"/>
    <x v="9"/>
    <x v="2"/>
    <x v="1"/>
    <x v="100"/>
    <x v="147"/>
  </r>
  <r>
    <x v="150"/>
    <x v="85"/>
    <x v="6"/>
    <x v="6"/>
    <x v="1"/>
    <x v="1"/>
    <n v="1"/>
    <n v="8958"/>
    <x v="1"/>
    <n v="8958"/>
    <x v="1"/>
    <x v="2"/>
    <x v="5"/>
    <x v="5"/>
    <x v="5"/>
    <x v="1"/>
    <x v="1"/>
    <x v="148"/>
  </r>
  <r>
    <x v="151"/>
    <x v="37"/>
    <x v="7"/>
    <x v="6"/>
    <x v="1"/>
    <x v="1"/>
    <n v="1"/>
    <n v="10213"/>
    <x v="1"/>
    <n v="10212"/>
    <x v="0"/>
    <x v="1"/>
    <x v="1"/>
    <x v="0"/>
    <x v="7"/>
    <x v="0"/>
    <x v="2"/>
    <x v="149"/>
  </r>
  <r>
    <x v="152"/>
    <x v="124"/>
    <x v="11"/>
    <x v="10"/>
    <x v="0"/>
    <x v="0"/>
    <n v="1"/>
    <n v="5922"/>
    <x v="0"/>
    <n v="1974"/>
    <x v="0"/>
    <x v="0"/>
    <x v="5"/>
    <x v="5"/>
    <x v="1"/>
    <x v="0"/>
    <x v="101"/>
    <x v="150"/>
  </r>
  <r>
    <x v="153"/>
    <x v="125"/>
    <x v="9"/>
    <x v="8"/>
    <x v="0"/>
    <x v="0"/>
    <n v="1"/>
    <n v="11544"/>
    <x v="2"/>
    <n v="7696"/>
    <x v="0"/>
    <x v="2"/>
    <x v="4"/>
    <x v="2"/>
    <x v="1"/>
    <x v="0"/>
    <x v="102"/>
    <x v="151"/>
  </r>
  <r>
    <x v="154"/>
    <x v="126"/>
    <x v="2"/>
    <x v="2"/>
    <x v="1"/>
    <x v="1"/>
    <n v="1"/>
    <n v="6885"/>
    <x v="0"/>
    <n v="2295"/>
    <x v="0"/>
    <x v="2"/>
    <x v="0"/>
    <x v="13"/>
    <x v="2"/>
    <x v="0"/>
    <x v="103"/>
    <x v="152"/>
  </r>
  <r>
    <x v="155"/>
    <x v="101"/>
    <x v="12"/>
    <x v="11"/>
    <x v="0"/>
    <x v="0"/>
    <n v="1"/>
    <n v="6450"/>
    <x v="2"/>
    <n v="4300"/>
    <x v="0"/>
    <x v="2"/>
    <x v="4"/>
    <x v="5"/>
    <x v="8"/>
    <x v="0"/>
    <x v="104"/>
    <x v="153"/>
  </r>
  <r>
    <x v="156"/>
    <x v="127"/>
    <x v="11"/>
    <x v="10"/>
    <x v="1"/>
    <x v="1"/>
    <n v="1"/>
    <n v="4700"/>
    <x v="0"/>
    <n v="1566"/>
    <x v="0"/>
    <x v="1"/>
    <x v="2"/>
    <x v="11"/>
    <x v="6"/>
    <x v="0"/>
    <x v="105"/>
    <x v="154"/>
  </r>
  <r>
    <x v="157"/>
    <x v="128"/>
    <x v="10"/>
    <x v="9"/>
    <x v="0"/>
    <x v="0"/>
    <n v="1"/>
    <n v="5778"/>
    <x v="2"/>
    <n v="3852"/>
    <x v="0"/>
    <x v="2"/>
    <x v="1"/>
    <x v="4"/>
    <x v="2"/>
    <x v="0"/>
    <x v="106"/>
    <x v="155"/>
  </r>
  <r>
    <x v="158"/>
    <x v="121"/>
    <x v="4"/>
    <x v="4"/>
    <x v="1"/>
    <x v="1"/>
    <n v="1"/>
    <n v="4583"/>
    <x v="0"/>
    <n v="1527"/>
    <x v="0"/>
    <x v="1"/>
    <x v="0"/>
    <x v="3"/>
    <x v="2"/>
    <x v="1"/>
    <x v="107"/>
    <x v="156"/>
  </r>
  <r>
    <x v="159"/>
    <x v="129"/>
    <x v="12"/>
    <x v="11"/>
    <x v="0"/>
    <x v="0"/>
    <n v="1"/>
    <n v="7446"/>
    <x v="0"/>
    <n v="2482"/>
    <x v="0"/>
    <x v="1"/>
    <x v="3"/>
    <x v="4"/>
    <x v="8"/>
    <x v="1"/>
    <x v="108"/>
    <x v="157"/>
  </r>
  <r>
    <x v="160"/>
    <x v="130"/>
    <x v="1"/>
    <x v="1"/>
    <x v="1"/>
    <x v="1"/>
    <n v="1"/>
    <n v="5270"/>
    <x v="1"/>
    <n v="5268"/>
    <x v="0"/>
    <x v="0"/>
    <x v="5"/>
    <x v="2"/>
    <x v="1"/>
    <x v="1"/>
    <x v="4"/>
    <x v="158"/>
  </r>
  <r>
    <x v="161"/>
    <x v="131"/>
    <x v="4"/>
    <x v="4"/>
    <x v="1"/>
    <x v="1"/>
    <n v="1"/>
    <n v="5872"/>
    <x v="0"/>
    <n v="1957"/>
    <x v="0"/>
    <x v="2"/>
    <x v="5"/>
    <x v="6"/>
    <x v="0"/>
    <x v="1"/>
    <x v="109"/>
    <x v="159"/>
  </r>
  <r>
    <x v="162"/>
    <x v="132"/>
    <x v="3"/>
    <x v="3"/>
    <x v="1"/>
    <x v="1"/>
    <n v="1"/>
    <n v="4264"/>
    <x v="1"/>
    <n v="4263"/>
    <x v="0"/>
    <x v="2"/>
    <x v="0"/>
    <x v="6"/>
    <x v="7"/>
    <x v="1"/>
    <x v="2"/>
    <x v="160"/>
  </r>
  <r>
    <x v="163"/>
    <x v="15"/>
    <x v="3"/>
    <x v="3"/>
    <x v="0"/>
    <x v="0"/>
    <n v="1"/>
    <n v="6509"/>
    <x v="0"/>
    <n v="2169"/>
    <x v="0"/>
    <x v="2"/>
    <x v="0"/>
    <x v="10"/>
    <x v="2"/>
    <x v="0"/>
    <x v="110"/>
    <x v="161"/>
  </r>
  <r>
    <x v="164"/>
    <x v="133"/>
    <x v="13"/>
    <x v="9"/>
    <x v="0"/>
    <x v="0"/>
    <n v="1"/>
    <n v="3059"/>
    <x v="0"/>
    <n v="1019"/>
    <x v="0"/>
    <x v="2"/>
    <x v="0"/>
    <x v="2"/>
    <x v="5"/>
    <x v="1"/>
    <x v="111"/>
    <x v="162"/>
  </r>
  <r>
    <x v="165"/>
    <x v="134"/>
    <x v="3"/>
    <x v="3"/>
    <x v="1"/>
    <x v="1"/>
    <n v="1"/>
    <n v="4628"/>
    <x v="0"/>
    <n v="1542"/>
    <x v="0"/>
    <x v="1"/>
    <x v="5"/>
    <x v="5"/>
    <x v="4"/>
    <x v="0"/>
    <x v="112"/>
    <x v="163"/>
  </r>
  <r>
    <x v="166"/>
    <x v="7"/>
    <x v="7"/>
    <x v="6"/>
    <x v="1"/>
    <x v="1"/>
    <n v="1"/>
    <n v="7708"/>
    <x v="2"/>
    <n v="5138"/>
    <x v="0"/>
    <x v="2"/>
    <x v="0"/>
    <x v="6"/>
    <x v="6"/>
    <x v="0"/>
    <x v="113"/>
    <x v="164"/>
  </r>
  <r>
    <x v="167"/>
    <x v="135"/>
    <x v="5"/>
    <x v="5"/>
    <x v="1"/>
    <x v="1"/>
    <n v="1"/>
    <n v="4039"/>
    <x v="2"/>
    <n v="2692"/>
    <x v="0"/>
    <x v="1"/>
    <x v="3"/>
    <x v="0"/>
    <x v="5"/>
    <x v="0"/>
    <x v="114"/>
    <x v="165"/>
  </r>
  <r>
    <x v="168"/>
    <x v="111"/>
    <x v="10"/>
    <x v="9"/>
    <x v="1"/>
    <x v="1"/>
    <n v="1"/>
    <n v="7546"/>
    <x v="0"/>
    <n v="2515"/>
    <x v="0"/>
    <x v="0"/>
    <x v="2"/>
    <x v="7"/>
    <x v="3"/>
    <x v="0"/>
    <x v="115"/>
    <x v="166"/>
  </r>
  <r>
    <x v="169"/>
    <x v="136"/>
    <x v="3"/>
    <x v="3"/>
    <x v="1"/>
    <x v="1"/>
    <n v="1"/>
    <n v="5204"/>
    <x v="1"/>
    <n v="5202"/>
    <x v="0"/>
    <x v="0"/>
    <x v="1"/>
    <x v="13"/>
    <x v="5"/>
    <x v="0"/>
    <x v="4"/>
    <x v="167"/>
  </r>
  <r>
    <x v="170"/>
    <x v="137"/>
    <x v="7"/>
    <x v="6"/>
    <x v="0"/>
    <x v="0"/>
    <n v="1"/>
    <n v="11908"/>
    <x v="2"/>
    <n v="7938"/>
    <x v="0"/>
    <x v="1"/>
    <x v="3"/>
    <x v="5"/>
    <x v="8"/>
    <x v="0"/>
    <x v="116"/>
    <x v="168"/>
  </r>
  <r>
    <x v="171"/>
    <x v="138"/>
    <x v="3"/>
    <x v="3"/>
    <x v="1"/>
    <x v="1"/>
    <n v="1"/>
    <n v="7350"/>
    <x v="1"/>
    <n v="7350"/>
    <x v="1"/>
    <x v="0"/>
    <x v="2"/>
    <x v="0"/>
    <x v="3"/>
    <x v="1"/>
    <x v="1"/>
    <x v="169"/>
  </r>
  <r>
    <x v="172"/>
    <x v="28"/>
    <x v="10"/>
    <x v="9"/>
    <x v="0"/>
    <x v="0"/>
    <n v="1"/>
    <n v="5444"/>
    <x v="0"/>
    <n v="1814"/>
    <x v="0"/>
    <x v="1"/>
    <x v="1"/>
    <x v="10"/>
    <x v="2"/>
    <x v="1"/>
    <x v="117"/>
    <x v="170"/>
  </r>
  <r>
    <x v="173"/>
    <x v="91"/>
    <x v="11"/>
    <x v="10"/>
    <x v="0"/>
    <x v="0"/>
    <n v="1"/>
    <n v="5723"/>
    <x v="2"/>
    <n v="3814"/>
    <x v="0"/>
    <x v="1"/>
    <x v="0"/>
    <x v="1"/>
    <x v="4"/>
    <x v="1"/>
    <x v="118"/>
    <x v="171"/>
  </r>
  <r>
    <x v="174"/>
    <x v="77"/>
    <x v="13"/>
    <x v="9"/>
    <x v="1"/>
    <x v="1"/>
    <n v="1"/>
    <n v="3373"/>
    <x v="2"/>
    <n v="2248"/>
    <x v="0"/>
    <x v="1"/>
    <x v="5"/>
    <x v="10"/>
    <x v="9"/>
    <x v="0"/>
    <x v="119"/>
    <x v="172"/>
  </r>
  <r>
    <x v="175"/>
    <x v="3"/>
    <x v="2"/>
    <x v="2"/>
    <x v="1"/>
    <x v="1"/>
    <n v="1"/>
    <n v="5632"/>
    <x v="1"/>
    <n v="5631"/>
    <x v="0"/>
    <x v="2"/>
    <x v="1"/>
    <x v="14"/>
    <x v="4"/>
    <x v="0"/>
    <x v="2"/>
    <x v="173"/>
  </r>
  <r>
    <x v="176"/>
    <x v="139"/>
    <x v="12"/>
    <x v="11"/>
    <x v="0"/>
    <x v="0"/>
    <n v="1"/>
    <n v="6517"/>
    <x v="0"/>
    <n v="2172"/>
    <x v="0"/>
    <x v="2"/>
    <x v="0"/>
    <x v="9"/>
    <x v="4"/>
    <x v="0"/>
    <x v="120"/>
    <x v="174"/>
  </r>
  <r>
    <x v="177"/>
    <x v="140"/>
    <x v="6"/>
    <x v="6"/>
    <x v="1"/>
    <x v="1"/>
    <n v="1"/>
    <n v="9088"/>
    <x v="1"/>
    <n v="9087"/>
    <x v="0"/>
    <x v="0"/>
    <x v="2"/>
    <x v="8"/>
    <x v="2"/>
    <x v="1"/>
    <x v="2"/>
    <x v="175"/>
  </r>
  <r>
    <x v="178"/>
    <x v="141"/>
    <x v="11"/>
    <x v="10"/>
    <x v="0"/>
    <x v="0"/>
    <n v="1"/>
    <n v="5871"/>
    <x v="2"/>
    <n v="3914"/>
    <x v="0"/>
    <x v="2"/>
    <x v="2"/>
    <x v="5"/>
    <x v="8"/>
    <x v="0"/>
    <x v="121"/>
    <x v="176"/>
  </r>
  <r>
    <x v="179"/>
    <x v="142"/>
    <x v="11"/>
    <x v="10"/>
    <x v="0"/>
    <x v="0"/>
    <n v="1"/>
    <n v="3962"/>
    <x v="1"/>
    <n v="3960"/>
    <x v="0"/>
    <x v="2"/>
    <x v="2"/>
    <x v="7"/>
    <x v="8"/>
    <x v="1"/>
    <x v="4"/>
    <x v="177"/>
  </r>
  <r>
    <x v="180"/>
    <x v="45"/>
    <x v="12"/>
    <x v="11"/>
    <x v="0"/>
    <x v="0"/>
    <n v="1"/>
    <n v="7893"/>
    <x v="2"/>
    <n v="5262"/>
    <x v="0"/>
    <x v="2"/>
    <x v="1"/>
    <x v="12"/>
    <x v="4"/>
    <x v="1"/>
    <x v="122"/>
    <x v="178"/>
  </r>
  <r>
    <x v="181"/>
    <x v="143"/>
    <x v="9"/>
    <x v="8"/>
    <x v="1"/>
    <x v="1"/>
    <n v="1"/>
    <n v="14688"/>
    <x v="0"/>
    <n v="4896"/>
    <x v="0"/>
    <x v="2"/>
    <x v="3"/>
    <x v="7"/>
    <x v="8"/>
    <x v="1"/>
    <x v="123"/>
    <x v="179"/>
  </r>
  <r>
    <x v="182"/>
    <x v="79"/>
    <x v="3"/>
    <x v="3"/>
    <x v="0"/>
    <x v="0"/>
    <n v="1"/>
    <n v="6471"/>
    <x v="0"/>
    <n v="2157"/>
    <x v="0"/>
    <x v="1"/>
    <x v="0"/>
    <x v="8"/>
    <x v="0"/>
    <x v="1"/>
    <x v="124"/>
    <x v="180"/>
  </r>
  <r>
    <x v="183"/>
    <x v="144"/>
    <x v="12"/>
    <x v="11"/>
    <x v="1"/>
    <x v="1"/>
    <n v="1"/>
    <n v="5772"/>
    <x v="1"/>
    <n v="5772"/>
    <x v="1"/>
    <x v="0"/>
    <x v="4"/>
    <x v="1"/>
    <x v="7"/>
    <x v="1"/>
    <x v="1"/>
    <x v="181"/>
  </r>
  <r>
    <x v="184"/>
    <x v="68"/>
    <x v="10"/>
    <x v="9"/>
    <x v="0"/>
    <x v="0"/>
    <n v="1"/>
    <n v="6143"/>
    <x v="2"/>
    <n v="4094"/>
    <x v="0"/>
    <x v="0"/>
    <x v="1"/>
    <x v="2"/>
    <x v="1"/>
    <x v="1"/>
    <x v="125"/>
    <x v="103"/>
  </r>
  <r>
    <x v="185"/>
    <x v="145"/>
    <x v="3"/>
    <x v="3"/>
    <x v="0"/>
    <x v="0"/>
    <n v="1"/>
    <n v="5491"/>
    <x v="2"/>
    <n v="3660"/>
    <x v="0"/>
    <x v="0"/>
    <x v="1"/>
    <x v="0"/>
    <x v="1"/>
    <x v="0"/>
    <x v="126"/>
    <x v="182"/>
  </r>
  <r>
    <x v="186"/>
    <x v="146"/>
    <x v="13"/>
    <x v="9"/>
    <x v="0"/>
    <x v="0"/>
    <n v="1"/>
    <n v="4092"/>
    <x v="2"/>
    <n v="2728"/>
    <x v="0"/>
    <x v="0"/>
    <x v="5"/>
    <x v="3"/>
    <x v="5"/>
    <x v="0"/>
    <x v="127"/>
    <x v="183"/>
  </r>
  <r>
    <x v="187"/>
    <x v="52"/>
    <x v="3"/>
    <x v="3"/>
    <x v="0"/>
    <x v="0"/>
    <n v="1"/>
    <n v="5313"/>
    <x v="1"/>
    <n v="5313"/>
    <x v="1"/>
    <x v="2"/>
    <x v="4"/>
    <x v="10"/>
    <x v="4"/>
    <x v="0"/>
    <x v="1"/>
    <x v="184"/>
  </r>
  <r>
    <x v="188"/>
    <x v="147"/>
    <x v="8"/>
    <x v="7"/>
    <x v="1"/>
    <x v="1"/>
    <n v="1"/>
    <n v="11806"/>
    <x v="2"/>
    <n v="7870"/>
    <x v="0"/>
    <x v="1"/>
    <x v="3"/>
    <x v="14"/>
    <x v="4"/>
    <x v="0"/>
    <x v="128"/>
    <x v="185"/>
  </r>
  <r>
    <x v="189"/>
    <x v="82"/>
    <x v="0"/>
    <x v="0"/>
    <x v="1"/>
    <x v="1"/>
    <n v="1"/>
    <n v="5503"/>
    <x v="1"/>
    <n v="5502"/>
    <x v="0"/>
    <x v="0"/>
    <x v="0"/>
    <x v="2"/>
    <x v="0"/>
    <x v="1"/>
    <x v="2"/>
    <x v="186"/>
  </r>
  <r>
    <x v="190"/>
    <x v="148"/>
    <x v="9"/>
    <x v="8"/>
    <x v="1"/>
    <x v="1"/>
    <n v="1"/>
    <n v="14684"/>
    <x v="1"/>
    <n v="14682"/>
    <x v="0"/>
    <x v="2"/>
    <x v="1"/>
    <x v="11"/>
    <x v="4"/>
    <x v="1"/>
    <x v="4"/>
    <x v="187"/>
  </r>
  <r>
    <x v="191"/>
    <x v="19"/>
    <x v="7"/>
    <x v="6"/>
    <x v="0"/>
    <x v="0"/>
    <n v="1"/>
    <n v="7264"/>
    <x v="0"/>
    <n v="2421"/>
    <x v="0"/>
    <x v="1"/>
    <x v="4"/>
    <x v="12"/>
    <x v="6"/>
    <x v="1"/>
    <x v="129"/>
    <x v="188"/>
  </r>
  <r>
    <x v="192"/>
    <x v="149"/>
    <x v="4"/>
    <x v="4"/>
    <x v="0"/>
    <x v="0"/>
    <n v="1"/>
    <n v="4108"/>
    <x v="2"/>
    <n v="2738"/>
    <x v="0"/>
    <x v="2"/>
    <x v="5"/>
    <x v="5"/>
    <x v="0"/>
    <x v="1"/>
    <x v="130"/>
    <x v="189"/>
  </r>
  <r>
    <x v="193"/>
    <x v="150"/>
    <x v="9"/>
    <x v="8"/>
    <x v="1"/>
    <x v="1"/>
    <n v="1"/>
    <n v="10920"/>
    <x v="0"/>
    <n v="3640"/>
    <x v="0"/>
    <x v="0"/>
    <x v="4"/>
    <x v="3"/>
    <x v="2"/>
    <x v="1"/>
    <x v="131"/>
    <x v="190"/>
  </r>
  <r>
    <x v="194"/>
    <x v="102"/>
    <x v="2"/>
    <x v="2"/>
    <x v="0"/>
    <x v="0"/>
    <n v="1"/>
    <n v="6683"/>
    <x v="0"/>
    <n v="2227"/>
    <x v="0"/>
    <x v="2"/>
    <x v="3"/>
    <x v="3"/>
    <x v="2"/>
    <x v="0"/>
    <x v="132"/>
    <x v="191"/>
  </r>
  <r>
    <x v="195"/>
    <x v="151"/>
    <x v="7"/>
    <x v="6"/>
    <x v="1"/>
    <x v="1"/>
    <n v="1"/>
    <n v="9436"/>
    <x v="2"/>
    <n v="6290"/>
    <x v="0"/>
    <x v="1"/>
    <x v="0"/>
    <x v="7"/>
    <x v="3"/>
    <x v="0"/>
    <x v="133"/>
    <x v="192"/>
  </r>
  <r>
    <x v="196"/>
    <x v="115"/>
    <x v="0"/>
    <x v="0"/>
    <x v="1"/>
    <x v="1"/>
    <n v="1"/>
    <n v="6333"/>
    <x v="1"/>
    <n v="6333"/>
    <x v="1"/>
    <x v="0"/>
    <x v="5"/>
    <x v="9"/>
    <x v="6"/>
    <x v="1"/>
    <x v="1"/>
    <x v="193"/>
  </r>
  <r>
    <x v="197"/>
    <x v="36"/>
    <x v="10"/>
    <x v="9"/>
    <x v="0"/>
    <x v="0"/>
    <n v="1"/>
    <n v="5958"/>
    <x v="1"/>
    <n v="5958"/>
    <x v="1"/>
    <x v="1"/>
    <x v="3"/>
    <x v="7"/>
    <x v="4"/>
    <x v="1"/>
    <x v="1"/>
    <x v="194"/>
  </r>
  <r>
    <x v="198"/>
    <x v="152"/>
    <x v="1"/>
    <x v="1"/>
    <x v="1"/>
    <x v="1"/>
    <n v="1"/>
    <n v="4550"/>
    <x v="1"/>
    <n v="4548"/>
    <x v="0"/>
    <x v="0"/>
    <x v="5"/>
    <x v="14"/>
    <x v="5"/>
    <x v="0"/>
    <x v="4"/>
    <x v="195"/>
  </r>
  <r>
    <x v="199"/>
    <x v="153"/>
    <x v="13"/>
    <x v="9"/>
    <x v="1"/>
    <x v="1"/>
    <n v="1"/>
    <n v="4839"/>
    <x v="0"/>
    <n v="1613"/>
    <x v="0"/>
    <x v="0"/>
    <x v="2"/>
    <x v="11"/>
    <x v="3"/>
    <x v="1"/>
    <x v="134"/>
    <x v="196"/>
  </r>
  <r>
    <x v="200"/>
    <x v="154"/>
    <x v="6"/>
    <x v="6"/>
    <x v="1"/>
    <x v="1"/>
    <n v="1"/>
    <n v="10066"/>
    <x v="0"/>
    <n v="3355"/>
    <x v="0"/>
    <x v="0"/>
    <x v="3"/>
    <x v="3"/>
    <x v="8"/>
    <x v="0"/>
    <x v="135"/>
    <x v="197"/>
  </r>
  <r>
    <x v="201"/>
    <x v="155"/>
    <x v="3"/>
    <x v="3"/>
    <x v="0"/>
    <x v="0"/>
    <n v="1"/>
    <n v="6543"/>
    <x v="0"/>
    <n v="2181"/>
    <x v="0"/>
    <x v="1"/>
    <x v="2"/>
    <x v="6"/>
    <x v="7"/>
    <x v="0"/>
    <x v="136"/>
    <x v="198"/>
  </r>
  <r>
    <x v="202"/>
    <x v="156"/>
    <x v="10"/>
    <x v="9"/>
    <x v="1"/>
    <x v="1"/>
    <n v="1"/>
    <n v="5961"/>
    <x v="2"/>
    <n v="3974"/>
    <x v="0"/>
    <x v="1"/>
    <x v="0"/>
    <x v="13"/>
    <x v="8"/>
    <x v="1"/>
    <x v="137"/>
    <x v="199"/>
  </r>
  <r>
    <x v="203"/>
    <x v="157"/>
    <x v="3"/>
    <x v="3"/>
    <x v="0"/>
    <x v="0"/>
    <n v="1"/>
    <n v="5428"/>
    <x v="1"/>
    <n v="5427"/>
    <x v="0"/>
    <x v="1"/>
    <x v="5"/>
    <x v="11"/>
    <x v="4"/>
    <x v="0"/>
    <x v="2"/>
    <x v="200"/>
  </r>
  <r>
    <x v="204"/>
    <x v="158"/>
    <x v="1"/>
    <x v="1"/>
    <x v="0"/>
    <x v="0"/>
    <n v="1"/>
    <n v="4591"/>
    <x v="1"/>
    <n v="4590"/>
    <x v="0"/>
    <x v="2"/>
    <x v="0"/>
    <x v="4"/>
    <x v="5"/>
    <x v="1"/>
    <x v="2"/>
    <x v="201"/>
  </r>
  <r>
    <x v="205"/>
    <x v="159"/>
    <x v="6"/>
    <x v="6"/>
    <x v="1"/>
    <x v="1"/>
    <n v="1"/>
    <n v="9207"/>
    <x v="1"/>
    <n v="9207"/>
    <x v="1"/>
    <x v="1"/>
    <x v="5"/>
    <x v="7"/>
    <x v="2"/>
    <x v="1"/>
    <x v="1"/>
    <x v="202"/>
  </r>
  <r>
    <x v="206"/>
    <x v="60"/>
    <x v="11"/>
    <x v="10"/>
    <x v="1"/>
    <x v="1"/>
    <n v="1"/>
    <n v="5166"/>
    <x v="2"/>
    <n v="3444"/>
    <x v="0"/>
    <x v="1"/>
    <x v="3"/>
    <x v="14"/>
    <x v="8"/>
    <x v="1"/>
    <x v="138"/>
    <x v="203"/>
  </r>
  <r>
    <x v="207"/>
    <x v="19"/>
    <x v="12"/>
    <x v="11"/>
    <x v="0"/>
    <x v="0"/>
    <n v="1"/>
    <n v="5322"/>
    <x v="0"/>
    <n v="1774"/>
    <x v="0"/>
    <x v="1"/>
    <x v="0"/>
    <x v="11"/>
    <x v="0"/>
    <x v="1"/>
    <x v="139"/>
    <x v="204"/>
  </r>
  <r>
    <x v="208"/>
    <x v="160"/>
    <x v="1"/>
    <x v="1"/>
    <x v="0"/>
    <x v="0"/>
    <n v="1"/>
    <n v="6806"/>
    <x v="0"/>
    <n v="2268"/>
    <x v="0"/>
    <x v="0"/>
    <x v="3"/>
    <x v="10"/>
    <x v="1"/>
    <x v="0"/>
    <x v="140"/>
    <x v="205"/>
  </r>
  <r>
    <x v="209"/>
    <x v="135"/>
    <x v="13"/>
    <x v="9"/>
    <x v="0"/>
    <x v="0"/>
    <n v="1"/>
    <n v="4800"/>
    <x v="2"/>
    <n v="3200"/>
    <x v="0"/>
    <x v="0"/>
    <x v="0"/>
    <x v="6"/>
    <x v="2"/>
    <x v="1"/>
    <x v="63"/>
    <x v="206"/>
  </r>
  <r>
    <x v="210"/>
    <x v="161"/>
    <x v="8"/>
    <x v="7"/>
    <x v="1"/>
    <x v="1"/>
    <n v="1"/>
    <n v="9491"/>
    <x v="1"/>
    <n v="9489"/>
    <x v="0"/>
    <x v="2"/>
    <x v="0"/>
    <x v="5"/>
    <x v="4"/>
    <x v="1"/>
    <x v="4"/>
    <x v="207"/>
  </r>
  <r>
    <x v="211"/>
    <x v="113"/>
    <x v="8"/>
    <x v="7"/>
    <x v="0"/>
    <x v="0"/>
    <n v="1"/>
    <n v="10336"/>
    <x v="2"/>
    <n v="6890"/>
    <x v="0"/>
    <x v="0"/>
    <x v="0"/>
    <x v="6"/>
    <x v="1"/>
    <x v="0"/>
    <x v="141"/>
    <x v="208"/>
  </r>
  <r>
    <x v="212"/>
    <x v="162"/>
    <x v="10"/>
    <x v="9"/>
    <x v="1"/>
    <x v="1"/>
    <n v="1"/>
    <n v="6146"/>
    <x v="2"/>
    <n v="4096"/>
    <x v="0"/>
    <x v="0"/>
    <x v="2"/>
    <x v="1"/>
    <x v="5"/>
    <x v="1"/>
    <x v="142"/>
    <x v="209"/>
  </r>
  <r>
    <x v="213"/>
    <x v="163"/>
    <x v="3"/>
    <x v="3"/>
    <x v="1"/>
    <x v="1"/>
    <n v="1"/>
    <n v="6958"/>
    <x v="2"/>
    <n v="4638"/>
    <x v="0"/>
    <x v="2"/>
    <x v="3"/>
    <x v="7"/>
    <x v="2"/>
    <x v="0"/>
    <x v="143"/>
    <x v="210"/>
  </r>
  <r>
    <x v="214"/>
    <x v="164"/>
    <x v="10"/>
    <x v="9"/>
    <x v="1"/>
    <x v="1"/>
    <n v="1"/>
    <n v="5536"/>
    <x v="2"/>
    <n v="3690"/>
    <x v="0"/>
    <x v="2"/>
    <x v="2"/>
    <x v="9"/>
    <x v="2"/>
    <x v="0"/>
    <x v="144"/>
    <x v="211"/>
  </r>
  <r>
    <x v="215"/>
    <x v="165"/>
    <x v="5"/>
    <x v="5"/>
    <x v="0"/>
    <x v="0"/>
    <n v="1"/>
    <n v="4045"/>
    <x v="0"/>
    <n v="1348"/>
    <x v="0"/>
    <x v="1"/>
    <x v="2"/>
    <x v="5"/>
    <x v="8"/>
    <x v="0"/>
    <x v="145"/>
    <x v="212"/>
  </r>
  <r>
    <x v="216"/>
    <x v="166"/>
    <x v="3"/>
    <x v="3"/>
    <x v="1"/>
    <x v="1"/>
    <n v="1"/>
    <n v="6520"/>
    <x v="0"/>
    <n v="2173"/>
    <x v="0"/>
    <x v="0"/>
    <x v="3"/>
    <x v="4"/>
    <x v="0"/>
    <x v="0"/>
    <x v="146"/>
    <x v="213"/>
  </r>
  <r>
    <x v="217"/>
    <x v="115"/>
    <x v="8"/>
    <x v="7"/>
    <x v="0"/>
    <x v="0"/>
    <n v="1"/>
    <n v="12522"/>
    <x v="2"/>
    <n v="8348"/>
    <x v="0"/>
    <x v="0"/>
    <x v="4"/>
    <x v="2"/>
    <x v="3"/>
    <x v="0"/>
    <x v="147"/>
    <x v="214"/>
  </r>
  <r>
    <x v="218"/>
    <x v="72"/>
    <x v="8"/>
    <x v="7"/>
    <x v="0"/>
    <x v="0"/>
    <n v="1"/>
    <n v="14428"/>
    <x v="0"/>
    <n v="4809"/>
    <x v="0"/>
    <x v="2"/>
    <x v="5"/>
    <x v="12"/>
    <x v="7"/>
    <x v="0"/>
    <x v="148"/>
    <x v="215"/>
  </r>
  <r>
    <x v="219"/>
    <x v="167"/>
    <x v="10"/>
    <x v="9"/>
    <x v="0"/>
    <x v="0"/>
    <n v="1"/>
    <n v="7416"/>
    <x v="2"/>
    <n v="4944"/>
    <x v="0"/>
    <x v="0"/>
    <x v="0"/>
    <x v="2"/>
    <x v="2"/>
    <x v="0"/>
    <x v="149"/>
    <x v="216"/>
  </r>
  <r>
    <x v="220"/>
    <x v="168"/>
    <x v="1"/>
    <x v="1"/>
    <x v="0"/>
    <x v="0"/>
    <n v="1"/>
    <n v="4916"/>
    <x v="0"/>
    <n v="1638"/>
    <x v="0"/>
    <x v="2"/>
    <x v="3"/>
    <x v="0"/>
    <x v="0"/>
    <x v="0"/>
    <x v="150"/>
    <x v="217"/>
  </r>
  <r>
    <x v="221"/>
    <x v="169"/>
    <x v="7"/>
    <x v="6"/>
    <x v="1"/>
    <x v="1"/>
    <n v="1"/>
    <n v="7141"/>
    <x v="2"/>
    <n v="4760"/>
    <x v="0"/>
    <x v="0"/>
    <x v="3"/>
    <x v="13"/>
    <x v="1"/>
    <x v="1"/>
    <x v="151"/>
    <x v="218"/>
  </r>
  <r>
    <x v="222"/>
    <x v="118"/>
    <x v="1"/>
    <x v="1"/>
    <x v="1"/>
    <x v="1"/>
    <n v="1"/>
    <n v="4961"/>
    <x v="1"/>
    <n v="4959"/>
    <x v="0"/>
    <x v="0"/>
    <x v="0"/>
    <x v="0"/>
    <x v="0"/>
    <x v="1"/>
    <x v="4"/>
    <x v="219"/>
  </r>
  <r>
    <x v="223"/>
    <x v="114"/>
    <x v="12"/>
    <x v="11"/>
    <x v="0"/>
    <x v="0"/>
    <n v="1"/>
    <n v="8043"/>
    <x v="0"/>
    <n v="2681"/>
    <x v="0"/>
    <x v="1"/>
    <x v="4"/>
    <x v="6"/>
    <x v="6"/>
    <x v="0"/>
    <x v="152"/>
    <x v="220"/>
  </r>
  <r>
    <x v="224"/>
    <x v="170"/>
    <x v="0"/>
    <x v="0"/>
    <x v="1"/>
    <x v="1"/>
    <n v="1"/>
    <n v="6797"/>
    <x v="1"/>
    <n v="6795"/>
    <x v="0"/>
    <x v="1"/>
    <x v="2"/>
    <x v="0"/>
    <x v="8"/>
    <x v="1"/>
    <x v="4"/>
    <x v="221"/>
  </r>
  <r>
    <x v="225"/>
    <x v="98"/>
    <x v="4"/>
    <x v="4"/>
    <x v="1"/>
    <x v="1"/>
    <n v="1"/>
    <n v="6767"/>
    <x v="2"/>
    <n v="4510"/>
    <x v="0"/>
    <x v="2"/>
    <x v="1"/>
    <x v="5"/>
    <x v="8"/>
    <x v="1"/>
    <x v="153"/>
    <x v="222"/>
  </r>
  <r>
    <x v="226"/>
    <x v="74"/>
    <x v="7"/>
    <x v="6"/>
    <x v="0"/>
    <x v="0"/>
    <n v="1"/>
    <n v="9968"/>
    <x v="2"/>
    <n v="6644"/>
    <x v="0"/>
    <x v="2"/>
    <x v="5"/>
    <x v="1"/>
    <x v="0"/>
    <x v="1"/>
    <x v="154"/>
    <x v="223"/>
  </r>
  <r>
    <x v="227"/>
    <x v="171"/>
    <x v="12"/>
    <x v="11"/>
    <x v="1"/>
    <x v="1"/>
    <n v="1"/>
    <n v="6186"/>
    <x v="1"/>
    <n v="6186"/>
    <x v="1"/>
    <x v="2"/>
    <x v="1"/>
    <x v="6"/>
    <x v="5"/>
    <x v="0"/>
    <x v="1"/>
    <x v="224"/>
  </r>
  <r>
    <x v="228"/>
    <x v="172"/>
    <x v="11"/>
    <x v="10"/>
    <x v="1"/>
    <x v="1"/>
    <n v="1"/>
    <n v="5797"/>
    <x v="1"/>
    <n v="5796"/>
    <x v="0"/>
    <x v="0"/>
    <x v="3"/>
    <x v="6"/>
    <x v="7"/>
    <x v="1"/>
    <x v="2"/>
    <x v="225"/>
  </r>
  <r>
    <x v="229"/>
    <x v="173"/>
    <x v="4"/>
    <x v="4"/>
    <x v="0"/>
    <x v="0"/>
    <n v="1"/>
    <n v="4530"/>
    <x v="0"/>
    <n v="1510"/>
    <x v="0"/>
    <x v="2"/>
    <x v="5"/>
    <x v="6"/>
    <x v="0"/>
    <x v="0"/>
    <x v="155"/>
    <x v="226"/>
  </r>
  <r>
    <x v="230"/>
    <x v="57"/>
    <x v="12"/>
    <x v="11"/>
    <x v="1"/>
    <x v="1"/>
    <n v="1"/>
    <n v="5083"/>
    <x v="0"/>
    <n v="1694"/>
    <x v="0"/>
    <x v="1"/>
    <x v="1"/>
    <x v="6"/>
    <x v="9"/>
    <x v="0"/>
    <x v="156"/>
    <x v="227"/>
  </r>
  <r>
    <x v="231"/>
    <x v="48"/>
    <x v="5"/>
    <x v="5"/>
    <x v="1"/>
    <x v="1"/>
    <n v="1"/>
    <n v="4235"/>
    <x v="0"/>
    <n v="1411"/>
    <x v="0"/>
    <x v="2"/>
    <x v="5"/>
    <x v="10"/>
    <x v="1"/>
    <x v="0"/>
    <x v="157"/>
    <x v="228"/>
  </r>
  <r>
    <x v="232"/>
    <x v="174"/>
    <x v="6"/>
    <x v="6"/>
    <x v="1"/>
    <x v="1"/>
    <n v="1"/>
    <n v="10566"/>
    <x v="1"/>
    <n v="10566"/>
    <x v="1"/>
    <x v="1"/>
    <x v="5"/>
    <x v="12"/>
    <x v="8"/>
    <x v="0"/>
    <x v="1"/>
    <x v="229"/>
  </r>
  <r>
    <x v="233"/>
    <x v="61"/>
    <x v="1"/>
    <x v="1"/>
    <x v="1"/>
    <x v="1"/>
    <n v="1"/>
    <n v="4792"/>
    <x v="1"/>
    <n v="4791"/>
    <x v="0"/>
    <x v="2"/>
    <x v="4"/>
    <x v="2"/>
    <x v="3"/>
    <x v="1"/>
    <x v="2"/>
    <x v="3"/>
  </r>
  <r>
    <x v="234"/>
    <x v="82"/>
    <x v="13"/>
    <x v="9"/>
    <x v="1"/>
    <x v="1"/>
    <n v="1"/>
    <n v="4156"/>
    <x v="1"/>
    <n v="4155"/>
    <x v="0"/>
    <x v="0"/>
    <x v="5"/>
    <x v="12"/>
    <x v="4"/>
    <x v="1"/>
    <x v="2"/>
    <x v="230"/>
  </r>
  <r>
    <x v="235"/>
    <x v="4"/>
    <x v="4"/>
    <x v="4"/>
    <x v="0"/>
    <x v="0"/>
    <n v="1"/>
    <n v="6564"/>
    <x v="1"/>
    <n v="6564"/>
    <x v="1"/>
    <x v="1"/>
    <x v="0"/>
    <x v="14"/>
    <x v="9"/>
    <x v="0"/>
    <x v="1"/>
    <x v="231"/>
  </r>
  <r>
    <x v="236"/>
    <x v="175"/>
    <x v="4"/>
    <x v="4"/>
    <x v="0"/>
    <x v="0"/>
    <n v="1"/>
    <n v="6002"/>
    <x v="1"/>
    <n v="6000"/>
    <x v="0"/>
    <x v="2"/>
    <x v="5"/>
    <x v="6"/>
    <x v="8"/>
    <x v="1"/>
    <x v="4"/>
    <x v="232"/>
  </r>
  <r>
    <x v="237"/>
    <x v="176"/>
    <x v="7"/>
    <x v="6"/>
    <x v="1"/>
    <x v="1"/>
    <n v="1"/>
    <n v="11886"/>
    <x v="0"/>
    <n v="3962"/>
    <x v="0"/>
    <x v="0"/>
    <x v="0"/>
    <x v="3"/>
    <x v="3"/>
    <x v="0"/>
    <x v="158"/>
    <x v="233"/>
  </r>
  <r>
    <x v="238"/>
    <x v="177"/>
    <x v="10"/>
    <x v="9"/>
    <x v="1"/>
    <x v="1"/>
    <n v="1"/>
    <n v="7663"/>
    <x v="2"/>
    <n v="5108"/>
    <x v="0"/>
    <x v="2"/>
    <x v="1"/>
    <x v="8"/>
    <x v="7"/>
    <x v="1"/>
    <x v="159"/>
    <x v="234"/>
  </r>
  <r>
    <x v="239"/>
    <x v="178"/>
    <x v="2"/>
    <x v="2"/>
    <x v="1"/>
    <x v="1"/>
    <n v="1"/>
    <n v="5480"/>
    <x v="0"/>
    <n v="1826"/>
    <x v="0"/>
    <x v="2"/>
    <x v="0"/>
    <x v="4"/>
    <x v="0"/>
    <x v="0"/>
    <x v="160"/>
    <x v="235"/>
  </r>
  <r>
    <x v="240"/>
    <x v="30"/>
    <x v="1"/>
    <x v="1"/>
    <x v="0"/>
    <x v="0"/>
    <n v="1"/>
    <n v="6926"/>
    <x v="1"/>
    <n v="6924"/>
    <x v="0"/>
    <x v="0"/>
    <x v="4"/>
    <x v="1"/>
    <x v="6"/>
    <x v="1"/>
    <x v="4"/>
    <x v="236"/>
  </r>
  <r>
    <x v="241"/>
    <x v="179"/>
    <x v="7"/>
    <x v="6"/>
    <x v="1"/>
    <x v="1"/>
    <n v="1"/>
    <n v="7931"/>
    <x v="0"/>
    <n v="2643"/>
    <x v="0"/>
    <x v="0"/>
    <x v="4"/>
    <x v="11"/>
    <x v="7"/>
    <x v="1"/>
    <x v="161"/>
    <x v="237"/>
  </r>
  <r>
    <x v="242"/>
    <x v="109"/>
    <x v="1"/>
    <x v="1"/>
    <x v="0"/>
    <x v="0"/>
    <n v="1"/>
    <n v="4808"/>
    <x v="1"/>
    <n v="4806"/>
    <x v="0"/>
    <x v="1"/>
    <x v="3"/>
    <x v="1"/>
    <x v="1"/>
    <x v="0"/>
    <x v="4"/>
    <x v="238"/>
  </r>
  <r>
    <x v="243"/>
    <x v="13"/>
    <x v="6"/>
    <x v="6"/>
    <x v="0"/>
    <x v="0"/>
    <n v="1"/>
    <n v="8590"/>
    <x v="1"/>
    <n v="8589"/>
    <x v="0"/>
    <x v="0"/>
    <x v="2"/>
    <x v="0"/>
    <x v="9"/>
    <x v="1"/>
    <x v="2"/>
    <x v="239"/>
  </r>
  <r>
    <x v="244"/>
    <x v="180"/>
    <x v="9"/>
    <x v="8"/>
    <x v="0"/>
    <x v="0"/>
    <n v="1"/>
    <n v="10957"/>
    <x v="1"/>
    <n v="10956"/>
    <x v="0"/>
    <x v="1"/>
    <x v="5"/>
    <x v="5"/>
    <x v="3"/>
    <x v="1"/>
    <x v="2"/>
    <x v="240"/>
  </r>
  <r>
    <x v="245"/>
    <x v="167"/>
    <x v="9"/>
    <x v="8"/>
    <x v="0"/>
    <x v="0"/>
    <n v="1"/>
    <n v="14509"/>
    <x v="1"/>
    <n v="14508"/>
    <x v="0"/>
    <x v="2"/>
    <x v="4"/>
    <x v="7"/>
    <x v="8"/>
    <x v="1"/>
    <x v="2"/>
    <x v="241"/>
  </r>
  <r>
    <x v="246"/>
    <x v="181"/>
    <x v="10"/>
    <x v="9"/>
    <x v="1"/>
    <x v="1"/>
    <n v="1"/>
    <n v="7601"/>
    <x v="0"/>
    <n v="2533"/>
    <x v="0"/>
    <x v="1"/>
    <x v="4"/>
    <x v="14"/>
    <x v="8"/>
    <x v="1"/>
    <x v="162"/>
    <x v="242"/>
  </r>
  <r>
    <x v="247"/>
    <x v="101"/>
    <x v="3"/>
    <x v="3"/>
    <x v="1"/>
    <x v="1"/>
    <n v="1"/>
    <n v="4661"/>
    <x v="0"/>
    <n v="1553"/>
    <x v="0"/>
    <x v="0"/>
    <x v="3"/>
    <x v="7"/>
    <x v="0"/>
    <x v="0"/>
    <x v="163"/>
    <x v="243"/>
  </r>
  <r>
    <x v="248"/>
    <x v="37"/>
    <x v="3"/>
    <x v="3"/>
    <x v="0"/>
    <x v="0"/>
    <n v="1"/>
    <n v="5032"/>
    <x v="0"/>
    <n v="1677"/>
    <x v="0"/>
    <x v="2"/>
    <x v="4"/>
    <x v="2"/>
    <x v="8"/>
    <x v="1"/>
    <x v="164"/>
    <x v="244"/>
  </r>
  <r>
    <x v="249"/>
    <x v="164"/>
    <x v="11"/>
    <x v="10"/>
    <x v="0"/>
    <x v="0"/>
    <n v="1"/>
    <n v="4070"/>
    <x v="1"/>
    <n v="4068"/>
    <x v="0"/>
    <x v="2"/>
    <x v="3"/>
    <x v="3"/>
    <x v="7"/>
    <x v="0"/>
    <x v="4"/>
    <x v="245"/>
  </r>
  <r>
    <x v="250"/>
    <x v="182"/>
    <x v="2"/>
    <x v="2"/>
    <x v="1"/>
    <x v="1"/>
    <n v="1"/>
    <n v="5531"/>
    <x v="0"/>
    <n v="1843"/>
    <x v="0"/>
    <x v="2"/>
    <x v="5"/>
    <x v="3"/>
    <x v="0"/>
    <x v="1"/>
    <x v="165"/>
    <x v="246"/>
  </r>
  <r>
    <x v="251"/>
    <x v="183"/>
    <x v="9"/>
    <x v="8"/>
    <x v="1"/>
    <x v="1"/>
    <n v="1"/>
    <n v="11252"/>
    <x v="0"/>
    <n v="3750"/>
    <x v="0"/>
    <x v="2"/>
    <x v="3"/>
    <x v="3"/>
    <x v="8"/>
    <x v="1"/>
    <x v="166"/>
    <x v="247"/>
  </r>
  <r>
    <x v="252"/>
    <x v="45"/>
    <x v="10"/>
    <x v="9"/>
    <x v="1"/>
    <x v="1"/>
    <n v="1"/>
    <n v="5114"/>
    <x v="1"/>
    <n v="5112"/>
    <x v="0"/>
    <x v="2"/>
    <x v="5"/>
    <x v="13"/>
    <x v="1"/>
    <x v="1"/>
    <x v="4"/>
    <x v="248"/>
  </r>
  <r>
    <x v="253"/>
    <x v="184"/>
    <x v="4"/>
    <x v="4"/>
    <x v="1"/>
    <x v="1"/>
    <n v="1"/>
    <n v="5333"/>
    <x v="2"/>
    <n v="3554"/>
    <x v="0"/>
    <x v="0"/>
    <x v="2"/>
    <x v="8"/>
    <x v="3"/>
    <x v="0"/>
    <x v="167"/>
    <x v="249"/>
  </r>
  <r>
    <x v="254"/>
    <x v="185"/>
    <x v="2"/>
    <x v="2"/>
    <x v="1"/>
    <x v="1"/>
    <n v="1"/>
    <n v="5183"/>
    <x v="2"/>
    <n v="3454"/>
    <x v="0"/>
    <x v="0"/>
    <x v="0"/>
    <x v="3"/>
    <x v="3"/>
    <x v="0"/>
    <x v="168"/>
    <x v="250"/>
  </r>
  <r>
    <x v="255"/>
    <x v="3"/>
    <x v="11"/>
    <x v="10"/>
    <x v="1"/>
    <x v="1"/>
    <n v="1"/>
    <n v="3858"/>
    <x v="0"/>
    <n v="1286"/>
    <x v="0"/>
    <x v="0"/>
    <x v="5"/>
    <x v="6"/>
    <x v="1"/>
    <x v="1"/>
    <x v="169"/>
    <x v="251"/>
  </r>
  <r>
    <x v="256"/>
    <x v="135"/>
    <x v="10"/>
    <x v="9"/>
    <x v="0"/>
    <x v="0"/>
    <n v="1"/>
    <n v="6688"/>
    <x v="1"/>
    <n v="6687"/>
    <x v="0"/>
    <x v="2"/>
    <x v="5"/>
    <x v="13"/>
    <x v="7"/>
    <x v="0"/>
    <x v="2"/>
    <x v="252"/>
  </r>
  <r>
    <x v="257"/>
    <x v="90"/>
    <x v="4"/>
    <x v="4"/>
    <x v="0"/>
    <x v="0"/>
    <n v="1"/>
    <n v="6449"/>
    <x v="2"/>
    <n v="4298"/>
    <x v="0"/>
    <x v="0"/>
    <x v="1"/>
    <x v="12"/>
    <x v="0"/>
    <x v="1"/>
    <x v="170"/>
    <x v="253"/>
  </r>
  <r>
    <x v="258"/>
    <x v="186"/>
    <x v="10"/>
    <x v="9"/>
    <x v="1"/>
    <x v="1"/>
    <n v="1"/>
    <n v="7761"/>
    <x v="2"/>
    <n v="5174"/>
    <x v="0"/>
    <x v="2"/>
    <x v="2"/>
    <x v="7"/>
    <x v="2"/>
    <x v="1"/>
    <x v="96"/>
    <x v="254"/>
  </r>
  <r>
    <x v="259"/>
    <x v="187"/>
    <x v="7"/>
    <x v="6"/>
    <x v="1"/>
    <x v="1"/>
    <n v="1"/>
    <n v="9504"/>
    <x v="2"/>
    <n v="6336"/>
    <x v="0"/>
    <x v="0"/>
    <x v="5"/>
    <x v="13"/>
    <x v="4"/>
    <x v="1"/>
    <x v="171"/>
    <x v="255"/>
  </r>
  <r>
    <x v="260"/>
    <x v="141"/>
    <x v="5"/>
    <x v="5"/>
    <x v="0"/>
    <x v="0"/>
    <n v="1"/>
    <n v="3788"/>
    <x v="2"/>
    <n v="2524"/>
    <x v="0"/>
    <x v="1"/>
    <x v="4"/>
    <x v="9"/>
    <x v="1"/>
    <x v="1"/>
    <x v="172"/>
    <x v="256"/>
  </r>
  <r>
    <x v="261"/>
    <x v="88"/>
    <x v="0"/>
    <x v="0"/>
    <x v="0"/>
    <x v="0"/>
    <n v="1"/>
    <n v="7223"/>
    <x v="2"/>
    <n v="4814"/>
    <x v="0"/>
    <x v="1"/>
    <x v="3"/>
    <x v="2"/>
    <x v="2"/>
    <x v="1"/>
    <x v="173"/>
    <x v="257"/>
  </r>
  <r>
    <x v="262"/>
    <x v="188"/>
    <x v="10"/>
    <x v="9"/>
    <x v="0"/>
    <x v="0"/>
    <n v="1"/>
    <n v="4836"/>
    <x v="1"/>
    <n v="4836"/>
    <x v="1"/>
    <x v="0"/>
    <x v="0"/>
    <x v="7"/>
    <x v="7"/>
    <x v="0"/>
    <x v="1"/>
    <x v="258"/>
  </r>
  <r>
    <x v="263"/>
    <x v="55"/>
    <x v="12"/>
    <x v="11"/>
    <x v="1"/>
    <x v="1"/>
    <n v="1"/>
    <n v="8774"/>
    <x v="2"/>
    <n v="5848"/>
    <x v="0"/>
    <x v="2"/>
    <x v="2"/>
    <x v="1"/>
    <x v="7"/>
    <x v="0"/>
    <x v="174"/>
    <x v="259"/>
  </r>
  <r>
    <x v="264"/>
    <x v="152"/>
    <x v="13"/>
    <x v="9"/>
    <x v="0"/>
    <x v="0"/>
    <n v="1"/>
    <n v="3062"/>
    <x v="0"/>
    <n v="1020"/>
    <x v="0"/>
    <x v="2"/>
    <x v="5"/>
    <x v="11"/>
    <x v="7"/>
    <x v="0"/>
    <x v="175"/>
    <x v="260"/>
  </r>
  <r>
    <x v="265"/>
    <x v="189"/>
    <x v="9"/>
    <x v="8"/>
    <x v="1"/>
    <x v="1"/>
    <n v="1"/>
    <n v="13899"/>
    <x v="1"/>
    <n v="13899"/>
    <x v="1"/>
    <x v="0"/>
    <x v="1"/>
    <x v="14"/>
    <x v="8"/>
    <x v="1"/>
    <x v="1"/>
    <x v="261"/>
  </r>
  <r>
    <x v="266"/>
    <x v="118"/>
    <x v="1"/>
    <x v="1"/>
    <x v="1"/>
    <x v="1"/>
    <n v="1"/>
    <n v="6853"/>
    <x v="1"/>
    <n v="6852"/>
    <x v="0"/>
    <x v="2"/>
    <x v="2"/>
    <x v="4"/>
    <x v="3"/>
    <x v="1"/>
    <x v="2"/>
    <x v="262"/>
  </r>
  <r>
    <x v="267"/>
    <x v="118"/>
    <x v="10"/>
    <x v="9"/>
    <x v="1"/>
    <x v="1"/>
    <n v="1"/>
    <n v="6712"/>
    <x v="2"/>
    <n v="4474"/>
    <x v="0"/>
    <x v="0"/>
    <x v="0"/>
    <x v="13"/>
    <x v="1"/>
    <x v="0"/>
    <x v="176"/>
    <x v="263"/>
  </r>
  <r>
    <x v="268"/>
    <x v="6"/>
    <x v="1"/>
    <x v="1"/>
    <x v="0"/>
    <x v="0"/>
    <n v="1"/>
    <n v="6746"/>
    <x v="1"/>
    <n v="6744"/>
    <x v="0"/>
    <x v="1"/>
    <x v="4"/>
    <x v="1"/>
    <x v="8"/>
    <x v="0"/>
    <x v="4"/>
    <x v="264"/>
  </r>
  <r>
    <x v="269"/>
    <x v="190"/>
    <x v="0"/>
    <x v="0"/>
    <x v="1"/>
    <x v="1"/>
    <n v="1"/>
    <n v="5458"/>
    <x v="1"/>
    <n v="5457"/>
    <x v="0"/>
    <x v="0"/>
    <x v="5"/>
    <x v="4"/>
    <x v="9"/>
    <x v="1"/>
    <x v="2"/>
    <x v="265"/>
  </r>
  <r>
    <x v="270"/>
    <x v="191"/>
    <x v="4"/>
    <x v="4"/>
    <x v="1"/>
    <x v="1"/>
    <n v="1"/>
    <n v="4188"/>
    <x v="0"/>
    <n v="1396"/>
    <x v="0"/>
    <x v="2"/>
    <x v="5"/>
    <x v="0"/>
    <x v="6"/>
    <x v="1"/>
    <x v="177"/>
    <x v="266"/>
  </r>
  <r>
    <x v="271"/>
    <x v="192"/>
    <x v="4"/>
    <x v="4"/>
    <x v="1"/>
    <x v="1"/>
    <n v="1"/>
    <n v="4837"/>
    <x v="2"/>
    <n v="3224"/>
    <x v="0"/>
    <x v="0"/>
    <x v="1"/>
    <x v="11"/>
    <x v="8"/>
    <x v="1"/>
    <x v="178"/>
    <x v="117"/>
  </r>
  <r>
    <x v="272"/>
    <x v="193"/>
    <x v="12"/>
    <x v="11"/>
    <x v="0"/>
    <x v="0"/>
    <n v="1"/>
    <n v="8835"/>
    <x v="0"/>
    <n v="2945"/>
    <x v="0"/>
    <x v="1"/>
    <x v="3"/>
    <x v="14"/>
    <x v="3"/>
    <x v="0"/>
    <x v="179"/>
    <x v="267"/>
  </r>
  <r>
    <x v="273"/>
    <x v="194"/>
    <x v="8"/>
    <x v="7"/>
    <x v="0"/>
    <x v="0"/>
    <n v="1"/>
    <n v="8096"/>
    <x v="2"/>
    <n v="5396"/>
    <x v="0"/>
    <x v="0"/>
    <x v="4"/>
    <x v="10"/>
    <x v="7"/>
    <x v="0"/>
    <x v="180"/>
    <x v="268"/>
  </r>
  <r>
    <x v="274"/>
    <x v="68"/>
    <x v="0"/>
    <x v="0"/>
    <x v="0"/>
    <x v="0"/>
    <n v="1"/>
    <n v="6681"/>
    <x v="1"/>
    <n v="6681"/>
    <x v="1"/>
    <x v="1"/>
    <x v="4"/>
    <x v="11"/>
    <x v="5"/>
    <x v="0"/>
    <x v="1"/>
    <x v="269"/>
  </r>
  <r>
    <x v="275"/>
    <x v="145"/>
    <x v="10"/>
    <x v="9"/>
    <x v="0"/>
    <x v="0"/>
    <n v="1"/>
    <n v="6755"/>
    <x v="1"/>
    <n v="6753"/>
    <x v="0"/>
    <x v="2"/>
    <x v="3"/>
    <x v="2"/>
    <x v="7"/>
    <x v="0"/>
    <x v="4"/>
    <x v="270"/>
  </r>
  <r>
    <x v="276"/>
    <x v="195"/>
    <x v="8"/>
    <x v="7"/>
    <x v="1"/>
    <x v="1"/>
    <n v="1"/>
    <n v="12718"/>
    <x v="0"/>
    <n v="4239"/>
    <x v="0"/>
    <x v="0"/>
    <x v="4"/>
    <x v="9"/>
    <x v="5"/>
    <x v="1"/>
    <x v="181"/>
    <x v="271"/>
  </r>
  <r>
    <x v="277"/>
    <x v="196"/>
    <x v="3"/>
    <x v="3"/>
    <x v="1"/>
    <x v="1"/>
    <n v="1"/>
    <n v="5544"/>
    <x v="0"/>
    <n v="1848"/>
    <x v="0"/>
    <x v="0"/>
    <x v="5"/>
    <x v="3"/>
    <x v="3"/>
    <x v="0"/>
    <x v="182"/>
    <x v="272"/>
  </r>
  <r>
    <x v="278"/>
    <x v="24"/>
    <x v="7"/>
    <x v="6"/>
    <x v="1"/>
    <x v="1"/>
    <n v="1"/>
    <n v="9262"/>
    <x v="0"/>
    <n v="3087"/>
    <x v="0"/>
    <x v="2"/>
    <x v="4"/>
    <x v="12"/>
    <x v="1"/>
    <x v="1"/>
    <x v="183"/>
    <x v="273"/>
  </r>
  <r>
    <x v="279"/>
    <x v="176"/>
    <x v="7"/>
    <x v="6"/>
    <x v="1"/>
    <x v="1"/>
    <n v="1"/>
    <n v="8669"/>
    <x v="2"/>
    <n v="5778"/>
    <x v="0"/>
    <x v="1"/>
    <x v="3"/>
    <x v="13"/>
    <x v="9"/>
    <x v="0"/>
    <x v="184"/>
    <x v="274"/>
  </r>
  <r>
    <x v="280"/>
    <x v="45"/>
    <x v="3"/>
    <x v="3"/>
    <x v="0"/>
    <x v="0"/>
    <n v="1"/>
    <n v="4922"/>
    <x v="2"/>
    <n v="3280"/>
    <x v="0"/>
    <x v="1"/>
    <x v="1"/>
    <x v="10"/>
    <x v="2"/>
    <x v="1"/>
    <x v="185"/>
    <x v="275"/>
  </r>
  <r>
    <x v="281"/>
    <x v="195"/>
    <x v="12"/>
    <x v="11"/>
    <x v="0"/>
    <x v="0"/>
    <n v="1"/>
    <n v="6160"/>
    <x v="1"/>
    <n v="6159"/>
    <x v="0"/>
    <x v="1"/>
    <x v="4"/>
    <x v="8"/>
    <x v="0"/>
    <x v="0"/>
    <x v="2"/>
    <x v="276"/>
  </r>
  <r>
    <x v="282"/>
    <x v="197"/>
    <x v="0"/>
    <x v="0"/>
    <x v="0"/>
    <x v="0"/>
    <n v="1"/>
    <n v="5361"/>
    <x v="1"/>
    <n v="5361"/>
    <x v="1"/>
    <x v="1"/>
    <x v="2"/>
    <x v="13"/>
    <x v="1"/>
    <x v="0"/>
    <x v="1"/>
    <x v="277"/>
  </r>
  <r>
    <x v="283"/>
    <x v="198"/>
    <x v="11"/>
    <x v="10"/>
    <x v="1"/>
    <x v="1"/>
    <n v="1"/>
    <n v="5195"/>
    <x v="0"/>
    <n v="1731"/>
    <x v="0"/>
    <x v="1"/>
    <x v="1"/>
    <x v="2"/>
    <x v="8"/>
    <x v="1"/>
    <x v="186"/>
    <x v="278"/>
  </r>
  <r>
    <x v="284"/>
    <x v="199"/>
    <x v="9"/>
    <x v="8"/>
    <x v="0"/>
    <x v="0"/>
    <n v="1"/>
    <n v="8984"/>
    <x v="2"/>
    <n v="5988"/>
    <x v="0"/>
    <x v="1"/>
    <x v="0"/>
    <x v="2"/>
    <x v="7"/>
    <x v="1"/>
    <x v="187"/>
    <x v="279"/>
  </r>
  <r>
    <x v="285"/>
    <x v="175"/>
    <x v="9"/>
    <x v="8"/>
    <x v="1"/>
    <x v="1"/>
    <n v="1"/>
    <n v="12709"/>
    <x v="1"/>
    <n v="12708"/>
    <x v="0"/>
    <x v="1"/>
    <x v="5"/>
    <x v="1"/>
    <x v="1"/>
    <x v="0"/>
    <x v="2"/>
    <x v="280"/>
  </r>
  <r>
    <x v="286"/>
    <x v="200"/>
    <x v="8"/>
    <x v="7"/>
    <x v="0"/>
    <x v="0"/>
    <n v="1"/>
    <n v="11302"/>
    <x v="1"/>
    <n v="11301"/>
    <x v="0"/>
    <x v="2"/>
    <x v="2"/>
    <x v="2"/>
    <x v="4"/>
    <x v="0"/>
    <x v="2"/>
    <x v="281"/>
  </r>
  <r>
    <x v="287"/>
    <x v="136"/>
    <x v="5"/>
    <x v="5"/>
    <x v="1"/>
    <x v="1"/>
    <n v="1"/>
    <n v="4500"/>
    <x v="0"/>
    <n v="1500"/>
    <x v="0"/>
    <x v="0"/>
    <x v="2"/>
    <x v="3"/>
    <x v="7"/>
    <x v="1"/>
    <x v="188"/>
    <x v="282"/>
  </r>
  <r>
    <x v="288"/>
    <x v="201"/>
    <x v="7"/>
    <x v="6"/>
    <x v="0"/>
    <x v="0"/>
    <n v="1"/>
    <n v="7913"/>
    <x v="0"/>
    <n v="2637"/>
    <x v="0"/>
    <x v="0"/>
    <x v="5"/>
    <x v="6"/>
    <x v="0"/>
    <x v="1"/>
    <x v="189"/>
    <x v="283"/>
  </r>
  <r>
    <x v="289"/>
    <x v="19"/>
    <x v="2"/>
    <x v="2"/>
    <x v="0"/>
    <x v="0"/>
    <n v="1"/>
    <n v="5878"/>
    <x v="1"/>
    <n v="5877"/>
    <x v="0"/>
    <x v="2"/>
    <x v="3"/>
    <x v="8"/>
    <x v="0"/>
    <x v="1"/>
    <x v="2"/>
    <x v="284"/>
  </r>
  <r>
    <x v="290"/>
    <x v="73"/>
    <x v="11"/>
    <x v="10"/>
    <x v="0"/>
    <x v="0"/>
    <n v="1"/>
    <n v="4778"/>
    <x v="0"/>
    <n v="1592"/>
    <x v="0"/>
    <x v="1"/>
    <x v="0"/>
    <x v="3"/>
    <x v="8"/>
    <x v="0"/>
    <x v="190"/>
    <x v="285"/>
  </r>
  <r>
    <x v="291"/>
    <x v="160"/>
    <x v="3"/>
    <x v="3"/>
    <x v="0"/>
    <x v="0"/>
    <n v="1"/>
    <n v="5666"/>
    <x v="0"/>
    <n v="1888"/>
    <x v="0"/>
    <x v="2"/>
    <x v="3"/>
    <x v="4"/>
    <x v="4"/>
    <x v="0"/>
    <x v="191"/>
    <x v="286"/>
  </r>
  <r>
    <x v="292"/>
    <x v="155"/>
    <x v="9"/>
    <x v="8"/>
    <x v="1"/>
    <x v="1"/>
    <n v="1"/>
    <n v="14346"/>
    <x v="2"/>
    <n v="9564"/>
    <x v="0"/>
    <x v="1"/>
    <x v="5"/>
    <x v="2"/>
    <x v="3"/>
    <x v="0"/>
    <x v="192"/>
    <x v="287"/>
  </r>
  <r>
    <x v="293"/>
    <x v="98"/>
    <x v="12"/>
    <x v="11"/>
    <x v="1"/>
    <x v="1"/>
    <n v="1"/>
    <n v="8849"/>
    <x v="2"/>
    <n v="5898"/>
    <x v="0"/>
    <x v="0"/>
    <x v="5"/>
    <x v="3"/>
    <x v="8"/>
    <x v="0"/>
    <x v="193"/>
    <x v="288"/>
  </r>
  <r>
    <x v="294"/>
    <x v="202"/>
    <x v="4"/>
    <x v="4"/>
    <x v="0"/>
    <x v="0"/>
    <n v="1"/>
    <n v="5738"/>
    <x v="0"/>
    <n v="1912"/>
    <x v="0"/>
    <x v="1"/>
    <x v="4"/>
    <x v="10"/>
    <x v="9"/>
    <x v="1"/>
    <x v="194"/>
    <x v="289"/>
  </r>
  <r>
    <x v="295"/>
    <x v="203"/>
    <x v="1"/>
    <x v="1"/>
    <x v="0"/>
    <x v="0"/>
    <n v="1"/>
    <n v="5413"/>
    <x v="2"/>
    <n v="3608"/>
    <x v="0"/>
    <x v="2"/>
    <x v="3"/>
    <x v="9"/>
    <x v="1"/>
    <x v="0"/>
    <x v="195"/>
    <x v="290"/>
  </r>
  <r>
    <x v="296"/>
    <x v="204"/>
    <x v="9"/>
    <x v="8"/>
    <x v="0"/>
    <x v="0"/>
    <n v="1"/>
    <n v="13193"/>
    <x v="2"/>
    <n v="8794"/>
    <x v="0"/>
    <x v="0"/>
    <x v="0"/>
    <x v="11"/>
    <x v="7"/>
    <x v="1"/>
    <x v="196"/>
    <x v="291"/>
  </r>
  <r>
    <x v="297"/>
    <x v="131"/>
    <x v="6"/>
    <x v="6"/>
    <x v="1"/>
    <x v="1"/>
    <n v="1"/>
    <n v="8944"/>
    <x v="1"/>
    <n v="8943"/>
    <x v="0"/>
    <x v="2"/>
    <x v="4"/>
    <x v="0"/>
    <x v="6"/>
    <x v="0"/>
    <x v="2"/>
    <x v="292"/>
  </r>
  <r>
    <x v="298"/>
    <x v="205"/>
    <x v="11"/>
    <x v="10"/>
    <x v="1"/>
    <x v="1"/>
    <n v="1"/>
    <n v="3603"/>
    <x v="0"/>
    <n v="1201"/>
    <x v="0"/>
    <x v="1"/>
    <x v="5"/>
    <x v="7"/>
    <x v="9"/>
    <x v="1"/>
    <x v="197"/>
    <x v="293"/>
  </r>
  <r>
    <x v="299"/>
    <x v="206"/>
    <x v="12"/>
    <x v="11"/>
    <x v="0"/>
    <x v="0"/>
    <n v="1"/>
    <n v="7678"/>
    <x v="2"/>
    <n v="5118"/>
    <x v="0"/>
    <x v="0"/>
    <x v="1"/>
    <x v="1"/>
    <x v="3"/>
    <x v="1"/>
    <x v="198"/>
    <x v="294"/>
  </r>
  <r>
    <x v="300"/>
    <x v="207"/>
    <x v="3"/>
    <x v="3"/>
    <x v="0"/>
    <x v="0"/>
    <n v="1"/>
    <n v="4346"/>
    <x v="2"/>
    <n v="2896"/>
    <x v="0"/>
    <x v="0"/>
    <x v="1"/>
    <x v="3"/>
    <x v="7"/>
    <x v="0"/>
    <x v="199"/>
    <x v="295"/>
  </r>
  <r>
    <x v="301"/>
    <x v="70"/>
    <x v="8"/>
    <x v="7"/>
    <x v="0"/>
    <x v="0"/>
    <n v="1"/>
    <n v="10624"/>
    <x v="1"/>
    <n v="10623"/>
    <x v="0"/>
    <x v="0"/>
    <x v="5"/>
    <x v="6"/>
    <x v="9"/>
    <x v="1"/>
    <x v="2"/>
    <x v="296"/>
  </r>
  <r>
    <x v="302"/>
    <x v="132"/>
    <x v="5"/>
    <x v="5"/>
    <x v="1"/>
    <x v="1"/>
    <n v="1"/>
    <n v="3836"/>
    <x v="1"/>
    <n v="3834"/>
    <x v="0"/>
    <x v="1"/>
    <x v="2"/>
    <x v="0"/>
    <x v="7"/>
    <x v="1"/>
    <x v="4"/>
    <x v="297"/>
  </r>
  <r>
    <x v="303"/>
    <x v="193"/>
    <x v="2"/>
    <x v="2"/>
    <x v="1"/>
    <x v="1"/>
    <n v="1"/>
    <n v="5019"/>
    <x v="0"/>
    <n v="1673"/>
    <x v="0"/>
    <x v="1"/>
    <x v="3"/>
    <x v="0"/>
    <x v="6"/>
    <x v="0"/>
    <x v="200"/>
    <x v="298"/>
  </r>
  <r>
    <x v="304"/>
    <x v="157"/>
    <x v="5"/>
    <x v="5"/>
    <x v="0"/>
    <x v="0"/>
    <n v="1"/>
    <n v="5116"/>
    <x v="1"/>
    <n v="5115"/>
    <x v="0"/>
    <x v="1"/>
    <x v="0"/>
    <x v="4"/>
    <x v="6"/>
    <x v="0"/>
    <x v="2"/>
    <x v="299"/>
  </r>
  <r>
    <x v="305"/>
    <x v="21"/>
    <x v="0"/>
    <x v="0"/>
    <x v="0"/>
    <x v="0"/>
    <n v="1"/>
    <n v="4224"/>
    <x v="0"/>
    <n v="1408"/>
    <x v="0"/>
    <x v="2"/>
    <x v="5"/>
    <x v="2"/>
    <x v="0"/>
    <x v="0"/>
    <x v="201"/>
    <x v="300"/>
  </r>
  <r>
    <x v="306"/>
    <x v="158"/>
    <x v="7"/>
    <x v="6"/>
    <x v="0"/>
    <x v="0"/>
    <n v="1"/>
    <n v="10885"/>
    <x v="1"/>
    <n v="10884"/>
    <x v="0"/>
    <x v="0"/>
    <x v="1"/>
    <x v="14"/>
    <x v="6"/>
    <x v="1"/>
    <x v="2"/>
    <x v="301"/>
  </r>
  <r>
    <x v="307"/>
    <x v="203"/>
    <x v="8"/>
    <x v="7"/>
    <x v="1"/>
    <x v="1"/>
    <n v="1"/>
    <n v="11632"/>
    <x v="1"/>
    <n v="11631"/>
    <x v="0"/>
    <x v="0"/>
    <x v="2"/>
    <x v="10"/>
    <x v="0"/>
    <x v="1"/>
    <x v="2"/>
    <x v="302"/>
  </r>
  <r>
    <x v="308"/>
    <x v="7"/>
    <x v="0"/>
    <x v="0"/>
    <x v="0"/>
    <x v="0"/>
    <n v="1"/>
    <n v="5534"/>
    <x v="2"/>
    <n v="3688"/>
    <x v="0"/>
    <x v="1"/>
    <x v="0"/>
    <x v="6"/>
    <x v="7"/>
    <x v="1"/>
    <x v="144"/>
    <x v="303"/>
  </r>
  <r>
    <x v="309"/>
    <x v="208"/>
    <x v="9"/>
    <x v="8"/>
    <x v="0"/>
    <x v="0"/>
    <n v="1"/>
    <n v="9085"/>
    <x v="2"/>
    <n v="6056"/>
    <x v="0"/>
    <x v="1"/>
    <x v="2"/>
    <x v="4"/>
    <x v="3"/>
    <x v="0"/>
    <x v="202"/>
    <x v="304"/>
  </r>
  <r>
    <x v="310"/>
    <x v="84"/>
    <x v="0"/>
    <x v="0"/>
    <x v="1"/>
    <x v="1"/>
    <n v="1"/>
    <n v="6314"/>
    <x v="2"/>
    <n v="4208"/>
    <x v="0"/>
    <x v="2"/>
    <x v="3"/>
    <x v="4"/>
    <x v="2"/>
    <x v="1"/>
    <x v="203"/>
    <x v="305"/>
  </r>
  <r>
    <x v="311"/>
    <x v="209"/>
    <x v="2"/>
    <x v="2"/>
    <x v="1"/>
    <x v="1"/>
    <n v="1"/>
    <n v="4954"/>
    <x v="1"/>
    <n v="4953"/>
    <x v="0"/>
    <x v="0"/>
    <x v="5"/>
    <x v="11"/>
    <x v="3"/>
    <x v="0"/>
    <x v="2"/>
    <x v="306"/>
  </r>
  <r>
    <x v="312"/>
    <x v="194"/>
    <x v="10"/>
    <x v="9"/>
    <x v="1"/>
    <x v="1"/>
    <n v="1"/>
    <n v="5295"/>
    <x v="0"/>
    <n v="1765"/>
    <x v="0"/>
    <x v="2"/>
    <x v="0"/>
    <x v="14"/>
    <x v="7"/>
    <x v="0"/>
    <x v="204"/>
    <x v="307"/>
  </r>
  <r>
    <x v="313"/>
    <x v="113"/>
    <x v="7"/>
    <x v="6"/>
    <x v="0"/>
    <x v="0"/>
    <n v="1"/>
    <n v="11229"/>
    <x v="0"/>
    <n v="3743"/>
    <x v="0"/>
    <x v="1"/>
    <x v="4"/>
    <x v="4"/>
    <x v="8"/>
    <x v="0"/>
    <x v="205"/>
    <x v="308"/>
  </r>
  <r>
    <x v="314"/>
    <x v="150"/>
    <x v="1"/>
    <x v="1"/>
    <x v="0"/>
    <x v="0"/>
    <n v="1"/>
    <n v="6951"/>
    <x v="0"/>
    <n v="2317"/>
    <x v="0"/>
    <x v="2"/>
    <x v="3"/>
    <x v="3"/>
    <x v="4"/>
    <x v="0"/>
    <x v="206"/>
    <x v="309"/>
  </r>
  <r>
    <x v="315"/>
    <x v="93"/>
    <x v="2"/>
    <x v="2"/>
    <x v="1"/>
    <x v="1"/>
    <n v="1"/>
    <n v="7948"/>
    <x v="0"/>
    <n v="2649"/>
    <x v="0"/>
    <x v="0"/>
    <x v="3"/>
    <x v="14"/>
    <x v="9"/>
    <x v="0"/>
    <x v="207"/>
    <x v="310"/>
  </r>
  <r>
    <x v="316"/>
    <x v="205"/>
    <x v="9"/>
    <x v="8"/>
    <x v="0"/>
    <x v="0"/>
    <n v="1"/>
    <n v="14039"/>
    <x v="0"/>
    <n v="4679"/>
    <x v="0"/>
    <x v="1"/>
    <x v="4"/>
    <x v="0"/>
    <x v="3"/>
    <x v="1"/>
    <x v="208"/>
    <x v="311"/>
  </r>
  <r>
    <x v="317"/>
    <x v="210"/>
    <x v="10"/>
    <x v="9"/>
    <x v="0"/>
    <x v="0"/>
    <n v="1"/>
    <n v="5924"/>
    <x v="1"/>
    <n v="5922"/>
    <x v="0"/>
    <x v="1"/>
    <x v="4"/>
    <x v="2"/>
    <x v="8"/>
    <x v="1"/>
    <x v="4"/>
    <x v="312"/>
  </r>
  <r>
    <x v="318"/>
    <x v="50"/>
    <x v="8"/>
    <x v="7"/>
    <x v="1"/>
    <x v="1"/>
    <n v="1"/>
    <n v="11114"/>
    <x v="0"/>
    <n v="3704"/>
    <x v="0"/>
    <x v="1"/>
    <x v="3"/>
    <x v="0"/>
    <x v="4"/>
    <x v="0"/>
    <x v="209"/>
    <x v="313"/>
  </r>
  <r>
    <x v="319"/>
    <x v="170"/>
    <x v="13"/>
    <x v="9"/>
    <x v="0"/>
    <x v="0"/>
    <n v="1"/>
    <n v="3799"/>
    <x v="2"/>
    <n v="2532"/>
    <x v="0"/>
    <x v="0"/>
    <x v="2"/>
    <x v="0"/>
    <x v="2"/>
    <x v="1"/>
    <x v="210"/>
    <x v="314"/>
  </r>
  <r>
    <x v="320"/>
    <x v="207"/>
    <x v="0"/>
    <x v="0"/>
    <x v="0"/>
    <x v="0"/>
    <n v="1"/>
    <n v="6411"/>
    <x v="2"/>
    <n v="4274"/>
    <x v="0"/>
    <x v="2"/>
    <x v="2"/>
    <x v="3"/>
    <x v="3"/>
    <x v="0"/>
    <x v="211"/>
    <x v="315"/>
  </r>
  <r>
    <x v="321"/>
    <x v="41"/>
    <x v="1"/>
    <x v="1"/>
    <x v="1"/>
    <x v="1"/>
    <n v="1"/>
    <n v="5227"/>
    <x v="1"/>
    <n v="5226"/>
    <x v="0"/>
    <x v="2"/>
    <x v="3"/>
    <x v="7"/>
    <x v="3"/>
    <x v="1"/>
    <x v="2"/>
    <x v="316"/>
  </r>
  <r>
    <x v="322"/>
    <x v="118"/>
    <x v="8"/>
    <x v="7"/>
    <x v="1"/>
    <x v="1"/>
    <n v="1"/>
    <n v="12481"/>
    <x v="0"/>
    <n v="4160"/>
    <x v="0"/>
    <x v="2"/>
    <x v="5"/>
    <x v="2"/>
    <x v="0"/>
    <x v="1"/>
    <x v="212"/>
    <x v="317"/>
  </r>
  <r>
    <x v="323"/>
    <x v="24"/>
    <x v="2"/>
    <x v="2"/>
    <x v="1"/>
    <x v="1"/>
    <n v="1"/>
    <n v="6424"/>
    <x v="2"/>
    <n v="4282"/>
    <x v="0"/>
    <x v="1"/>
    <x v="1"/>
    <x v="11"/>
    <x v="0"/>
    <x v="1"/>
    <x v="213"/>
    <x v="318"/>
  </r>
  <r>
    <x v="324"/>
    <x v="211"/>
    <x v="13"/>
    <x v="9"/>
    <x v="0"/>
    <x v="0"/>
    <n v="1"/>
    <n v="4506"/>
    <x v="1"/>
    <n v="4506"/>
    <x v="1"/>
    <x v="0"/>
    <x v="3"/>
    <x v="4"/>
    <x v="0"/>
    <x v="1"/>
    <x v="1"/>
    <x v="319"/>
  </r>
  <r>
    <x v="325"/>
    <x v="8"/>
    <x v="7"/>
    <x v="6"/>
    <x v="0"/>
    <x v="0"/>
    <n v="1"/>
    <n v="8216"/>
    <x v="2"/>
    <n v="5476"/>
    <x v="0"/>
    <x v="0"/>
    <x v="0"/>
    <x v="0"/>
    <x v="3"/>
    <x v="0"/>
    <x v="214"/>
    <x v="320"/>
  </r>
  <r>
    <x v="326"/>
    <x v="212"/>
    <x v="4"/>
    <x v="4"/>
    <x v="1"/>
    <x v="1"/>
    <n v="1"/>
    <n v="5186"/>
    <x v="1"/>
    <n v="5184"/>
    <x v="0"/>
    <x v="1"/>
    <x v="2"/>
    <x v="0"/>
    <x v="1"/>
    <x v="1"/>
    <x v="4"/>
    <x v="321"/>
  </r>
  <r>
    <x v="327"/>
    <x v="142"/>
    <x v="4"/>
    <x v="4"/>
    <x v="1"/>
    <x v="1"/>
    <n v="1"/>
    <n v="6268"/>
    <x v="1"/>
    <n v="6267"/>
    <x v="0"/>
    <x v="1"/>
    <x v="2"/>
    <x v="10"/>
    <x v="3"/>
    <x v="1"/>
    <x v="2"/>
    <x v="322"/>
  </r>
  <r>
    <x v="328"/>
    <x v="213"/>
    <x v="11"/>
    <x v="10"/>
    <x v="1"/>
    <x v="1"/>
    <n v="1"/>
    <n v="3826"/>
    <x v="2"/>
    <n v="2550"/>
    <x v="0"/>
    <x v="1"/>
    <x v="5"/>
    <x v="0"/>
    <x v="0"/>
    <x v="0"/>
    <x v="215"/>
    <x v="323"/>
  </r>
  <r>
    <x v="329"/>
    <x v="214"/>
    <x v="2"/>
    <x v="2"/>
    <x v="0"/>
    <x v="0"/>
    <n v="1"/>
    <n v="5551"/>
    <x v="1"/>
    <n v="5550"/>
    <x v="0"/>
    <x v="2"/>
    <x v="3"/>
    <x v="0"/>
    <x v="5"/>
    <x v="1"/>
    <x v="2"/>
    <x v="324"/>
  </r>
  <r>
    <x v="330"/>
    <x v="215"/>
    <x v="13"/>
    <x v="9"/>
    <x v="1"/>
    <x v="1"/>
    <n v="1"/>
    <n v="3106"/>
    <x v="1"/>
    <n v="3105"/>
    <x v="0"/>
    <x v="0"/>
    <x v="2"/>
    <x v="0"/>
    <x v="6"/>
    <x v="1"/>
    <x v="2"/>
    <x v="325"/>
  </r>
  <r>
    <x v="331"/>
    <x v="78"/>
    <x v="11"/>
    <x v="10"/>
    <x v="0"/>
    <x v="0"/>
    <n v="1"/>
    <n v="4174"/>
    <x v="2"/>
    <n v="2782"/>
    <x v="0"/>
    <x v="2"/>
    <x v="5"/>
    <x v="10"/>
    <x v="8"/>
    <x v="0"/>
    <x v="216"/>
    <x v="326"/>
  </r>
  <r>
    <x v="332"/>
    <x v="216"/>
    <x v="6"/>
    <x v="6"/>
    <x v="0"/>
    <x v="0"/>
    <n v="1"/>
    <n v="11151"/>
    <x v="1"/>
    <n v="11151"/>
    <x v="1"/>
    <x v="1"/>
    <x v="4"/>
    <x v="14"/>
    <x v="3"/>
    <x v="0"/>
    <x v="1"/>
    <x v="327"/>
  </r>
  <r>
    <x v="333"/>
    <x v="87"/>
    <x v="9"/>
    <x v="8"/>
    <x v="0"/>
    <x v="0"/>
    <n v="1"/>
    <n v="14920"/>
    <x v="2"/>
    <n v="9946"/>
    <x v="0"/>
    <x v="0"/>
    <x v="4"/>
    <x v="6"/>
    <x v="2"/>
    <x v="0"/>
    <x v="217"/>
    <x v="328"/>
  </r>
  <r>
    <x v="334"/>
    <x v="4"/>
    <x v="6"/>
    <x v="6"/>
    <x v="1"/>
    <x v="1"/>
    <n v="1"/>
    <n v="8399"/>
    <x v="2"/>
    <n v="5598"/>
    <x v="0"/>
    <x v="0"/>
    <x v="3"/>
    <x v="0"/>
    <x v="5"/>
    <x v="0"/>
    <x v="218"/>
    <x v="329"/>
  </r>
  <r>
    <x v="335"/>
    <x v="157"/>
    <x v="4"/>
    <x v="4"/>
    <x v="0"/>
    <x v="0"/>
    <n v="1"/>
    <n v="5341"/>
    <x v="1"/>
    <n v="5340"/>
    <x v="0"/>
    <x v="2"/>
    <x v="1"/>
    <x v="2"/>
    <x v="0"/>
    <x v="0"/>
    <x v="2"/>
    <x v="330"/>
  </r>
  <r>
    <x v="336"/>
    <x v="170"/>
    <x v="11"/>
    <x v="10"/>
    <x v="0"/>
    <x v="0"/>
    <n v="1"/>
    <n v="3670"/>
    <x v="1"/>
    <n v="3669"/>
    <x v="0"/>
    <x v="2"/>
    <x v="1"/>
    <x v="11"/>
    <x v="5"/>
    <x v="0"/>
    <x v="2"/>
    <x v="331"/>
  </r>
  <r>
    <x v="337"/>
    <x v="76"/>
    <x v="7"/>
    <x v="6"/>
    <x v="0"/>
    <x v="0"/>
    <n v="1"/>
    <n v="7928"/>
    <x v="2"/>
    <n v="5284"/>
    <x v="0"/>
    <x v="0"/>
    <x v="4"/>
    <x v="5"/>
    <x v="6"/>
    <x v="1"/>
    <x v="219"/>
    <x v="332"/>
  </r>
  <r>
    <x v="338"/>
    <x v="203"/>
    <x v="11"/>
    <x v="10"/>
    <x v="1"/>
    <x v="1"/>
    <n v="1"/>
    <n v="4689"/>
    <x v="1"/>
    <n v="4689"/>
    <x v="1"/>
    <x v="1"/>
    <x v="2"/>
    <x v="9"/>
    <x v="9"/>
    <x v="1"/>
    <x v="1"/>
    <x v="333"/>
  </r>
  <r>
    <x v="339"/>
    <x v="217"/>
    <x v="13"/>
    <x v="9"/>
    <x v="1"/>
    <x v="1"/>
    <n v="1"/>
    <n v="4819"/>
    <x v="2"/>
    <n v="3212"/>
    <x v="0"/>
    <x v="2"/>
    <x v="0"/>
    <x v="12"/>
    <x v="1"/>
    <x v="1"/>
    <x v="220"/>
    <x v="334"/>
  </r>
  <r>
    <x v="340"/>
    <x v="40"/>
    <x v="10"/>
    <x v="9"/>
    <x v="1"/>
    <x v="1"/>
    <n v="1"/>
    <n v="6356"/>
    <x v="1"/>
    <n v="6354"/>
    <x v="0"/>
    <x v="2"/>
    <x v="1"/>
    <x v="0"/>
    <x v="8"/>
    <x v="1"/>
    <x v="4"/>
    <x v="335"/>
  </r>
  <r>
    <x v="341"/>
    <x v="218"/>
    <x v="5"/>
    <x v="5"/>
    <x v="1"/>
    <x v="1"/>
    <n v="1"/>
    <n v="4197"/>
    <x v="2"/>
    <n v="2798"/>
    <x v="0"/>
    <x v="2"/>
    <x v="3"/>
    <x v="6"/>
    <x v="6"/>
    <x v="0"/>
    <x v="221"/>
    <x v="336"/>
  </r>
  <r>
    <x v="342"/>
    <x v="219"/>
    <x v="0"/>
    <x v="0"/>
    <x v="0"/>
    <x v="0"/>
    <n v="1"/>
    <n v="5304"/>
    <x v="2"/>
    <n v="3536"/>
    <x v="0"/>
    <x v="0"/>
    <x v="1"/>
    <x v="9"/>
    <x v="2"/>
    <x v="1"/>
    <x v="222"/>
    <x v="337"/>
  </r>
  <r>
    <x v="343"/>
    <x v="220"/>
    <x v="5"/>
    <x v="5"/>
    <x v="0"/>
    <x v="0"/>
    <n v="1"/>
    <n v="5897"/>
    <x v="2"/>
    <n v="3930"/>
    <x v="0"/>
    <x v="2"/>
    <x v="0"/>
    <x v="11"/>
    <x v="3"/>
    <x v="0"/>
    <x v="223"/>
    <x v="338"/>
  </r>
  <r>
    <x v="344"/>
    <x v="221"/>
    <x v="12"/>
    <x v="11"/>
    <x v="0"/>
    <x v="0"/>
    <n v="1"/>
    <n v="5610"/>
    <x v="0"/>
    <n v="1870"/>
    <x v="0"/>
    <x v="1"/>
    <x v="5"/>
    <x v="6"/>
    <x v="1"/>
    <x v="1"/>
    <x v="224"/>
    <x v="339"/>
  </r>
  <r>
    <x v="345"/>
    <x v="130"/>
    <x v="9"/>
    <x v="8"/>
    <x v="0"/>
    <x v="0"/>
    <n v="1"/>
    <n v="12941"/>
    <x v="2"/>
    <n v="8626"/>
    <x v="0"/>
    <x v="2"/>
    <x v="4"/>
    <x v="1"/>
    <x v="5"/>
    <x v="0"/>
    <x v="225"/>
    <x v="340"/>
  </r>
  <r>
    <x v="346"/>
    <x v="222"/>
    <x v="3"/>
    <x v="3"/>
    <x v="0"/>
    <x v="0"/>
    <n v="1"/>
    <n v="5889"/>
    <x v="2"/>
    <n v="3926"/>
    <x v="0"/>
    <x v="1"/>
    <x v="5"/>
    <x v="9"/>
    <x v="5"/>
    <x v="0"/>
    <x v="226"/>
    <x v="341"/>
  </r>
  <r>
    <x v="347"/>
    <x v="223"/>
    <x v="11"/>
    <x v="10"/>
    <x v="1"/>
    <x v="1"/>
    <n v="1"/>
    <n v="5620"/>
    <x v="1"/>
    <n v="5619"/>
    <x v="0"/>
    <x v="1"/>
    <x v="2"/>
    <x v="9"/>
    <x v="8"/>
    <x v="0"/>
    <x v="2"/>
    <x v="342"/>
  </r>
  <r>
    <x v="348"/>
    <x v="140"/>
    <x v="13"/>
    <x v="9"/>
    <x v="1"/>
    <x v="1"/>
    <n v="1"/>
    <n v="4470"/>
    <x v="0"/>
    <n v="1490"/>
    <x v="0"/>
    <x v="0"/>
    <x v="5"/>
    <x v="8"/>
    <x v="9"/>
    <x v="0"/>
    <x v="227"/>
    <x v="343"/>
  </r>
  <r>
    <x v="349"/>
    <x v="175"/>
    <x v="10"/>
    <x v="9"/>
    <x v="1"/>
    <x v="1"/>
    <n v="1"/>
    <n v="5047"/>
    <x v="0"/>
    <n v="1682"/>
    <x v="0"/>
    <x v="0"/>
    <x v="4"/>
    <x v="13"/>
    <x v="7"/>
    <x v="0"/>
    <x v="228"/>
    <x v="344"/>
  </r>
  <r>
    <x v="350"/>
    <x v="224"/>
    <x v="4"/>
    <x v="4"/>
    <x v="1"/>
    <x v="1"/>
    <n v="1"/>
    <n v="5852"/>
    <x v="2"/>
    <n v="3900"/>
    <x v="0"/>
    <x v="1"/>
    <x v="1"/>
    <x v="11"/>
    <x v="7"/>
    <x v="1"/>
    <x v="229"/>
    <x v="345"/>
  </r>
  <r>
    <x v="351"/>
    <x v="225"/>
    <x v="10"/>
    <x v="9"/>
    <x v="0"/>
    <x v="0"/>
    <n v="1"/>
    <n v="4794"/>
    <x v="0"/>
    <n v="1598"/>
    <x v="0"/>
    <x v="2"/>
    <x v="1"/>
    <x v="14"/>
    <x v="4"/>
    <x v="0"/>
    <x v="230"/>
    <x v="346"/>
  </r>
  <r>
    <x v="352"/>
    <x v="226"/>
    <x v="1"/>
    <x v="1"/>
    <x v="0"/>
    <x v="0"/>
    <n v="1"/>
    <n v="5826"/>
    <x v="0"/>
    <n v="1942"/>
    <x v="0"/>
    <x v="2"/>
    <x v="0"/>
    <x v="8"/>
    <x v="9"/>
    <x v="1"/>
    <x v="231"/>
    <x v="347"/>
  </r>
  <r>
    <x v="353"/>
    <x v="174"/>
    <x v="8"/>
    <x v="7"/>
    <x v="1"/>
    <x v="1"/>
    <n v="1"/>
    <n v="7864"/>
    <x v="0"/>
    <n v="2621"/>
    <x v="0"/>
    <x v="0"/>
    <x v="1"/>
    <x v="0"/>
    <x v="2"/>
    <x v="0"/>
    <x v="232"/>
    <x v="348"/>
  </r>
  <r>
    <x v="354"/>
    <x v="168"/>
    <x v="12"/>
    <x v="11"/>
    <x v="0"/>
    <x v="0"/>
    <n v="1"/>
    <n v="7730"/>
    <x v="2"/>
    <n v="5152"/>
    <x v="0"/>
    <x v="0"/>
    <x v="1"/>
    <x v="5"/>
    <x v="4"/>
    <x v="0"/>
    <x v="233"/>
    <x v="349"/>
  </r>
  <r>
    <x v="355"/>
    <x v="1"/>
    <x v="2"/>
    <x v="2"/>
    <x v="1"/>
    <x v="1"/>
    <n v="1"/>
    <n v="6832"/>
    <x v="1"/>
    <n v="6831"/>
    <x v="0"/>
    <x v="2"/>
    <x v="3"/>
    <x v="10"/>
    <x v="4"/>
    <x v="0"/>
    <x v="2"/>
    <x v="350"/>
  </r>
  <r>
    <x v="356"/>
    <x v="35"/>
    <x v="6"/>
    <x v="6"/>
    <x v="0"/>
    <x v="0"/>
    <n v="1"/>
    <n v="11003"/>
    <x v="2"/>
    <n v="7334"/>
    <x v="0"/>
    <x v="1"/>
    <x v="0"/>
    <x v="7"/>
    <x v="9"/>
    <x v="0"/>
    <x v="234"/>
    <x v="351"/>
  </r>
  <r>
    <x v="357"/>
    <x v="227"/>
    <x v="11"/>
    <x v="10"/>
    <x v="0"/>
    <x v="0"/>
    <n v="1"/>
    <n v="3579"/>
    <x v="0"/>
    <n v="1193"/>
    <x v="0"/>
    <x v="1"/>
    <x v="3"/>
    <x v="10"/>
    <x v="7"/>
    <x v="0"/>
    <x v="235"/>
    <x v="352"/>
  </r>
  <r>
    <x v="358"/>
    <x v="228"/>
    <x v="7"/>
    <x v="6"/>
    <x v="0"/>
    <x v="0"/>
    <n v="1"/>
    <n v="7915"/>
    <x v="0"/>
    <n v="2638"/>
    <x v="0"/>
    <x v="0"/>
    <x v="1"/>
    <x v="7"/>
    <x v="1"/>
    <x v="0"/>
    <x v="236"/>
    <x v="353"/>
  </r>
  <r>
    <x v="359"/>
    <x v="220"/>
    <x v="7"/>
    <x v="6"/>
    <x v="1"/>
    <x v="1"/>
    <n v="1"/>
    <n v="11158"/>
    <x v="0"/>
    <n v="3719"/>
    <x v="0"/>
    <x v="2"/>
    <x v="3"/>
    <x v="7"/>
    <x v="7"/>
    <x v="0"/>
    <x v="237"/>
    <x v="354"/>
  </r>
  <r>
    <x v="360"/>
    <x v="221"/>
    <x v="3"/>
    <x v="3"/>
    <x v="0"/>
    <x v="0"/>
    <n v="1"/>
    <n v="6056"/>
    <x v="2"/>
    <n v="4036"/>
    <x v="0"/>
    <x v="2"/>
    <x v="1"/>
    <x v="6"/>
    <x v="2"/>
    <x v="0"/>
    <x v="238"/>
    <x v="355"/>
  </r>
  <r>
    <x v="361"/>
    <x v="229"/>
    <x v="7"/>
    <x v="6"/>
    <x v="0"/>
    <x v="0"/>
    <n v="1"/>
    <n v="7210"/>
    <x v="2"/>
    <n v="4806"/>
    <x v="0"/>
    <x v="1"/>
    <x v="4"/>
    <x v="1"/>
    <x v="1"/>
    <x v="0"/>
    <x v="239"/>
    <x v="238"/>
  </r>
  <r>
    <x v="362"/>
    <x v="144"/>
    <x v="6"/>
    <x v="6"/>
    <x v="0"/>
    <x v="0"/>
    <n v="1"/>
    <n v="10854"/>
    <x v="0"/>
    <n v="3618"/>
    <x v="0"/>
    <x v="0"/>
    <x v="3"/>
    <x v="5"/>
    <x v="8"/>
    <x v="0"/>
    <x v="240"/>
    <x v="356"/>
  </r>
  <r>
    <x v="363"/>
    <x v="204"/>
    <x v="5"/>
    <x v="5"/>
    <x v="0"/>
    <x v="0"/>
    <n v="1"/>
    <n v="3651"/>
    <x v="0"/>
    <n v="1217"/>
    <x v="0"/>
    <x v="1"/>
    <x v="2"/>
    <x v="6"/>
    <x v="6"/>
    <x v="0"/>
    <x v="241"/>
    <x v="357"/>
  </r>
  <r>
    <x v="364"/>
    <x v="230"/>
    <x v="3"/>
    <x v="3"/>
    <x v="1"/>
    <x v="1"/>
    <n v="1"/>
    <n v="5831"/>
    <x v="1"/>
    <n v="5829"/>
    <x v="0"/>
    <x v="2"/>
    <x v="2"/>
    <x v="3"/>
    <x v="8"/>
    <x v="0"/>
    <x v="4"/>
    <x v="358"/>
  </r>
  <r>
    <x v="365"/>
    <x v="231"/>
    <x v="10"/>
    <x v="9"/>
    <x v="0"/>
    <x v="0"/>
    <n v="1"/>
    <n v="5173"/>
    <x v="2"/>
    <n v="3448"/>
    <x v="0"/>
    <x v="1"/>
    <x v="1"/>
    <x v="3"/>
    <x v="8"/>
    <x v="0"/>
    <x v="242"/>
    <x v="359"/>
  </r>
  <r>
    <x v="366"/>
    <x v="37"/>
    <x v="6"/>
    <x v="6"/>
    <x v="1"/>
    <x v="1"/>
    <n v="1"/>
    <n v="11961"/>
    <x v="0"/>
    <n v="3987"/>
    <x v="0"/>
    <x v="2"/>
    <x v="1"/>
    <x v="7"/>
    <x v="9"/>
    <x v="1"/>
    <x v="243"/>
    <x v="360"/>
  </r>
  <r>
    <x v="367"/>
    <x v="69"/>
    <x v="3"/>
    <x v="3"/>
    <x v="0"/>
    <x v="0"/>
    <n v="1"/>
    <n v="5221"/>
    <x v="1"/>
    <n v="5220"/>
    <x v="0"/>
    <x v="2"/>
    <x v="0"/>
    <x v="6"/>
    <x v="0"/>
    <x v="0"/>
    <x v="2"/>
    <x v="361"/>
  </r>
  <r>
    <x v="368"/>
    <x v="198"/>
    <x v="8"/>
    <x v="7"/>
    <x v="0"/>
    <x v="0"/>
    <n v="1"/>
    <n v="12643"/>
    <x v="2"/>
    <n v="8428"/>
    <x v="0"/>
    <x v="1"/>
    <x v="5"/>
    <x v="13"/>
    <x v="6"/>
    <x v="1"/>
    <x v="244"/>
    <x v="362"/>
  </r>
  <r>
    <x v="369"/>
    <x v="113"/>
    <x v="11"/>
    <x v="10"/>
    <x v="1"/>
    <x v="1"/>
    <n v="1"/>
    <n v="4666"/>
    <x v="2"/>
    <n v="3110"/>
    <x v="0"/>
    <x v="1"/>
    <x v="4"/>
    <x v="9"/>
    <x v="4"/>
    <x v="0"/>
    <x v="245"/>
    <x v="363"/>
  </r>
  <r>
    <x v="370"/>
    <x v="0"/>
    <x v="10"/>
    <x v="9"/>
    <x v="0"/>
    <x v="0"/>
    <n v="1"/>
    <n v="7541"/>
    <x v="0"/>
    <n v="2513"/>
    <x v="0"/>
    <x v="2"/>
    <x v="5"/>
    <x v="6"/>
    <x v="9"/>
    <x v="1"/>
    <x v="246"/>
    <x v="141"/>
  </r>
  <r>
    <x v="371"/>
    <x v="232"/>
    <x v="0"/>
    <x v="0"/>
    <x v="1"/>
    <x v="1"/>
    <n v="1"/>
    <n v="6382"/>
    <x v="0"/>
    <n v="2127"/>
    <x v="0"/>
    <x v="0"/>
    <x v="0"/>
    <x v="11"/>
    <x v="8"/>
    <x v="1"/>
    <x v="247"/>
    <x v="364"/>
  </r>
  <r>
    <x v="372"/>
    <x v="118"/>
    <x v="7"/>
    <x v="6"/>
    <x v="1"/>
    <x v="1"/>
    <n v="1"/>
    <n v="8555"/>
    <x v="2"/>
    <n v="5702"/>
    <x v="0"/>
    <x v="0"/>
    <x v="4"/>
    <x v="5"/>
    <x v="9"/>
    <x v="0"/>
    <x v="248"/>
    <x v="365"/>
  </r>
  <r>
    <x v="373"/>
    <x v="50"/>
    <x v="4"/>
    <x v="4"/>
    <x v="1"/>
    <x v="1"/>
    <n v="1"/>
    <n v="4173"/>
    <x v="2"/>
    <n v="2782"/>
    <x v="0"/>
    <x v="1"/>
    <x v="5"/>
    <x v="0"/>
    <x v="6"/>
    <x v="0"/>
    <x v="249"/>
    <x v="326"/>
  </r>
  <r>
    <x v="374"/>
    <x v="67"/>
    <x v="4"/>
    <x v="4"/>
    <x v="1"/>
    <x v="1"/>
    <n v="1"/>
    <n v="5435"/>
    <x v="2"/>
    <n v="3622"/>
    <x v="0"/>
    <x v="0"/>
    <x v="1"/>
    <x v="5"/>
    <x v="9"/>
    <x v="0"/>
    <x v="250"/>
    <x v="366"/>
  </r>
  <r>
    <x v="375"/>
    <x v="233"/>
    <x v="12"/>
    <x v="11"/>
    <x v="1"/>
    <x v="1"/>
    <n v="1"/>
    <n v="7247"/>
    <x v="2"/>
    <n v="4830"/>
    <x v="0"/>
    <x v="0"/>
    <x v="2"/>
    <x v="13"/>
    <x v="8"/>
    <x v="0"/>
    <x v="251"/>
    <x v="367"/>
  </r>
  <r>
    <x v="376"/>
    <x v="234"/>
    <x v="11"/>
    <x v="10"/>
    <x v="0"/>
    <x v="0"/>
    <n v="1"/>
    <n v="4109"/>
    <x v="0"/>
    <n v="1369"/>
    <x v="0"/>
    <x v="0"/>
    <x v="0"/>
    <x v="13"/>
    <x v="2"/>
    <x v="1"/>
    <x v="214"/>
    <x v="368"/>
  </r>
  <r>
    <x v="377"/>
    <x v="54"/>
    <x v="1"/>
    <x v="1"/>
    <x v="0"/>
    <x v="0"/>
    <n v="1"/>
    <n v="4904"/>
    <x v="1"/>
    <n v="4902"/>
    <x v="0"/>
    <x v="1"/>
    <x v="4"/>
    <x v="4"/>
    <x v="7"/>
    <x v="0"/>
    <x v="4"/>
    <x v="5"/>
  </r>
  <r>
    <x v="378"/>
    <x v="235"/>
    <x v="0"/>
    <x v="0"/>
    <x v="0"/>
    <x v="0"/>
    <n v="1"/>
    <n v="6381"/>
    <x v="0"/>
    <n v="2127"/>
    <x v="0"/>
    <x v="0"/>
    <x v="2"/>
    <x v="1"/>
    <x v="4"/>
    <x v="1"/>
    <x v="252"/>
    <x v="364"/>
  </r>
  <r>
    <x v="379"/>
    <x v="131"/>
    <x v="9"/>
    <x v="8"/>
    <x v="0"/>
    <x v="0"/>
    <n v="1"/>
    <n v="10142"/>
    <x v="2"/>
    <n v="6760"/>
    <x v="0"/>
    <x v="0"/>
    <x v="3"/>
    <x v="10"/>
    <x v="5"/>
    <x v="0"/>
    <x v="253"/>
    <x v="369"/>
  </r>
  <r>
    <x v="380"/>
    <x v="68"/>
    <x v="8"/>
    <x v="7"/>
    <x v="1"/>
    <x v="1"/>
    <n v="1"/>
    <n v="14991"/>
    <x v="1"/>
    <n v="14991"/>
    <x v="1"/>
    <x v="2"/>
    <x v="5"/>
    <x v="2"/>
    <x v="3"/>
    <x v="0"/>
    <x v="1"/>
    <x v="370"/>
  </r>
  <r>
    <x v="381"/>
    <x v="122"/>
    <x v="1"/>
    <x v="1"/>
    <x v="0"/>
    <x v="0"/>
    <n v="1"/>
    <n v="5365"/>
    <x v="0"/>
    <n v="1788"/>
    <x v="0"/>
    <x v="0"/>
    <x v="4"/>
    <x v="3"/>
    <x v="5"/>
    <x v="1"/>
    <x v="254"/>
    <x v="371"/>
  </r>
  <r>
    <x v="382"/>
    <x v="77"/>
    <x v="12"/>
    <x v="11"/>
    <x v="0"/>
    <x v="0"/>
    <n v="1"/>
    <n v="7811"/>
    <x v="1"/>
    <n v="7809"/>
    <x v="0"/>
    <x v="1"/>
    <x v="4"/>
    <x v="12"/>
    <x v="8"/>
    <x v="1"/>
    <x v="4"/>
    <x v="372"/>
  </r>
  <r>
    <x v="383"/>
    <x v="113"/>
    <x v="11"/>
    <x v="10"/>
    <x v="1"/>
    <x v="1"/>
    <n v="1"/>
    <n v="4846"/>
    <x v="2"/>
    <n v="3230"/>
    <x v="0"/>
    <x v="1"/>
    <x v="2"/>
    <x v="2"/>
    <x v="6"/>
    <x v="1"/>
    <x v="255"/>
    <x v="373"/>
  </r>
  <r>
    <x v="384"/>
    <x v="12"/>
    <x v="9"/>
    <x v="8"/>
    <x v="0"/>
    <x v="0"/>
    <n v="1"/>
    <n v="9363"/>
    <x v="1"/>
    <n v="9363"/>
    <x v="1"/>
    <x v="1"/>
    <x v="0"/>
    <x v="7"/>
    <x v="1"/>
    <x v="1"/>
    <x v="1"/>
    <x v="374"/>
  </r>
  <r>
    <x v="385"/>
    <x v="117"/>
    <x v="4"/>
    <x v="4"/>
    <x v="0"/>
    <x v="0"/>
    <n v="1"/>
    <n v="5426"/>
    <x v="1"/>
    <n v="5424"/>
    <x v="0"/>
    <x v="0"/>
    <x v="4"/>
    <x v="10"/>
    <x v="9"/>
    <x v="1"/>
    <x v="4"/>
    <x v="375"/>
  </r>
  <r>
    <x v="386"/>
    <x v="125"/>
    <x v="8"/>
    <x v="7"/>
    <x v="1"/>
    <x v="1"/>
    <n v="1"/>
    <n v="12602"/>
    <x v="1"/>
    <n v="12600"/>
    <x v="0"/>
    <x v="2"/>
    <x v="5"/>
    <x v="3"/>
    <x v="7"/>
    <x v="0"/>
    <x v="4"/>
    <x v="376"/>
  </r>
  <r>
    <x v="387"/>
    <x v="153"/>
    <x v="8"/>
    <x v="7"/>
    <x v="0"/>
    <x v="0"/>
    <n v="1"/>
    <n v="13098"/>
    <x v="2"/>
    <n v="8732"/>
    <x v="0"/>
    <x v="1"/>
    <x v="2"/>
    <x v="13"/>
    <x v="7"/>
    <x v="1"/>
    <x v="256"/>
    <x v="377"/>
  </r>
  <r>
    <x v="388"/>
    <x v="236"/>
    <x v="3"/>
    <x v="3"/>
    <x v="0"/>
    <x v="0"/>
    <n v="1"/>
    <n v="4002"/>
    <x v="1"/>
    <n v="4002"/>
    <x v="1"/>
    <x v="2"/>
    <x v="1"/>
    <x v="6"/>
    <x v="9"/>
    <x v="0"/>
    <x v="1"/>
    <x v="378"/>
  </r>
  <r>
    <x v="389"/>
    <x v="237"/>
    <x v="5"/>
    <x v="5"/>
    <x v="1"/>
    <x v="1"/>
    <n v="1"/>
    <n v="4212"/>
    <x v="1"/>
    <n v="4212"/>
    <x v="1"/>
    <x v="1"/>
    <x v="2"/>
    <x v="11"/>
    <x v="9"/>
    <x v="0"/>
    <x v="1"/>
    <x v="379"/>
  </r>
  <r>
    <x v="390"/>
    <x v="238"/>
    <x v="7"/>
    <x v="6"/>
    <x v="0"/>
    <x v="0"/>
    <n v="1"/>
    <n v="7783"/>
    <x v="1"/>
    <n v="7782"/>
    <x v="0"/>
    <x v="1"/>
    <x v="2"/>
    <x v="13"/>
    <x v="4"/>
    <x v="1"/>
    <x v="2"/>
    <x v="380"/>
  </r>
  <r>
    <x v="391"/>
    <x v="239"/>
    <x v="6"/>
    <x v="6"/>
    <x v="1"/>
    <x v="1"/>
    <n v="1"/>
    <n v="9749"/>
    <x v="1"/>
    <n v="9747"/>
    <x v="0"/>
    <x v="0"/>
    <x v="3"/>
    <x v="1"/>
    <x v="5"/>
    <x v="0"/>
    <x v="4"/>
    <x v="381"/>
  </r>
  <r>
    <x v="392"/>
    <x v="57"/>
    <x v="9"/>
    <x v="8"/>
    <x v="0"/>
    <x v="0"/>
    <n v="1"/>
    <n v="14385"/>
    <x v="1"/>
    <n v="14385"/>
    <x v="1"/>
    <x v="2"/>
    <x v="0"/>
    <x v="3"/>
    <x v="5"/>
    <x v="1"/>
    <x v="1"/>
    <x v="382"/>
  </r>
  <r>
    <x v="393"/>
    <x v="228"/>
    <x v="2"/>
    <x v="2"/>
    <x v="1"/>
    <x v="1"/>
    <n v="1"/>
    <n v="6160"/>
    <x v="1"/>
    <n v="6159"/>
    <x v="0"/>
    <x v="2"/>
    <x v="1"/>
    <x v="10"/>
    <x v="4"/>
    <x v="0"/>
    <x v="2"/>
    <x v="276"/>
  </r>
  <r>
    <x v="394"/>
    <x v="123"/>
    <x v="3"/>
    <x v="3"/>
    <x v="1"/>
    <x v="1"/>
    <n v="1"/>
    <n v="5703"/>
    <x v="0"/>
    <n v="1901"/>
    <x v="0"/>
    <x v="2"/>
    <x v="5"/>
    <x v="12"/>
    <x v="7"/>
    <x v="0"/>
    <x v="257"/>
    <x v="383"/>
  </r>
  <r>
    <x v="395"/>
    <x v="89"/>
    <x v="6"/>
    <x v="6"/>
    <x v="1"/>
    <x v="1"/>
    <n v="1"/>
    <n v="9837"/>
    <x v="0"/>
    <n v="3279"/>
    <x v="0"/>
    <x v="1"/>
    <x v="5"/>
    <x v="9"/>
    <x v="2"/>
    <x v="0"/>
    <x v="258"/>
    <x v="384"/>
  </r>
  <r>
    <x v="396"/>
    <x v="106"/>
    <x v="7"/>
    <x v="6"/>
    <x v="0"/>
    <x v="0"/>
    <n v="1"/>
    <n v="9938"/>
    <x v="2"/>
    <n v="6624"/>
    <x v="0"/>
    <x v="2"/>
    <x v="2"/>
    <x v="6"/>
    <x v="8"/>
    <x v="0"/>
    <x v="259"/>
    <x v="385"/>
  </r>
  <r>
    <x v="397"/>
    <x v="228"/>
    <x v="1"/>
    <x v="1"/>
    <x v="0"/>
    <x v="0"/>
    <n v="1"/>
    <n v="6741"/>
    <x v="0"/>
    <n v="2247"/>
    <x v="0"/>
    <x v="2"/>
    <x v="5"/>
    <x v="4"/>
    <x v="2"/>
    <x v="0"/>
    <x v="260"/>
    <x v="386"/>
  </r>
  <r>
    <x v="398"/>
    <x v="185"/>
    <x v="9"/>
    <x v="8"/>
    <x v="0"/>
    <x v="0"/>
    <n v="1"/>
    <n v="8974"/>
    <x v="0"/>
    <n v="2991"/>
    <x v="0"/>
    <x v="2"/>
    <x v="1"/>
    <x v="7"/>
    <x v="1"/>
    <x v="0"/>
    <x v="261"/>
    <x v="387"/>
  </r>
  <r>
    <x v="399"/>
    <x v="130"/>
    <x v="2"/>
    <x v="2"/>
    <x v="1"/>
    <x v="1"/>
    <n v="1"/>
    <n v="4761"/>
    <x v="1"/>
    <n v="4761"/>
    <x v="1"/>
    <x v="1"/>
    <x v="2"/>
    <x v="11"/>
    <x v="8"/>
    <x v="0"/>
    <x v="1"/>
    <x v="388"/>
  </r>
  <r>
    <x v="400"/>
    <x v="240"/>
    <x v="1"/>
    <x v="1"/>
    <x v="1"/>
    <x v="1"/>
    <n v="1"/>
    <n v="6318"/>
    <x v="1"/>
    <n v="6318"/>
    <x v="1"/>
    <x v="2"/>
    <x v="1"/>
    <x v="4"/>
    <x v="9"/>
    <x v="0"/>
    <x v="1"/>
    <x v="389"/>
  </r>
  <r>
    <x v="401"/>
    <x v="241"/>
    <x v="4"/>
    <x v="4"/>
    <x v="1"/>
    <x v="1"/>
    <n v="1"/>
    <n v="4422"/>
    <x v="1"/>
    <n v="4422"/>
    <x v="1"/>
    <x v="2"/>
    <x v="0"/>
    <x v="4"/>
    <x v="4"/>
    <x v="0"/>
    <x v="1"/>
    <x v="390"/>
  </r>
  <r>
    <x v="402"/>
    <x v="186"/>
    <x v="11"/>
    <x v="10"/>
    <x v="1"/>
    <x v="1"/>
    <n v="1"/>
    <n v="4725"/>
    <x v="2"/>
    <n v="3150"/>
    <x v="0"/>
    <x v="2"/>
    <x v="5"/>
    <x v="4"/>
    <x v="9"/>
    <x v="1"/>
    <x v="262"/>
    <x v="35"/>
  </r>
  <r>
    <x v="403"/>
    <x v="26"/>
    <x v="9"/>
    <x v="8"/>
    <x v="0"/>
    <x v="0"/>
    <n v="1"/>
    <n v="10959"/>
    <x v="0"/>
    <n v="3653"/>
    <x v="0"/>
    <x v="1"/>
    <x v="1"/>
    <x v="12"/>
    <x v="7"/>
    <x v="0"/>
    <x v="263"/>
    <x v="391"/>
  </r>
  <r>
    <x v="404"/>
    <x v="114"/>
    <x v="2"/>
    <x v="2"/>
    <x v="0"/>
    <x v="0"/>
    <n v="1"/>
    <n v="5682"/>
    <x v="1"/>
    <n v="5682"/>
    <x v="1"/>
    <x v="1"/>
    <x v="2"/>
    <x v="7"/>
    <x v="9"/>
    <x v="1"/>
    <x v="1"/>
    <x v="392"/>
  </r>
  <r>
    <x v="405"/>
    <x v="188"/>
    <x v="4"/>
    <x v="4"/>
    <x v="0"/>
    <x v="0"/>
    <n v="1"/>
    <n v="6716"/>
    <x v="0"/>
    <n v="2238"/>
    <x v="0"/>
    <x v="0"/>
    <x v="5"/>
    <x v="1"/>
    <x v="7"/>
    <x v="1"/>
    <x v="264"/>
    <x v="393"/>
  </r>
  <r>
    <x v="406"/>
    <x v="242"/>
    <x v="7"/>
    <x v="6"/>
    <x v="1"/>
    <x v="1"/>
    <n v="1"/>
    <n v="8844"/>
    <x v="2"/>
    <n v="5896"/>
    <x v="0"/>
    <x v="1"/>
    <x v="3"/>
    <x v="12"/>
    <x v="7"/>
    <x v="0"/>
    <x v="265"/>
    <x v="394"/>
  </r>
  <r>
    <x v="407"/>
    <x v="36"/>
    <x v="6"/>
    <x v="6"/>
    <x v="0"/>
    <x v="0"/>
    <n v="1"/>
    <n v="10724"/>
    <x v="0"/>
    <n v="3574"/>
    <x v="0"/>
    <x v="2"/>
    <x v="0"/>
    <x v="13"/>
    <x v="7"/>
    <x v="1"/>
    <x v="266"/>
    <x v="395"/>
  </r>
  <r>
    <x v="408"/>
    <x v="33"/>
    <x v="0"/>
    <x v="0"/>
    <x v="1"/>
    <x v="1"/>
    <n v="1"/>
    <n v="7791"/>
    <x v="0"/>
    <n v="2597"/>
    <x v="0"/>
    <x v="1"/>
    <x v="5"/>
    <x v="3"/>
    <x v="8"/>
    <x v="1"/>
    <x v="267"/>
    <x v="396"/>
  </r>
  <r>
    <x v="409"/>
    <x v="243"/>
    <x v="9"/>
    <x v="8"/>
    <x v="1"/>
    <x v="1"/>
    <n v="1"/>
    <n v="11495"/>
    <x v="2"/>
    <n v="7662"/>
    <x v="0"/>
    <x v="2"/>
    <x v="0"/>
    <x v="7"/>
    <x v="1"/>
    <x v="1"/>
    <x v="268"/>
    <x v="397"/>
  </r>
  <r>
    <x v="410"/>
    <x v="109"/>
    <x v="12"/>
    <x v="11"/>
    <x v="1"/>
    <x v="1"/>
    <n v="1"/>
    <n v="6201"/>
    <x v="0"/>
    <n v="2067"/>
    <x v="0"/>
    <x v="0"/>
    <x v="1"/>
    <x v="8"/>
    <x v="0"/>
    <x v="1"/>
    <x v="269"/>
    <x v="398"/>
  </r>
  <r>
    <x v="411"/>
    <x v="82"/>
    <x v="3"/>
    <x v="3"/>
    <x v="1"/>
    <x v="1"/>
    <n v="1"/>
    <n v="4927"/>
    <x v="0"/>
    <n v="1642"/>
    <x v="0"/>
    <x v="0"/>
    <x v="1"/>
    <x v="2"/>
    <x v="1"/>
    <x v="1"/>
    <x v="270"/>
    <x v="399"/>
  </r>
  <r>
    <x v="412"/>
    <x v="107"/>
    <x v="5"/>
    <x v="5"/>
    <x v="1"/>
    <x v="1"/>
    <n v="1"/>
    <n v="4792"/>
    <x v="2"/>
    <n v="3194"/>
    <x v="0"/>
    <x v="2"/>
    <x v="2"/>
    <x v="13"/>
    <x v="4"/>
    <x v="1"/>
    <x v="271"/>
    <x v="400"/>
  </r>
  <r>
    <x v="413"/>
    <x v="124"/>
    <x v="10"/>
    <x v="9"/>
    <x v="1"/>
    <x v="1"/>
    <n v="1"/>
    <n v="7414"/>
    <x v="0"/>
    <n v="2471"/>
    <x v="0"/>
    <x v="1"/>
    <x v="2"/>
    <x v="13"/>
    <x v="3"/>
    <x v="0"/>
    <x v="272"/>
    <x v="401"/>
  </r>
  <r>
    <x v="414"/>
    <x v="80"/>
    <x v="10"/>
    <x v="9"/>
    <x v="0"/>
    <x v="0"/>
    <n v="1"/>
    <n v="7038"/>
    <x v="2"/>
    <n v="4692"/>
    <x v="0"/>
    <x v="1"/>
    <x v="1"/>
    <x v="14"/>
    <x v="4"/>
    <x v="0"/>
    <x v="273"/>
    <x v="402"/>
  </r>
  <r>
    <x v="415"/>
    <x v="167"/>
    <x v="5"/>
    <x v="5"/>
    <x v="1"/>
    <x v="1"/>
    <n v="1"/>
    <n v="4307"/>
    <x v="1"/>
    <n v="4305"/>
    <x v="0"/>
    <x v="2"/>
    <x v="4"/>
    <x v="1"/>
    <x v="1"/>
    <x v="1"/>
    <x v="4"/>
    <x v="403"/>
  </r>
  <r>
    <x v="416"/>
    <x v="137"/>
    <x v="5"/>
    <x v="5"/>
    <x v="0"/>
    <x v="0"/>
    <n v="1"/>
    <n v="4184"/>
    <x v="1"/>
    <n v="4182"/>
    <x v="0"/>
    <x v="0"/>
    <x v="3"/>
    <x v="11"/>
    <x v="6"/>
    <x v="1"/>
    <x v="4"/>
    <x v="404"/>
  </r>
  <r>
    <x v="417"/>
    <x v="244"/>
    <x v="13"/>
    <x v="9"/>
    <x v="0"/>
    <x v="0"/>
    <n v="1"/>
    <n v="3066"/>
    <x v="2"/>
    <n v="2044"/>
    <x v="0"/>
    <x v="2"/>
    <x v="0"/>
    <x v="4"/>
    <x v="7"/>
    <x v="1"/>
    <x v="274"/>
    <x v="405"/>
  </r>
  <r>
    <x v="418"/>
    <x v="235"/>
    <x v="2"/>
    <x v="2"/>
    <x v="1"/>
    <x v="1"/>
    <n v="1"/>
    <n v="7246"/>
    <x v="0"/>
    <n v="2415"/>
    <x v="0"/>
    <x v="0"/>
    <x v="5"/>
    <x v="6"/>
    <x v="2"/>
    <x v="0"/>
    <x v="275"/>
    <x v="406"/>
  </r>
  <r>
    <x v="419"/>
    <x v="245"/>
    <x v="11"/>
    <x v="10"/>
    <x v="0"/>
    <x v="0"/>
    <n v="1"/>
    <n v="5212"/>
    <x v="0"/>
    <n v="1737"/>
    <x v="0"/>
    <x v="1"/>
    <x v="5"/>
    <x v="12"/>
    <x v="5"/>
    <x v="1"/>
    <x v="276"/>
    <x v="407"/>
  </r>
  <r>
    <x v="420"/>
    <x v="238"/>
    <x v="5"/>
    <x v="5"/>
    <x v="1"/>
    <x v="1"/>
    <n v="1"/>
    <n v="5300"/>
    <x v="2"/>
    <n v="3532"/>
    <x v="0"/>
    <x v="1"/>
    <x v="2"/>
    <x v="11"/>
    <x v="0"/>
    <x v="0"/>
    <x v="222"/>
    <x v="408"/>
  </r>
  <r>
    <x v="421"/>
    <x v="1"/>
    <x v="2"/>
    <x v="2"/>
    <x v="1"/>
    <x v="1"/>
    <n v="1"/>
    <n v="5757"/>
    <x v="1"/>
    <n v="5757"/>
    <x v="1"/>
    <x v="0"/>
    <x v="1"/>
    <x v="2"/>
    <x v="6"/>
    <x v="1"/>
    <x v="1"/>
    <x v="409"/>
  </r>
  <r>
    <x v="422"/>
    <x v="246"/>
    <x v="1"/>
    <x v="1"/>
    <x v="1"/>
    <x v="1"/>
    <n v="1"/>
    <n v="5238"/>
    <x v="1"/>
    <n v="5238"/>
    <x v="1"/>
    <x v="1"/>
    <x v="1"/>
    <x v="7"/>
    <x v="5"/>
    <x v="0"/>
    <x v="1"/>
    <x v="22"/>
  </r>
  <r>
    <x v="423"/>
    <x v="247"/>
    <x v="0"/>
    <x v="0"/>
    <x v="0"/>
    <x v="0"/>
    <n v="1"/>
    <n v="7332"/>
    <x v="2"/>
    <n v="4888"/>
    <x v="0"/>
    <x v="0"/>
    <x v="0"/>
    <x v="0"/>
    <x v="9"/>
    <x v="1"/>
    <x v="277"/>
    <x v="410"/>
  </r>
  <r>
    <x v="424"/>
    <x v="218"/>
    <x v="2"/>
    <x v="2"/>
    <x v="0"/>
    <x v="0"/>
    <n v="1"/>
    <n v="7011"/>
    <x v="0"/>
    <n v="2337"/>
    <x v="0"/>
    <x v="2"/>
    <x v="2"/>
    <x v="4"/>
    <x v="3"/>
    <x v="1"/>
    <x v="278"/>
    <x v="411"/>
  </r>
  <r>
    <x v="425"/>
    <x v="248"/>
    <x v="9"/>
    <x v="8"/>
    <x v="0"/>
    <x v="0"/>
    <n v="1"/>
    <n v="10489"/>
    <x v="2"/>
    <n v="6992"/>
    <x v="0"/>
    <x v="1"/>
    <x v="5"/>
    <x v="11"/>
    <x v="7"/>
    <x v="0"/>
    <x v="279"/>
    <x v="412"/>
  </r>
  <r>
    <x v="426"/>
    <x v="46"/>
    <x v="0"/>
    <x v="0"/>
    <x v="0"/>
    <x v="0"/>
    <n v="1"/>
    <n v="5792"/>
    <x v="1"/>
    <n v="5790"/>
    <x v="0"/>
    <x v="0"/>
    <x v="1"/>
    <x v="1"/>
    <x v="2"/>
    <x v="0"/>
    <x v="4"/>
    <x v="413"/>
  </r>
  <r>
    <x v="427"/>
    <x v="235"/>
    <x v="3"/>
    <x v="3"/>
    <x v="1"/>
    <x v="1"/>
    <n v="1"/>
    <n v="7474"/>
    <x v="1"/>
    <n v="7473"/>
    <x v="0"/>
    <x v="1"/>
    <x v="3"/>
    <x v="7"/>
    <x v="6"/>
    <x v="0"/>
    <x v="2"/>
    <x v="414"/>
  </r>
  <r>
    <x v="428"/>
    <x v="181"/>
    <x v="8"/>
    <x v="7"/>
    <x v="0"/>
    <x v="0"/>
    <n v="1"/>
    <n v="14063"/>
    <x v="1"/>
    <n v="14061"/>
    <x v="0"/>
    <x v="2"/>
    <x v="3"/>
    <x v="11"/>
    <x v="6"/>
    <x v="0"/>
    <x v="4"/>
    <x v="415"/>
  </r>
  <r>
    <x v="429"/>
    <x v="222"/>
    <x v="13"/>
    <x v="9"/>
    <x v="0"/>
    <x v="0"/>
    <n v="1"/>
    <n v="4887"/>
    <x v="2"/>
    <n v="3258"/>
    <x v="0"/>
    <x v="1"/>
    <x v="1"/>
    <x v="13"/>
    <x v="7"/>
    <x v="1"/>
    <x v="280"/>
    <x v="416"/>
  </r>
  <r>
    <x v="430"/>
    <x v="96"/>
    <x v="0"/>
    <x v="0"/>
    <x v="1"/>
    <x v="1"/>
    <n v="1"/>
    <n v="6259"/>
    <x v="0"/>
    <n v="2086"/>
    <x v="0"/>
    <x v="0"/>
    <x v="3"/>
    <x v="12"/>
    <x v="8"/>
    <x v="0"/>
    <x v="281"/>
    <x v="417"/>
  </r>
  <r>
    <x v="431"/>
    <x v="214"/>
    <x v="8"/>
    <x v="7"/>
    <x v="1"/>
    <x v="1"/>
    <n v="1"/>
    <n v="7234"/>
    <x v="0"/>
    <n v="2411"/>
    <x v="0"/>
    <x v="0"/>
    <x v="3"/>
    <x v="0"/>
    <x v="4"/>
    <x v="0"/>
    <x v="282"/>
    <x v="418"/>
  </r>
  <r>
    <x v="432"/>
    <x v="131"/>
    <x v="0"/>
    <x v="0"/>
    <x v="1"/>
    <x v="1"/>
    <n v="1"/>
    <n v="4501"/>
    <x v="0"/>
    <n v="1500"/>
    <x v="0"/>
    <x v="0"/>
    <x v="1"/>
    <x v="8"/>
    <x v="2"/>
    <x v="0"/>
    <x v="283"/>
    <x v="282"/>
  </r>
  <r>
    <x v="433"/>
    <x v="199"/>
    <x v="6"/>
    <x v="6"/>
    <x v="1"/>
    <x v="1"/>
    <n v="1"/>
    <n v="8897"/>
    <x v="2"/>
    <n v="5930"/>
    <x v="0"/>
    <x v="1"/>
    <x v="4"/>
    <x v="0"/>
    <x v="5"/>
    <x v="0"/>
    <x v="284"/>
    <x v="419"/>
  </r>
  <r>
    <x v="434"/>
    <x v="249"/>
    <x v="6"/>
    <x v="6"/>
    <x v="1"/>
    <x v="1"/>
    <n v="1"/>
    <n v="10820"/>
    <x v="1"/>
    <n v="10818"/>
    <x v="0"/>
    <x v="0"/>
    <x v="0"/>
    <x v="10"/>
    <x v="1"/>
    <x v="0"/>
    <x v="4"/>
    <x v="420"/>
  </r>
  <r>
    <x v="435"/>
    <x v="156"/>
    <x v="0"/>
    <x v="0"/>
    <x v="1"/>
    <x v="1"/>
    <n v="1"/>
    <n v="5188"/>
    <x v="2"/>
    <n v="3458"/>
    <x v="0"/>
    <x v="1"/>
    <x v="0"/>
    <x v="9"/>
    <x v="5"/>
    <x v="1"/>
    <x v="285"/>
    <x v="421"/>
  </r>
  <r>
    <x v="436"/>
    <x v="29"/>
    <x v="7"/>
    <x v="6"/>
    <x v="0"/>
    <x v="0"/>
    <n v="1"/>
    <n v="11522"/>
    <x v="2"/>
    <n v="7680"/>
    <x v="0"/>
    <x v="2"/>
    <x v="4"/>
    <x v="2"/>
    <x v="5"/>
    <x v="1"/>
    <x v="286"/>
    <x v="422"/>
  </r>
  <r>
    <x v="437"/>
    <x v="197"/>
    <x v="0"/>
    <x v="0"/>
    <x v="1"/>
    <x v="1"/>
    <n v="1"/>
    <n v="5572"/>
    <x v="1"/>
    <n v="5571"/>
    <x v="0"/>
    <x v="2"/>
    <x v="4"/>
    <x v="0"/>
    <x v="7"/>
    <x v="0"/>
    <x v="2"/>
    <x v="423"/>
  </r>
  <r>
    <x v="438"/>
    <x v="207"/>
    <x v="2"/>
    <x v="2"/>
    <x v="1"/>
    <x v="1"/>
    <n v="1"/>
    <n v="7343"/>
    <x v="1"/>
    <n v="7341"/>
    <x v="0"/>
    <x v="2"/>
    <x v="2"/>
    <x v="5"/>
    <x v="2"/>
    <x v="0"/>
    <x v="4"/>
    <x v="424"/>
  </r>
  <r>
    <x v="439"/>
    <x v="250"/>
    <x v="1"/>
    <x v="1"/>
    <x v="1"/>
    <x v="1"/>
    <n v="1"/>
    <n v="5169"/>
    <x v="2"/>
    <n v="3446"/>
    <x v="0"/>
    <x v="2"/>
    <x v="0"/>
    <x v="6"/>
    <x v="5"/>
    <x v="1"/>
    <x v="287"/>
    <x v="425"/>
  </r>
  <r>
    <x v="440"/>
    <x v="251"/>
    <x v="1"/>
    <x v="1"/>
    <x v="0"/>
    <x v="0"/>
    <n v="1"/>
    <n v="6446"/>
    <x v="2"/>
    <n v="4296"/>
    <x v="0"/>
    <x v="2"/>
    <x v="0"/>
    <x v="0"/>
    <x v="6"/>
    <x v="1"/>
    <x v="104"/>
    <x v="426"/>
  </r>
  <r>
    <x v="441"/>
    <x v="6"/>
    <x v="1"/>
    <x v="1"/>
    <x v="1"/>
    <x v="1"/>
    <n v="1"/>
    <n v="5021"/>
    <x v="2"/>
    <n v="3346"/>
    <x v="0"/>
    <x v="2"/>
    <x v="0"/>
    <x v="0"/>
    <x v="9"/>
    <x v="0"/>
    <x v="288"/>
    <x v="427"/>
  </r>
  <r>
    <x v="442"/>
    <x v="126"/>
    <x v="1"/>
    <x v="1"/>
    <x v="0"/>
    <x v="0"/>
    <n v="1"/>
    <n v="5972"/>
    <x v="2"/>
    <n v="3980"/>
    <x v="0"/>
    <x v="2"/>
    <x v="0"/>
    <x v="10"/>
    <x v="1"/>
    <x v="1"/>
    <x v="289"/>
    <x v="428"/>
  </r>
  <r>
    <x v="443"/>
    <x v="246"/>
    <x v="1"/>
    <x v="1"/>
    <x v="0"/>
    <x v="0"/>
    <n v="1"/>
    <n v="5936"/>
    <x v="2"/>
    <n v="3956"/>
    <x v="0"/>
    <x v="1"/>
    <x v="2"/>
    <x v="9"/>
    <x v="3"/>
    <x v="0"/>
    <x v="290"/>
    <x v="429"/>
  </r>
  <r>
    <x v="444"/>
    <x v="252"/>
    <x v="4"/>
    <x v="4"/>
    <x v="1"/>
    <x v="1"/>
    <n v="1"/>
    <n v="4713"/>
    <x v="2"/>
    <n v="3142"/>
    <x v="0"/>
    <x v="0"/>
    <x v="5"/>
    <x v="0"/>
    <x v="1"/>
    <x v="1"/>
    <x v="291"/>
    <x v="430"/>
  </r>
  <r>
    <x v="445"/>
    <x v="253"/>
    <x v="1"/>
    <x v="1"/>
    <x v="0"/>
    <x v="0"/>
    <n v="1"/>
    <n v="6088"/>
    <x v="1"/>
    <n v="6087"/>
    <x v="0"/>
    <x v="1"/>
    <x v="4"/>
    <x v="11"/>
    <x v="3"/>
    <x v="1"/>
    <x v="2"/>
    <x v="431"/>
  </r>
  <r>
    <x v="446"/>
    <x v="254"/>
    <x v="2"/>
    <x v="2"/>
    <x v="1"/>
    <x v="1"/>
    <n v="1"/>
    <n v="4869"/>
    <x v="0"/>
    <n v="1623"/>
    <x v="0"/>
    <x v="1"/>
    <x v="2"/>
    <x v="1"/>
    <x v="9"/>
    <x v="1"/>
    <x v="292"/>
    <x v="432"/>
  </r>
  <r>
    <x v="447"/>
    <x v="255"/>
    <x v="1"/>
    <x v="1"/>
    <x v="1"/>
    <x v="1"/>
    <n v="1"/>
    <n v="6007"/>
    <x v="0"/>
    <n v="2002"/>
    <x v="0"/>
    <x v="2"/>
    <x v="2"/>
    <x v="11"/>
    <x v="5"/>
    <x v="1"/>
    <x v="293"/>
    <x v="433"/>
  </r>
  <r>
    <x v="448"/>
    <x v="162"/>
    <x v="2"/>
    <x v="2"/>
    <x v="1"/>
    <x v="1"/>
    <n v="1"/>
    <n v="5411"/>
    <x v="2"/>
    <n v="3606"/>
    <x v="0"/>
    <x v="0"/>
    <x v="2"/>
    <x v="5"/>
    <x v="2"/>
    <x v="1"/>
    <x v="195"/>
    <x v="434"/>
  </r>
  <r>
    <x v="449"/>
    <x v="120"/>
    <x v="7"/>
    <x v="6"/>
    <x v="1"/>
    <x v="1"/>
    <n v="1"/>
    <n v="9196"/>
    <x v="1"/>
    <n v="9195"/>
    <x v="0"/>
    <x v="0"/>
    <x v="5"/>
    <x v="3"/>
    <x v="6"/>
    <x v="0"/>
    <x v="2"/>
    <x v="435"/>
  </r>
  <r>
    <x v="450"/>
    <x v="166"/>
    <x v="0"/>
    <x v="0"/>
    <x v="1"/>
    <x v="1"/>
    <n v="1"/>
    <n v="7795"/>
    <x v="0"/>
    <n v="2598"/>
    <x v="0"/>
    <x v="0"/>
    <x v="4"/>
    <x v="11"/>
    <x v="5"/>
    <x v="0"/>
    <x v="294"/>
    <x v="436"/>
  </r>
  <r>
    <x v="451"/>
    <x v="256"/>
    <x v="11"/>
    <x v="10"/>
    <x v="0"/>
    <x v="0"/>
    <n v="1"/>
    <n v="3797"/>
    <x v="1"/>
    <n v="3795"/>
    <x v="0"/>
    <x v="0"/>
    <x v="1"/>
    <x v="6"/>
    <x v="7"/>
    <x v="0"/>
    <x v="4"/>
    <x v="437"/>
  </r>
  <r>
    <x v="452"/>
    <x v="239"/>
    <x v="1"/>
    <x v="1"/>
    <x v="1"/>
    <x v="1"/>
    <n v="1"/>
    <n v="5760"/>
    <x v="2"/>
    <n v="3840"/>
    <x v="0"/>
    <x v="0"/>
    <x v="0"/>
    <x v="9"/>
    <x v="1"/>
    <x v="1"/>
    <x v="295"/>
    <x v="438"/>
  </r>
  <r>
    <x v="453"/>
    <x v="257"/>
    <x v="8"/>
    <x v="7"/>
    <x v="0"/>
    <x v="0"/>
    <n v="1"/>
    <n v="14619"/>
    <x v="2"/>
    <n v="9746"/>
    <x v="0"/>
    <x v="1"/>
    <x v="3"/>
    <x v="1"/>
    <x v="6"/>
    <x v="0"/>
    <x v="296"/>
    <x v="439"/>
  </r>
  <r>
    <x v="454"/>
    <x v="114"/>
    <x v="6"/>
    <x v="6"/>
    <x v="1"/>
    <x v="1"/>
    <n v="1"/>
    <n v="7484"/>
    <x v="0"/>
    <n v="2494"/>
    <x v="0"/>
    <x v="0"/>
    <x v="1"/>
    <x v="9"/>
    <x v="0"/>
    <x v="1"/>
    <x v="59"/>
    <x v="440"/>
  </r>
  <r>
    <x v="455"/>
    <x v="258"/>
    <x v="4"/>
    <x v="4"/>
    <x v="1"/>
    <x v="1"/>
    <n v="1"/>
    <n v="6370"/>
    <x v="2"/>
    <n v="4246"/>
    <x v="0"/>
    <x v="0"/>
    <x v="3"/>
    <x v="1"/>
    <x v="3"/>
    <x v="1"/>
    <x v="297"/>
    <x v="441"/>
  </r>
  <r>
    <x v="456"/>
    <x v="154"/>
    <x v="4"/>
    <x v="4"/>
    <x v="1"/>
    <x v="1"/>
    <n v="1"/>
    <n v="6651"/>
    <x v="1"/>
    <n v="6651"/>
    <x v="1"/>
    <x v="1"/>
    <x v="2"/>
    <x v="4"/>
    <x v="5"/>
    <x v="0"/>
    <x v="1"/>
    <x v="442"/>
  </r>
  <r>
    <x v="457"/>
    <x v="198"/>
    <x v="10"/>
    <x v="9"/>
    <x v="1"/>
    <x v="1"/>
    <n v="1"/>
    <n v="5526"/>
    <x v="0"/>
    <n v="1842"/>
    <x v="0"/>
    <x v="2"/>
    <x v="0"/>
    <x v="9"/>
    <x v="3"/>
    <x v="1"/>
    <x v="298"/>
    <x v="443"/>
  </r>
  <r>
    <x v="458"/>
    <x v="87"/>
    <x v="4"/>
    <x v="4"/>
    <x v="0"/>
    <x v="0"/>
    <n v="1"/>
    <n v="6615"/>
    <x v="0"/>
    <n v="2205"/>
    <x v="0"/>
    <x v="0"/>
    <x v="0"/>
    <x v="0"/>
    <x v="2"/>
    <x v="1"/>
    <x v="299"/>
    <x v="444"/>
  </r>
  <r>
    <x v="459"/>
    <x v="39"/>
    <x v="13"/>
    <x v="9"/>
    <x v="1"/>
    <x v="1"/>
    <n v="1"/>
    <n v="3246"/>
    <x v="1"/>
    <n v="3246"/>
    <x v="1"/>
    <x v="0"/>
    <x v="1"/>
    <x v="5"/>
    <x v="6"/>
    <x v="1"/>
    <x v="1"/>
    <x v="445"/>
  </r>
  <r>
    <x v="460"/>
    <x v="259"/>
    <x v="7"/>
    <x v="6"/>
    <x v="1"/>
    <x v="1"/>
    <n v="1"/>
    <n v="11991"/>
    <x v="2"/>
    <n v="7994"/>
    <x v="0"/>
    <x v="2"/>
    <x v="2"/>
    <x v="0"/>
    <x v="2"/>
    <x v="0"/>
    <x v="300"/>
    <x v="446"/>
  </r>
  <r>
    <x v="461"/>
    <x v="217"/>
    <x v="1"/>
    <x v="1"/>
    <x v="1"/>
    <x v="1"/>
    <n v="1"/>
    <n v="5269"/>
    <x v="2"/>
    <n v="3512"/>
    <x v="0"/>
    <x v="0"/>
    <x v="4"/>
    <x v="5"/>
    <x v="2"/>
    <x v="1"/>
    <x v="301"/>
    <x v="447"/>
  </r>
  <r>
    <x v="462"/>
    <x v="258"/>
    <x v="0"/>
    <x v="0"/>
    <x v="0"/>
    <x v="0"/>
    <n v="1"/>
    <n v="6413"/>
    <x v="0"/>
    <n v="2137"/>
    <x v="0"/>
    <x v="2"/>
    <x v="2"/>
    <x v="4"/>
    <x v="5"/>
    <x v="0"/>
    <x v="302"/>
    <x v="448"/>
  </r>
  <r>
    <x v="463"/>
    <x v="78"/>
    <x v="12"/>
    <x v="11"/>
    <x v="1"/>
    <x v="1"/>
    <n v="1"/>
    <n v="8487"/>
    <x v="0"/>
    <n v="2829"/>
    <x v="0"/>
    <x v="1"/>
    <x v="2"/>
    <x v="10"/>
    <x v="5"/>
    <x v="0"/>
    <x v="303"/>
    <x v="449"/>
  </r>
  <r>
    <x v="464"/>
    <x v="63"/>
    <x v="13"/>
    <x v="9"/>
    <x v="1"/>
    <x v="1"/>
    <n v="1"/>
    <n v="4942"/>
    <x v="2"/>
    <n v="3294"/>
    <x v="0"/>
    <x v="2"/>
    <x v="5"/>
    <x v="14"/>
    <x v="9"/>
    <x v="1"/>
    <x v="304"/>
    <x v="450"/>
  </r>
  <r>
    <x v="465"/>
    <x v="53"/>
    <x v="5"/>
    <x v="5"/>
    <x v="1"/>
    <x v="1"/>
    <n v="1"/>
    <n v="4324"/>
    <x v="1"/>
    <n v="4323"/>
    <x v="0"/>
    <x v="2"/>
    <x v="4"/>
    <x v="14"/>
    <x v="3"/>
    <x v="0"/>
    <x v="2"/>
    <x v="451"/>
  </r>
  <r>
    <x v="466"/>
    <x v="2"/>
    <x v="11"/>
    <x v="10"/>
    <x v="0"/>
    <x v="0"/>
    <n v="1"/>
    <n v="3735"/>
    <x v="0"/>
    <n v="1245"/>
    <x v="0"/>
    <x v="1"/>
    <x v="4"/>
    <x v="1"/>
    <x v="4"/>
    <x v="1"/>
    <x v="305"/>
    <x v="452"/>
  </r>
  <r>
    <x v="467"/>
    <x v="138"/>
    <x v="7"/>
    <x v="6"/>
    <x v="0"/>
    <x v="0"/>
    <n v="1"/>
    <n v="9863"/>
    <x v="2"/>
    <n v="6574"/>
    <x v="0"/>
    <x v="0"/>
    <x v="3"/>
    <x v="8"/>
    <x v="6"/>
    <x v="0"/>
    <x v="306"/>
    <x v="453"/>
  </r>
  <r>
    <x v="468"/>
    <x v="233"/>
    <x v="12"/>
    <x v="11"/>
    <x v="1"/>
    <x v="1"/>
    <n v="1"/>
    <n v="8576"/>
    <x v="1"/>
    <n v="8574"/>
    <x v="0"/>
    <x v="0"/>
    <x v="0"/>
    <x v="0"/>
    <x v="6"/>
    <x v="0"/>
    <x v="4"/>
    <x v="454"/>
  </r>
  <r>
    <x v="469"/>
    <x v="228"/>
    <x v="0"/>
    <x v="0"/>
    <x v="1"/>
    <x v="1"/>
    <n v="1"/>
    <n v="5987"/>
    <x v="2"/>
    <n v="3990"/>
    <x v="0"/>
    <x v="2"/>
    <x v="3"/>
    <x v="7"/>
    <x v="1"/>
    <x v="0"/>
    <x v="307"/>
    <x v="455"/>
  </r>
  <r>
    <x v="470"/>
    <x v="260"/>
    <x v="4"/>
    <x v="4"/>
    <x v="0"/>
    <x v="0"/>
    <n v="1"/>
    <n v="6857"/>
    <x v="0"/>
    <n v="2285"/>
    <x v="0"/>
    <x v="0"/>
    <x v="4"/>
    <x v="3"/>
    <x v="3"/>
    <x v="0"/>
    <x v="308"/>
    <x v="456"/>
  </r>
  <r>
    <x v="471"/>
    <x v="258"/>
    <x v="8"/>
    <x v="7"/>
    <x v="1"/>
    <x v="1"/>
    <n v="1"/>
    <n v="14298"/>
    <x v="2"/>
    <n v="9532"/>
    <x v="0"/>
    <x v="2"/>
    <x v="1"/>
    <x v="7"/>
    <x v="9"/>
    <x v="1"/>
    <x v="309"/>
    <x v="457"/>
  </r>
  <r>
    <x v="472"/>
    <x v="224"/>
    <x v="9"/>
    <x v="8"/>
    <x v="0"/>
    <x v="0"/>
    <n v="1"/>
    <n v="9006"/>
    <x v="1"/>
    <n v="9006"/>
    <x v="1"/>
    <x v="1"/>
    <x v="1"/>
    <x v="10"/>
    <x v="5"/>
    <x v="1"/>
    <x v="1"/>
    <x v="458"/>
  </r>
  <r>
    <x v="473"/>
    <x v="199"/>
    <x v="6"/>
    <x v="6"/>
    <x v="0"/>
    <x v="0"/>
    <n v="1"/>
    <n v="9513"/>
    <x v="0"/>
    <n v="3171"/>
    <x v="0"/>
    <x v="2"/>
    <x v="0"/>
    <x v="8"/>
    <x v="2"/>
    <x v="0"/>
    <x v="310"/>
    <x v="459"/>
  </r>
  <r>
    <x v="474"/>
    <x v="261"/>
    <x v="12"/>
    <x v="11"/>
    <x v="1"/>
    <x v="1"/>
    <n v="1"/>
    <n v="5886"/>
    <x v="2"/>
    <n v="3924"/>
    <x v="0"/>
    <x v="0"/>
    <x v="5"/>
    <x v="9"/>
    <x v="7"/>
    <x v="1"/>
    <x v="311"/>
    <x v="460"/>
  </r>
  <r>
    <x v="475"/>
    <x v="262"/>
    <x v="1"/>
    <x v="1"/>
    <x v="1"/>
    <x v="1"/>
    <n v="1"/>
    <n v="6999"/>
    <x v="0"/>
    <n v="2333"/>
    <x v="0"/>
    <x v="0"/>
    <x v="5"/>
    <x v="3"/>
    <x v="7"/>
    <x v="0"/>
    <x v="312"/>
    <x v="461"/>
  </r>
  <r>
    <x v="476"/>
    <x v="29"/>
    <x v="5"/>
    <x v="5"/>
    <x v="0"/>
    <x v="0"/>
    <n v="1"/>
    <n v="4515"/>
    <x v="2"/>
    <n v="3010"/>
    <x v="0"/>
    <x v="0"/>
    <x v="5"/>
    <x v="14"/>
    <x v="8"/>
    <x v="1"/>
    <x v="313"/>
    <x v="462"/>
  </r>
  <r>
    <x v="477"/>
    <x v="63"/>
    <x v="4"/>
    <x v="4"/>
    <x v="0"/>
    <x v="0"/>
    <n v="1"/>
    <n v="6611"/>
    <x v="2"/>
    <n v="4406"/>
    <x v="0"/>
    <x v="2"/>
    <x v="0"/>
    <x v="7"/>
    <x v="9"/>
    <x v="0"/>
    <x v="314"/>
    <x v="463"/>
  </r>
  <r>
    <x v="478"/>
    <x v="202"/>
    <x v="11"/>
    <x v="10"/>
    <x v="0"/>
    <x v="0"/>
    <n v="1"/>
    <n v="4568"/>
    <x v="1"/>
    <n v="4566"/>
    <x v="0"/>
    <x v="2"/>
    <x v="4"/>
    <x v="12"/>
    <x v="6"/>
    <x v="0"/>
    <x v="4"/>
    <x v="464"/>
  </r>
  <r>
    <x v="479"/>
    <x v="225"/>
    <x v="8"/>
    <x v="7"/>
    <x v="1"/>
    <x v="1"/>
    <n v="1"/>
    <n v="7193"/>
    <x v="0"/>
    <n v="2397"/>
    <x v="0"/>
    <x v="2"/>
    <x v="1"/>
    <x v="9"/>
    <x v="3"/>
    <x v="0"/>
    <x v="315"/>
    <x v="465"/>
  </r>
  <r>
    <x v="480"/>
    <x v="136"/>
    <x v="7"/>
    <x v="6"/>
    <x v="1"/>
    <x v="1"/>
    <n v="1"/>
    <n v="9649"/>
    <x v="0"/>
    <n v="3216"/>
    <x v="0"/>
    <x v="0"/>
    <x v="5"/>
    <x v="8"/>
    <x v="6"/>
    <x v="1"/>
    <x v="316"/>
    <x v="466"/>
  </r>
  <r>
    <x v="481"/>
    <x v="263"/>
    <x v="7"/>
    <x v="6"/>
    <x v="0"/>
    <x v="0"/>
    <n v="1"/>
    <n v="8648"/>
    <x v="2"/>
    <n v="5764"/>
    <x v="0"/>
    <x v="1"/>
    <x v="3"/>
    <x v="3"/>
    <x v="7"/>
    <x v="0"/>
    <x v="317"/>
    <x v="467"/>
  </r>
  <r>
    <x v="482"/>
    <x v="59"/>
    <x v="10"/>
    <x v="9"/>
    <x v="0"/>
    <x v="0"/>
    <n v="1"/>
    <n v="5949"/>
    <x v="0"/>
    <n v="1983"/>
    <x v="0"/>
    <x v="2"/>
    <x v="2"/>
    <x v="6"/>
    <x v="6"/>
    <x v="0"/>
    <x v="318"/>
    <x v="468"/>
  </r>
  <r>
    <x v="483"/>
    <x v="110"/>
    <x v="2"/>
    <x v="2"/>
    <x v="1"/>
    <x v="1"/>
    <n v="1"/>
    <n v="7961"/>
    <x v="1"/>
    <n v="7959"/>
    <x v="0"/>
    <x v="0"/>
    <x v="1"/>
    <x v="11"/>
    <x v="3"/>
    <x v="0"/>
    <x v="4"/>
    <x v="469"/>
  </r>
  <r>
    <x v="484"/>
    <x v="54"/>
    <x v="6"/>
    <x v="6"/>
    <x v="0"/>
    <x v="0"/>
    <n v="1"/>
    <n v="11923"/>
    <x v="1"/>
    <n v="11922"/>
    <x v="0"/>
    <x v="1"/>
    <x v="3"/>
    <x v="12"/>
    <x v="2"/>
    <x v="1"/>
    <x v="2"/>
    <x v="470"/>
  </r>
  <r>
    <x v="485"/>
    <x v="264"/>
    <x v="12"/>
    <x v="11"/>
    <x v="0"/>
    <x v="0"/>
    <n v="1"/>
    <n v="8255"/>
    <x v="1"/>
    <n v="8253"/>
    <x v="0"/>
    <x v="1"/>
    <x v="5"/>
    <x v="3"/>
    <x v="6"/>
    <x v="1"/>
    <x v="4"/>
    <x v="471"/>
  </r>
  <r>
    <x v="486"/>
    <x v="265"/>
    <x v="9"/>
    <x v="8"/>
    <x v="0"/>
    <x v="0"/>
    <n v="1"/>
    <n v="11960"/>
    <x v="2"/>
    <n v="7972"/>
    <x v="0"/>
    <x v="2"/>
    <x v="2"/>
    <x v="3"/>
    <x v="3"/>
    <x v="0"/>
    <x v="319"/>
    <x v="472"/>
  </r>
  <r>
    <x v="487"/>
    <x v="266"/>
    <x v="7"/>
    <x v="6"/>
    <x v="1"/>
    <x v="1"/>
    <n v="1"/>
    <n v="7312"/>
    <x v="0"/>
    <n v="2437"/>
    <x v="0"/>
    <x v="1"/>
    <x v="3"/>
    <x v="10"/>
    <x v="4"/>
    <x v="0"/>
    <x v="320"/>
    <x v="473"/>
  </r>
  <r>
    <x v="488"/>
    <x v="136"/>
    <x v="1"/>
    <x v="1"/>
    <x v="1"/>
    <x v="1"/>
    <n v="1"/>
    <n v="6771"/>
    <x v="2"/>
    <n v="4514"/>
    <x v="0"/>
    <x v="1"/>
    <x v="3"/>
    <x v="14"/>
    <x v="2"/>
    <x v="1"/>
    <x v="153"/>
    <x v="474"/>
  </r>
  <r>
    <x v="489"/>
    <x v="107"/>
    <x v="12"/>
    <x v="11"/>
    <x v="1"/>
    <x v="1"/>
    <n v="1"/>
    <n v="8824"/>
    <x v="2"/>
    <n v="5882"/>
    <x v="0"/>
    <x v="1"/>
    <x v="2"/>
    <x v="8"/>
    <x v="0"/>
    <x v="1"/>
    <x v="321"/>
    <x v="475"/>
  </r>
  <r>
    <x v="490"/>
    <x v="243"/>
    <x v="3"/>
    <x v="3"/>
    <x v="1"/>
    <x v="1"/>
    <n v="1"/>
    <n v="6102"/>
    <x v="0"/>
    <n v="2034"/>
    <x v="0"/>
    <x v="0"/>
    <x v="2"/>
    <x v="10"/>
    <x v="5"/>
    <x v="0"/>
    <x v="322"/>
    <x v="476"/>
  </r>
  <r>
    <x v="491"/>
    <x v="188"/>
    <x v="9"/>
    <x v="8"/>
    <x v="0"/>
    <x v="0"/>
    <n v="1"/>
    <n v="12703"/>
    <x v="2"/>
    <n v="8468"/>
    <x v="0"/>
    <x v="1"/>
    <x v="3"/>
    <x v="0"/>
    <x v="9"/>
    <x v="1"/>
    <x v="323"/>
    <x v="477"/>
  </r>
  <r>
    <x v="492"/>
    <x v="104"/>
    <x v="3"/>
    <x v="3"/>
    <x v="0"/>
    <x v="0"/>
    <n v="1"/>
    <n v="4111"/>
    <x v="0"/>
    <n v="1370"/>
    <x v="0"/>
    <x v="0"/>
    <x v="0"/>
    <x v="10"/>
    <x v="6"/>
    <x v="0"/>
    <x v="324"/>
    <x v="478"/>
  </r>
  <r>
    <x v="493"/>
    <x v="267"/>
    <x v="0"/>
    <x v="0"/>
    <x v="1"/>
    <x v="1"/>
    <n v="1"/>
    <n v="6438"/>
    <x v="2"/>
    <n v="4292"/>
    <x v="0"/>
    <x v="1"/>
    <x v="2"/>
    <x v="5"/>
    <x v="9"/>
    <x v="0"/>
    <x v="325"/>
    <x v="479"/>
  </r>
  <r>
    <x v="494"/>
    <x v="129"/>
    <x v="5"/>
    <x v="5"/>
    <x v="1"/>
    <x v="1"/>
    <n v="1"/>
    <n v="3732"/>
    <x v="1"/>
    <n v="3732"/>
    <x v="1"/>
    <x v="1"/>
    <x v="4"/>
    <x v="11"/>
    <x v="3"/>
    <x v="0"/>
    <x v="1"/>
    <x v="480"/>
  </r>
  <r>
    <x v="495"/>
    <x v="256"/>
    <x v="10"/>
    <x v="9"/>
    <x v="0"/>
    <x v="0"/>
    <n v="1"/>
    <n v="6531"/>
    <x v="2"/>
    <n v="4354"/>
    <x v="0"/>
    <x v="0"/>
    <x v="5"/>
    <x v="7"/>
    <x v="1"/>
    <x v="0"/>
    <x v="326"/>
    <x v="481"/>
  </r>
  <r>
    <x v="496"/>
    <x v="268"/>
    <x v="12"/>
    <x v="11"/>
    <x v="0"/>
    <x v="0"/>
    <n v="1"/>
    <n v="7870"/>
    <x v="1"/>
    <n v="7869"/>
    <x v="0"/>
    <x v="2"/>
    <x v="0"/>
    <x v="8"/>
    <x v="8"/>
    <x v="0"/>
    <x v="2"/>
    <x v="482"/>
  </r>
  <r>
    <x v="497"/>
    <x v="154"/>
    <x v="4"/>
    <x v="4"/>
    <x v="1"/>
    <x v="1"/>
    <n v="1"/>
    <n v="6452"/>
    <x v="0"/>
    <n v="2150"/>
    <x v="0"/>
    <x v="1"/>
    <x v="3"/>
    <x v="8"/>
    <x v="1"/>
    <x v="0"/>
    <x v="327"/>
    <x v="483"/>
  </r>
  <r>
    <x v="498"/>
    <x v="269"/>
    <x v="12"/>
    <x v="11"/>
    <x v="0"/>
    <x v="0"/>
    <n v="1"/>
    <n v="7735"/>
    <x v="1"/>
    <n v="7734"/>
    <x v="0"/>
    <x v="0"/>
    <x v="5"/>
    <x v="4"/>
    <x v="5"/>
    <x v="0"/>
    <x v="2"/>
    <x v="484"/>
  </r>
  <r>
    <x v="499"/>
    <x v="192"/>
    <x v="5"/>
    <x v="5"/>
    <x v="0"/>
    <x v="0"/>
    <n v="1"/>
    <n v="4367"/>
    <x v="0"/>
    <n v="1455"/>
    <x v="0"/>
    <x v="1"/>
    <x v="2"/>
    <x v="0"/>
    <x v="8"/>
    <x v="0"/>
    <x v="328"/>
    <x v="485"/>
  </r>
  <r>
    <x v="500"/>
    <x v="270"/>
    <x v="12"/>
    <x v="11"/>
    <x v="1"/>
    <x v="1"/>
    <n v="1"/>
    <n v="8707"/>
    <x v="1"/>
    <n v="8706"/>
    <x v="0"/>
    <x v="1"/>
    <x v="1"/>
    <x v="4"/>
    <x v="2"/>
    <x v="0"/>
    <x v="2"/>
    <x v="486"/>
  </r>
  <r>
    <x v="501"/>
    <x v="244"/>
    <x v="6"/>
    <x v="6"/>
    <x v="1"/>
    <x v="1"/>
    <n v="1"/>
    <n v="9149"/>
    <x v="2"/>
    <n v="6098"/>
    <x v="0"/>
    <x v="1"/>
    <x v="1"/>
    <x v="14"/>
    <x v="5"/>
    <x v="0"/>
    <x v="329"/>
    <x v="487"/>
  </r>
  <r>
    <x v="502"/>
    <x v="106"/>
    <x v="0"/>
    <x v="0"/>
    <x v="0"/>
    <x v="0"/>
    <n v="1"/>
    <n v="7509"/>
    <x v="0"/>
    <n v="2503"/>
    <x v="0"/>
    <x v="1"/>
    <x v="4"/>
    <x v="10"/>
    <x v="9"/>
    <x v="0"/>
    <x v="330"/>
    <x v="488"/>
  </r>
  <r>
    <x v="503"/>
    <x v="28"/>
    <x v="10"/>
    <x v="9"/>
    <x v="0"/>
    <x v="0"/>
    <n v="1"/>
    <n v="7575"/>
    <x v="1"/>
    <n v="7575"/>
    <x v="1"/>
    <x v="0"/>
    <x v="2"/>
    <x v="12"/>
    <x v="8"/>
    <x v="1"/>
    <x v="1"/>
    <x v="489"/>
  </r>
  <r>
    <x v="504"/>
    <x v="81"/>
    <x v="3"/>
    <x v="3"/>
    <x v="0"/>
    <x v="0"/>
    <n v="1"/>
    <n v="6786"/>
    <x v="1"/>
    <n v="6786"/>
    <x v="1"/>
    <x v="0"/>
    <x v="2"/>
    <x v="11"/>
    <x v="6"/>
    <x v="1"/>
    <x v="1"/>
    <x v="490"/>
  </r>
  <r>
    <x v="505"/>
    <x v="141"/>
    <x v="12"/>
    <x v="11"/>
    <x v="0"/>
    <x v="0"/>
    <n v="1"/>
    <n v="7135"/>
    <x v="2"/>
    <n v="4756"/>
    <x v="0"/>
    <x v="1"/>
    <x v="0"/>
    <x v="4"/>
    <x v="9"/>
    <x v="1"/>
    <x v="331"/>
    <x v="491"/>
  </r>
  <r>
    <x v="506"/>
    <x v="271"/>
    <x v="3"/>
    <x v="3"/>
    <x v="1"/>
    <x v="1"/>
    <n v="1"/>
    <n v="6747"/>
    <x v="2"/>
    <n v="4498"/>
    <x v="0"/>
    <x v="1"/>
    <x v="2"/>
    <x v="1"/>
    <x v="3"/>
    <x v="1"/>
    <x v="332"/>
    <x v="492"/>
  </r>
  <r>
    <x v="507"/>
    <x v="34"/>
    <x v="4"/>
    <x v="4"/>
    <x v="1"/>
    <x v="1"/>
    <n v="1"/>
    <n v="4408"/>
    <x v="0"/>
    <n v="1469"/>
    <x v="0"/>
    <x v="0"/>
    <x v="4"/>
    <x v="12"/>
    <x v="1"/>
    <x v="0"/>
    <x v="333"/>
    <x v="493"/>
  </r>
  <r>
    <x v="508"/>
    <x v="11"/>
    <x v="8"/>
    <x v="7"/>
    <x v="1"/>
    <x v="1"/>
    <n v="1"/>
    <n v="12744"/>
    <x v="1"/>
    <n v="12744"/>
    <x v="1"/>
    <x v="2"/>
    <x v="5"/>
    <x v="0"/>
    <x v="1"/>
    <x v="0"/>
    <x v="1"/>
    <x v="494"/>
  </r>
  <r>
    <x v="509"/>
    <x v="1"/>
    <x v="9"/>
    <x v="8"/>
    <x v="0"/>
    <x v="0"/>
    <n v="1"/>
    <n v="9327"/>
    <x v="0"/>
    <n v="3109"/>
    <x v="0"/>
    <x v="2"/>
    <x v="2"/>
    <x v="14"/>
    <x v="6"/>
    <x v="0"/>
    <x v="334"/>
    <x v="495"/>
  </r>
  <r>
    <x v="510"/>
    <x v="272"/>
    <x v="7"/>
    <x v="6"/>
    <x v="1"/>
    <x v="1"/>
    <n v="1"/>
    <n v="7931"/>
    <x v="0"/>
    <n v="2643"/>
    <x v="0"/>
    <x v="1"/>
    <x v="3"/>
    <x v="10"/>
    <x v="9"/>
    <x v="1"/>
    <x v="161"/>
    <x v="237"/>
  </r>
  <r>
    <x v="511"/>
    <x v="175"/>
    <x v="13"/>
    <x v="9"/>
    <x v="1"/>
    <x v="1"/>
    <n v="1"/>
    <n v="4425"/>
    <x v="0"/>
    <n v="1475"/>
    <x v="0"/>
    <x v="1"/>
    <x v="0"/>
    <x v="14"/>
    <x v="5"/>
    <x v="1"/>
    <x v="335"/>
    <x v="496"/>
  </r>
  <r>
    <x v="512"/>
    <x v="195"/>
    <x v="5"/>
    <x v="5"/>
    <x v="0"/>
    <x v="0"/>
    <n v="1"/>
    <n v="5099"/>
    <x v="0"/>
    <n v="1699"/>
    <x v="0"/>
    <x v="1"/>
    <x v="2"/>
    <x v="3"/>
    <x v="4"/>
    <x v="1"/>
    <x v="336"/>
    <x v="497"/>
  </r>
  <r>
    <x v="513"/>
    <x v="250"/>
    <x v="9"/>
    <x v="8"/>
    <x v="0"/>
    <x v="0"/>
    <n v="1"/>
    <n v="12029"/>
    <x v="2"/>
    <n v="8018"/>
    <x v="0"/>
    <x v="2"/>
    <x v="2"/>
    <x v="0"/>
    <x v="5"/>
    <x v="0"/>
    <x v="337"/>
    <x v="498"/>
  </r>
  <r>
    <x v="514"/>
    <x v="198"/>
    <x v="11"/>
    <x v="10"/>
    <x v="1"/>
    <x v="1"/>
    <n v="1"/>
    <n v="4129"/>
    <x v="2"/>
    <n v="2752"/>
    <x v="0"/>
    <x v="2"/>
    <x v="3"/>
    <x v="3"/>
    <x v="1"/>
    <x v="1"/>
    <x v="338"/>
    <x v="499"/>
  </r>
  <r>
    <x v="515"/>
    <x v="1"/>
    <x v="6"/>
    <x v="6"/>
    <x v="0"/>
    <x v="0"/>
    <n v="1"/>
    <n v="7384"/>
    <x v="0"/>
    <n v="2461"/>
    <x v="0"/>
    <x v="2"/>
    <x v="3"/>
    <x v="3"/>
    <x v="6"/>
    <x v="0"/>
    <x v="339"/>
    <x v="500"/>
  </r>
  <r>
    <x v="516"/>
    <x v="23"/>
    <x v="0"/>
    <x v="0"/>
    <x v="1"/>
    <x v="1"/>
    <n v="1"/>
    <n v="7791"/>
    <x v="1"/>
    <n v="7791"/>
    <x v="1"/>
    <x v="0"/>
    <x v="5"/>
    <x v="9"/>
    <x v="3"/>
    <x v="1"/>
    <x v="1"/>
    <x v="501"/>
  </r>
  <r>
    <x v="517"/>
    <x v="262"/>
    <x v="1"/>
    <x v="1"/>
    <x v="1"/>
    <x v="1"/>
    <n v="1"/>
    <n v="6311"/>
    <x v="1"/>
    <n v="6309"/>
    <x v="0"/>
    <x v="1"/>
    <x v="0"/>
    <x v="12"/>
    <x v="3"/>
    <x v="0"/>
    <x v="4"/>
    <x v="502"/>
  </r>
  <r>
    <x v="518"/>
    <x v="149"/>
    <x v="4"/>
    <x v="4"/>
    <x v="0"/>
    <x v="0"/>
    <n v="1"/>
    <n v="6888"/>
    <x v="1"/>
    <n v="6888"/>
    <x v="1"/>
    <x v="0"/>
    <x v="3"/>
    <x v="0"/>
    <x v="2"/>
    <x v="0"/>
    <x v="1"/>
    <x v="503"/>
  </r>
  <r>
    <x v="519"/>
    <x v="273"/>
    <x v="4"/>
    <x v="4"/>
    <x v="0"/>
    <x v="0"/>
    <n v="1"/>
    <n v="6255"/>
    <x v="0"/>
    <n v="2085"/>
    <x v="0"/>
    <x v="2"/>
    <x v="0"/>
    <x v="9"/>
    <x v="4"/>
    <x v="0"/>
    <x v="340"/>
    <x v="504"/>
  </r>
  <r>
    <x v="520"/>
    <x v="274"/>
    <x v="7"/>
    <x v="6"/>
    <x v="0"/>
    <x v="0"/>
    <n v="1"/>
    <n v="10152"/>
    <x v="0"/>
    <n v="3384"/>
    <x v="0"/>
    <x v="2"/>
    <x v="2"/>
    <x v="9"/>
    <x v="2"/>
    <x v="1"/>
    <x v="341"/>
    <x v="505"/>
  </r>
  <r>
    <x v="521"/>
    <x v="115"/>
    <x v="7"/>
    <x v="6"/>
    <x v="1"/>
    <x v="1"/>
    <n v="1"/>
    <n v="8060"/>
    <x v="1"/>
    <n v="8058"/>
    <x v="0"/>
    <x v="2"/>
    <x v="0"/>
    <x v="0"/>
    <x v="0"/>
    <x v="1"/>
    <x v="4"/>
    <x v="506"/>
  </r>
  <r>
    <x v="522"/>
    <x v="251"/>
    <x v="4"/>
    <x v="4"/>
    <x v="1"/>
    <x v="1"/>
    <n v="1"/>
    <n v="6703"/>
    <x v="1"/>
    <n v="6702"/>
    <x v="0"/>
    <x v="2"/>
    <x v="4"/>
    <x v="10"/>
    <x v="5"/>
    <x v="1"/>
    <x v="2"/>
    <x v="507"/>
  </r>
  <r>
    <x v="523"/>
    <x v="275"/>
    <x v="6"/>
    <x v="6"/>
    <x v="0"/>
    <x v="0"/>
    <n v="1"/>
    <n v="7527"/>
    <x v="0"/>
    <n v="2509"/>
    <x v="0"/>
    <x v="2"/>
    <x v="2"/>
    <x v="7"/>
    <x v="9"/>
    <x v="1"/>
    <x v="342"/>
    <x v="508"/>
  </r>
  <r>
    <x v="524"/>
    <x v="257"/>
    <x v="1"/>
    <x v="1"/>
    <x v="0"/>
    <x v="0"/>
    <n v="1"/>
    <n v="6687"/>
    <x v="1"/>
    <n v="6687"/>
    <x v="1"/>
    <x v="1"/>
    <x v="0"/>
    <x v="6"/>
    <x v="3"/>
    <x v="1"/>
    <x v="1"/>
    <x v="252"/>
  </r>
  <r>
    <x v="525"/>
    <x v="85"/>
    <x v="4"/>
    <x v="4"/>
    <x v="1"/>
    <x v="1"/>
    <n v="1"/>
    <n v="4463"/>
    <x v="0"/>
    <n v="1487"/>
    <x v="0"/>
    <x v="2"/>
    <x v="1"/>
    <x v="12"/>
    <x v="3"/>
    <x v="1"/>
    <x v="343"/>
    <x v="509"/>
  </r>
  <r>
    <x v="526"/>
    <x v="189"/>
    <x v="0"/>
    <x v="0"/>
    <x v="0"/>
    <x v="0"/>
    <n v="1"/>
    <n v="4454"/>
    <x v="0"/>
    <n v="1484"/>
    <x v="0"/>
    <x v="0"/>
    <x v="3"/>
    <x v="14"/>
    <x v="8"/>
    <x v="1"/>
    <x v="344"/>
    <x v="510"/>
  </r>
  <r>
    <x v="527"/>
    <x v="86"/>
    <x v="8"/>
    <x v="7"/>
    <x v="1"/>
    <x v="1"/>
    <n v="1"/>
    <n v="9827"/>
    <x v="1"/>
    <n v="9825"/>
    <x v="0"/>
    <x v="1"/>
    <x v="3"/>
    <x v="6"/>
    <x v="6"/>
    <x v="1"/>
    <x v="4"/>
    <x v="511"/>
  </r>
  <r>
    <x v="528"/>
    <x v="125"/>
    <x v="0"/>
    <x v="0"/>
    <x v="1"/>
    <x v="1"/>
    <n v="1"/>
    <n v="4525"/>
    <x v="0"/>
    <n v="1508"/>
    <x v="0"/>
    <x v="2"/>
    <x v="4"/>
    <x v="4"/>
    <x v="5"/>
    <x v="0"/>
    <x v="345"/>
    <x v="512"/>
  </r>
  <r>
    <x v="529"/>
    <x v="112"/>
    <x v="2"/>
    <x v="2"/>
    <x v="1"/>
    <x v="1"/>
    <n v="1"/>
    <n v="6830"/>
    <x v="2"/>
    <n v="4552"/>
    <x v="0"/>
    <x v="0"/>
    <x v="1"/>
    <x v="14"/>
    <x v="9"/>
    <x v="1"/>
    <x v="346"/>
    <x v="513"/>
  </r>
  <r>
    <x v="530"/>
    <x v="42"/>
    <x v="10"/>
    <x v="9"/>
    <x v="0"/>
    <x v="0"/>
    <n v="1"/>
    <n v="5283"/>
    <x v="0"/>
    <n v="1761"/>
    <x v="0"/>
    <x v="0"/>
    <x v="3"/>
    <x v="1"/>
    <x v="7"/>
    <x v="0"/>
    <x v="347"/>
    <x v="514"/>
  </r>
  <r>
    <x v="531"/>
    <x v="106"/>
    <x v="12"/>
    <x v="11"/>
    <x v="1"/>
    <x v="1"/>
    <n v="1"/>
    <n v="7502"/>
    <x v="0"/>
    <n v="2500"/>
    <x v="0"/>
    <x v="0"/>
    <x v="2"/>
    <x v="5"/>
    <x v="2"/>
    <x v="1"/>
    <x v="348"/>
    <x v="515"/>
  </r>
  <r>
    <x v="532"/>
    <x v="276"/>
    <x v="5"/>
    <x v="5"/>
    <x v="0"/>
    <x v="0"/>
    <n v="1"/>
    <n v="5382"/>
    <x v="0"/>
    <n v="1794"/>
    <x v="0"/>
    <x v="2"/>
    <x v="1"/>
    <x v="8"/>
    <x v="2"/>
    <x v="1"/>
    <x v="349"/>
    <x v="516"/>
  </r>
  <r>
    <x v="533"/>
    <x v="155"/>
    <x v="3"/>
    <x v="3"/>
    <x v="0"/>
    <x v="0"/>
    <n v="1"/>
    <n v="6103"/>
    <x v="0"/>
    <n v="2034"/>
    <x v="0"/>
    <x v="0"/>
    <x v="5"/>
    <x v="3"/>
    <x v="2"/>
    <x v="1"/>
    <x v="350"/>
    <x v="476"/>
  </r>
  <r>
    <x v="534"/>
    <x v="188"/>
    <x v="4"/>
    <x v="4"/>
    <x v="1"/>
    <x v="1"/>
    <n v="1"/>
    <n v="6944"/>
    <x v="0"/>
    <n v="2314"/>
    <x v="0"/>
    <x v="0"/>
    <x v="2"/>
    <x v="7"/>
    <x v="4"/>
    <x v="0"/>
    <x v="351"/>
    <x v="517"/>
  </r>
  <r>
    <x v="535"/>
    <x v="209"/>
    <x v="3"/>
    <x v="3"/>
    <x v="1"/>
    <x v="1"/>
    <n v="1"/>
    <n v="4802"/>
    <x v="1"/>
    <n v="4800"/>
    <x v="0"/>
    <x v="0"/>
    <x v="1"/>
    <x v="5"/>
    <x v="6"/>
    <x v="1"/>
    <x v="4"/>
    <x v="518"/>
  </r>
  <r>
    <x v="536"/>
    <x v="277"/>
    <x v="9"/>
    <x v="8"/>
    <x v="1"/>
    <x v="1"/>
    <n v="1"/>
    <n v="13873"/>
    <x v="0"/>
    <n v="4624"/>
    <x v="0"/>
    <x v="2"/>
    <x v="2"/>
    <x v="7"/>
    <x v="2"/>
    <x v="0"/>
    <x v="352"/>
    <x v="519"/>
  </r>
  <r>
    <x v="537"/>
    <x v="238"/>
    <x v="6"/>
    <x v="6"/>
    <x v="1"/>
    <x v="1"/>
    <n v="1"/>
    <n v="11629"/>
    <x v="1"/>
    <n v="11628"/>
    <x v="0"/>
    <x v="2"/>
    <x v="0"/>
    <x v="2"/>
    <x v="1"/>
    <x v="1"/>
    <x v="2"/>
    <x v="520"/>
  </r>
  <r>
    <x v="538"/>
    <x v="128"/>
    <x v="2"/>
    <x v="2"/>
    <x v="1"/>
    <x v="1"/>
    <n v="1"/>
    <n v="5284"/>
    <x v="2"/>
    <n v="3522"/>
    <x v="0"/>
    <x v="2"/>
    <x v="4"/>
    <x v="6"/>
    <x v="6"/>
    <x v="1"/>
    <x v="353"/>
    <x v="94"/>
  </r>
  <r>
    <x v="539"/>
    <x v="236"/>
    <x v="0"/>
    <x v="0"/>
    <x v="0"/>
    <x v="0"/>
    <n v="1"/>
    <n v="4651"/>
    <x v="0"/>
    <n v="1550"/>
    <x v="0"/>
    <x v="0"/>
    <x v="4"/>
    <x v="3"/>
    <x v="3"/>
    <x v="0"/>
    <x v="354"/>
    <x v="521"/>
  </r>
  <r>
    <x v="540"/>
    <x v="278"/>
    <x v="0"/>
    <x v="0"/>
    <x v="1"/>
    <x v="1"/>
    <n v="1"/>
    <n v="6423"/>
    <x v="1"/>
    <n v="6423"/>
    <x v="1"/>
    <x v="1"/>
    <x v="2"/>
    <x v="4"/>
    <x v="7"/>
    <x v="1"/>
    <x v="1"/>
    <x v="522"/>
  </r>
  <r>
    <x v="541"/>
    <x v="279"/>
    <x v="9"/>
    <x v="8"/>
    <x v="1"/>
    <x v="1"/>
    <n v="1"/>
    <n v="9073"/>
    <x v="0"/>
    <n v="3024"/>
    <x v="0"/>
    <x v="0"/>
    <x v="5"/>
    <x v="2"/>
    <x v="6"/>
    <x v="0"/>
    <x v="355"/>
    <x v="523"/>
  </r>
  <r>
    <x v="542"/>
    <x v="280"/>
    <x v="5"/>
    <x v="5"/>
    <x v="0"/>
    <x v="0"/>
    <n v="1"/>
    <n v="4267"/>
    <x v="1"/>
    <n v="4266"/>
    <x v="0"/>
    <x v="2"/>
    <x v="2"/>
    <x v="1"/>
    <x v="0"/>
    <x v="0"/>
    <x v="2"/>
    <x v="524"/>
  </r>
  <r>
    <x v="543"/>
    <x v="281"/>
    <x v="8"/>
    <x v="7"/>
    <x v="0"/>
    <x v="0"/>
    <n v="1"/>
    <n v="12110"/>
    <x v="2"/>
    <n v="8072"/>
    <x v="0"/>
    <x v="0"/>
    <x v="4"/>
    <x v="13"/>
    <x v="9"/>
    <x v="1"/>
    <x v="356"/>
    <x v="525"/>
  </r>
  <r>
    <x v="544"/>
    <x v="282"/>
    <x v="1"/>
    <x v="1"/>
    <x v="1"/>
    <x v="1"/>
    <n v="1"/>
    <n v="6943"/>
    <x v="2"/>
    <n v="4628"/>
    <x v="0"/>
    <x v="2"/>
    <x v="5"/>
    <x v="1"/>
    <x v="7"/>
    <x v="1"/>
    <x v="357"/>
    <x v="526"/>
  </r>
  <r>
    <x v="545"/>
    <x v="145"/>
    <x v="13"/>
    <x v="9"/>
    <x v="0"/>
    <x v="0"/>
    <n v="1"/>
    <n v="4214"/>
    <x v="1"/>
    <n v="4212"/>
    <x v="0"/>
    <x v="0"/>
    <x v="3"/>
    <x v="10"/>
    <x v="8"/>
    <x v="0"/>
    <x v="4"/>
    <x v="379"/>
  </r>
  <r>
    <x v="546"/>
    <x v="283"/>
    <x v="2"/>
    <x v="2"/>
    <x v="1"/>
    <x v="1"/>
    <n v="1"/>
    <n v="6684"/>
    <x v="0"/>
    <n v="2228"/>
    <x v="0"/>
    <x v="1"/>
    <x v="5"/>
    <x v="7"/>
    <x v="4"/>
    <x v="0"/>
    <x v="132"/>
    <x v="527"/>
  </r>
  <r>
    <x v="547"/>
    <x v="111"/>
    <x v="13"/>
    <x v="9"/>
    <x v="1"/>
    <x v="1"/>
    <n v="1"/>
    <n v="4388"/>
    <x v="0"/>
    <n v="1462"/>
    <x v="0"/>
    <x v="0"/>
    <x v="2"/>
    <x v="0"/>
    <x v="1"/>
    <x v="0"/>
    <x v="174"/>
    <x v="528"/>
  </r>
  <r>
    <x v="548"/>
    <x v="9"/>
    <x v="3"/>
    <x v="3"/>
    <x v="0"/>
    <x v="0"/>
    <n v="1"/>
    <n v="6577"/>
    <x v="2"/>
    <n v="4384"/>
    <x v="0"/>
    <x v="0"/>
    <x v="1"/>
    <x v="3"/>
    <x v="2"/>
    <x v="1"/>
    <x v="358"/>
    <x v="529"/>
  </r>
  <r>
    <x v="549"/>
    <x v="83"/>
    <x v="4"/>
    <x v="4"/>
    <x v="0"/>
    <x v="0"/>
    <n v="1"/>
    <n v="5630"/>
    <x v="1"/>
    <n v="5628"/>
    <x v="0"/>
    <x v="2"/>
    <x v="0"/>
    <x v="12"/>
    <x v="4"/>
    <x v="0"/>
    <x v="4"/>
    <x v="530"/>
  </r>
  <r>
    <x v="550"/>
    <x v="56"/>
    <x v="10"/>
    <x v="9"/>
    <x v="1"/>
    <x v="1"/>
    <n v="1"/>
    <n v="7995"/>
    <x v="2"/>
    <n v="5330"/>
    <x v="0"/>
    <x v="0"/>
    <x v="0"/>
    <x v="13"/>
    <x v="4"/>
    <x v="1"/>
    <x v="359"/>
    <x v="531"/>
  </r>
  <r>
    <x v="551"/>
    <x v="244"/>
    <x v="11"/>
    <x v="10"/>
    <x v="1"/>
    <x v="1"/>
    <n v="1"/>
    <n v="4897"/>
    <x v="2"/>
    <n v="3264"/>
    <x v="0"/>
    <x v="1"/>
    <x v="2"/>
    <x v="7"/>
    <x v="4"/>
    <x v="1"/>
    <x v="360"/>
    <x v="532"/>
  </r>
  <r>
    <x v="552"/>
    <x v="191"/>
    <x v="9"/>
    <x v="8"/>
    <x v="1"/>
    <x v="1"/>
    <n v="1"/>
    <n v="12856"/>
    <x v="2"/>
    <n v="8570"/>
    <x v="0"/>
    <x v="0"/>
    <x v="2"/>
    <x v="1"/>
    <x v="5"/>
    <x v="0"/>
    <x v="361"/>
    <x v="533"/>
  </r>
  <r>
    <x v="553"/>
    <x v="284"/>
    <x v="3"/>
    <x v="3"/>
    <x v="1"/>
    <x v="1"/>
    <n v="1"/>
    <n v="6005"/>
    <x v="1"/>
    <n v="6003"/>
    <x v="0"/>
    <x v="0"/>
    <x v="2"/>
    <x v="9"/>
    <x v="3"/>
    <x v="0"/>
    <x v="4"/>
    <x v="534"/>
  </r>
  <r>
    <x v="554"/>
    <x v="248"/>
    <x v="8"/>
    <x v="7"/>
    <x v="0"/>
    <x v="0"/>
    <n v="1"/>
    <n v="11686"/>
    <x v="0"/>
    <n v="3895"/>
    <x v="0"/>
    <x v="0"/>
    <x v="5"/>
    <x v="10"/>
    <x v="3"/>
    <x v="0"/>
    <x v="362"/>
    <x v="535"/>
  </r>
  <r>
    <x v="555"/>
    <x v="183"/>
    <x v="7"/>
    <x v="6"/>
    <x v="0"/>
    <x v="0"/>
    <n v="1"/>
    <n v="8283"/>
    <x v="0"/>
    <n v="2761"/>
    <x v="0"/>
    <x v="2"/>
    <x v="4"/>
    <x v="14"/>
    <x v="4"/>
    <x v="0"/>
    <x v="363"/>
    <x v="536"/>
  </r>
  <r>
    <x v="556"/>
    <x v="222"/>
    <x v="0"/>
    <x v="0"/>
    <x v="0"/>
    <x v="0"/>
    <n v="1"/>
    <n v="6302"/>
    <x v="0"/>
    <n v="2100"/>
    <x v="0"/>
    <x v="1"/>
    <x v="4"/>
    <x v="3"/>
    <x v="7"/>
    <x v="1"/>
    <x v="83"/>
    <x v="126"/>
  </r>
  <r>
    <x v="557"/>
    <x v="285"/>
    <x v="13"/>
    <x v="9"/>
    <x v="1"/>
    <x v="1"/>
    <n v="1"/>
    <n v="3687"/>
    <x v="0"/>
    <n v="1229"/>
    <x v="0"/>
    <x v="2"/>
    <x v="2"/>
    <x v="4"/>
    <x v="1"/>
    <x v="0"/>
    <x v="364"/>
    <x v="537"/>
  </r>
  <r>
    <x v="558"/>
    <x v="87"/>
    <x v="2"/>
    <x v="2"/>
    <x v="1"/>
    <x v="1"/>
    <n v="1"/>
    <n v="5028"/>
    <x v="0"/>
    <n v="1676"/>
    <x v="0"/>
    <x v="2"/>
    <x v="5"/>
    <x v="11"/>
    <x v="7"/>
    <x v="1"/>
    <x v="365"/>
    <x v="538"/>
  </r>
  <r>
    <x v="559"/>
    <x v="190"/>
    <x v="10"/>
    <x v="9"/>
    <x v="1"/>
    <x v="1"/>
    <n v="1"/>
    <n v="4834"/>
    <x v="1"/>
    <n v="4833"/>
    <x v="0"/>
    <x v="1"/>
    <x v="3"/>
    <x v="9"/>
    <x v="2"/>
    <x v="0"/>
    <x v="2"/>
    <x v="539"/>
  </r>
  <r>
    <x v="560"/>
    <x v="128"/>
    <x v="2"/>
    <x v="2"/>
    <x v="1"/>
    <x v="1"/>
    <n v="1"/>
    <n v="7583"/>
    <x v="1"/>
    <n v="7581"/>
    <x v="0"/>
    <x v="0"/>
    <x v="2"/>
    <x v="2"/>
    <x v="0"/>
    <x v="1"/>
    <x v="4"/>
    <x v="540"/>
  </r>
  <r>
    <x v="561"/>
    <x v="34"/>
    <x v="10"/>
    <x v="9"/>
    <x v="1"/>
    <x v="1"/>
    <n v="1"/>
    <n v="6340"/>
    <x v="2"/>
    <n v="4226"/>
    <x v="0"/>
    <x v="1"/>
    <x v="0"/>
    <x v="3"/>
    <x v="5"/>
    <x v="0"/>
    <x v="366"/>
    <x v="541"/>
  </r>
  <r>
    <x v="562"/>
    <x v="265"/>
    <x v="8"/>
    <x v="7"/>
    <x v="0"/>
    <x v="0"/>
    <n v="1"/>
    <n v="14754"/>
    <x v="1"/>
    <n v="14754"/>
    <x v="1"/>
    <x v="0"/>
    <x v="5"/>
    <x v="8"/>
    <x v="6"/>
    <x v="1"/>
    <x v="1"/>
    <x v="542"/>
  </r>
  <r>
    <x v="563"/>
    <x v="56"/>
    <x v="1"/>
    <x v="1"/>
    <x v="0"/>
    <x v="0"/>
    <n v="1"/>
    <n v="5733"/>
    <x v="1"/>
    <n v="5733"/>
    <x v="1"/>
    <x v="0"/>
    <x v="4"/>
    <x v="5"/>
    <x v="6"/>
    <x v="0"/>
    <x v="1"/>
    <x v="543"/>
  </r>
  <r>
    <x v="564"/>
    <x v="286"/>
    <x v="2"/>
    <x v="2"/>
    <x v="0"/>
    <x v="0"/>
    <n v="1"/>
    <n v="5500"/>
    <x v="0"/>
    <n v="1833"/>
    <x v="0"/>
    <x v="0"/>
    <x v="0"/>
    <x v="10"/>
    <x v="6"/>
    <x v="0"/>
    <x v="367"/>
    <x v="544"/>
  </r>
  <r>
    <x v="565"/>
    <x v="287"/>
    <x v="1"/>
    <x v="1"/>
    <x v="0"/>
    <x v="0"/>
    <n v="1"/>
    <n v="4752"/>
    <x v="1"/>
    <n v="4752"/>
    <x v="1"/>
    <x v="1"/>
    <x v="0"/>
    <x v="6"/>
    <x v="7"/>
    <x v="1"/>
    <x v="1"/>
    <x v="545"/>
  </r>
  <r>
    <x v="566"/>
    <x v="288"/>
    <x v="9"/>
    <x v="8"/>
    <x v="1"/>
    <x v="1"/>
    <n v="1"/>
    <n v="9233"/>
    <x v="0"/>
    <n v="3077"/>
    <x v="0"/>
    <x v="2"/>
    <x v="3"/>
    <x v="2"/>
    <x v="8"/>
    <x v="0"/>
    <x v="368"/>
    <x v="546"/>
  </r>
  <r>
    <x v="567"/>
    <x v="245"/>
    <x v="13"/>
    <x v="9"/>
    <x v="1"/>
    <x v="1"/>
    <n v="1"/>
    <n v="3006"/>
    <x v="0"/>
    <n v="1002"/>
    <x v="0"/>
    <x v="1"/>
    <x v="2"/>
    <x v="13"/>
    <x v="4"/>
    <x v="0"/>
    <x v="369"/>
    <x v="547"/>
  </r>
  <r>
    <x v="568"/>
    <x v="72"/>
    <x v="3"/>
    <x v="3"/>
    <x v="1"/>
    <x v="1"/>
    <n v="1"/>
    <n v="6852"/>
    <x v="2"/>
    <n v="4568"/>
    <x v="0"/>
    <x v="0"/>
    <x v="1"/>
    <x v="10"/>
    <x v="2"/>
    <x v="0"/>
    <x v="370"/>
    <x v="548"/>
  </r>
  <r>
    <x v="569"/>
    <x v="38"/>
    <x v="9"/>
    <x v="8"/>
    <x v="0"/>
    <x v="0"/>
    <n v="1"/>
    <n v="11994"/>
    <x v="2"/>
    <n v="7996"/>
    <x v="0"/>
    <x v="0"/>
    <x v="5"/>
    <x v="13"/>
    <x v="4"/>
    <x v="1"/>
    <x v="371"/>
    <x v="549"/>
  </r>
  <r>
    <x v="570"/>
    <x v="161"/>
    <x v="0"/>
    <x v="0"/>
    <x v="0"/>
    <x v="0"/>
    <n v="1"/>
    <n v="6359"/>
    <x v="1"/>
    <n v="6357"/>
    <x v="0"/>
    <x v="2"/>
    <x v="3"/>
    <x v="8"/>
    <x v="6"/>
    <x v="1"/>
    <x v="4"/>
    <x v="550"/>
  </r>
  <r>
    <x v="571"/>
    <x v="289"/>
    <x v="2"/>
    <x v="2"/>
    <x v="1"/>
    <x v="1"/>
    <n v="1"/>
    <n v="6205"/>
    <x v="0"/>
    <n v="2068"/>
    <x v="0"/>
    <x v="1"/>
    <x v="4"/>
    <x v="12"/>
    <x v="2"/>
    <x v="1"/>
    <x v="372"/>
    <x v="551"/>
  </r>
  <r>
    <x v="572"/>
    <x v="101"/>
    <x v="1"/>
    <x v="1"/>
    <x v="0"/>
    <x v="0"/>
    <n v="1"/>
    <n v="6661"/>
    <x v="1"/>
    <n v="6660"/>
    <x v="0"/>
    <x v="2"/>
    <x v="1"/>
    <x v="12"/>
    <x v="5"/>
    <x v="0"/>
    <x v="2"/>
    <x v="552"/>
  </r>
  <r>
    <x v="573"/>
    <x v="231"/>
    <x v="3"/>
    <x v="3"/>
    <x v="0"/>
    <x v="0"/>
    <n v="1"/>
    <n v="6042"/>
    <x v="0"/>
    <n v="2014"/>
    <x v="0"/>
    <x v="0"/>
    <x v="4"/>
    <x v="14"/>
    <x v="3"/>
    <x v="1"/>
    <x v="373"/>
    <x v="553"/>
  </r>
  <r>
    <x v="574"/>
    <x v="137"/>
    <x v="11"/>
    <x v="10"/>
    <x v="1"/>
    <x v="1"/>
    <n v="1"/>
    <n v="3753"/>
    <x v="0"/>
    <n v="1251"/>
    <x v="0"/>
    <x v="2"/>
    <x v="4"/>
    <x v="13"/>
    <x v="1"/>
    <x v="1"/>
    <x v="374"/>
    <x v="554"/>
  </r>
  <r>
    <x v="575"/>
    <x v="33"/>
    <x v="10"/>
    <x v="9"/>
    <x v="1"/>
    <x v="1"/>
    <n v="1"/>
    <n v="7349"/>
    <x v="0"/>
    <n v="2449"/>
    <x v="0"/>
    <x v="2"/>
    <x v="2"/>
    <x v="9"/>
    <x v="3"/>
    <x v="1"/>
    <x v="47"/>
    <x v="80"/>
  </r>
  <r>
    <x v="576"/>
    <x v="288"/>
    <x v="8"/>
    <x v="7"/>
    <x v="1"/>
    <x v="1"/>
    <n v="1"/>
    <n v="14883"/>
    <x v="1"/>
    <n v="14883"/>
    <x v="1"/>
    <x v="1"/>
    <x v="2"/>
    <x v="1"/>
    <x v="4"/>
    <x v="0"/>
    <x v="1"/>
    <x v="555"/>
  </r>
  <r>
    <x v="577"/>
    <x v="93"/>
    <x v="4"/>
    <x v="4"/>
    <x v="0"/>
    <x v="0"/>
    <n v="1"/>
    <n v="4098"/>
    <x v="1"/>
    <n v="4098"/>
    <x v="1"/>
    <x v="1"/>
    <x v="4"/>
    <x v="6"/>
    <x v="5"/>
    <x v="1"/>
    <x v="1"/>
    <x v="556"/>
  </r>
  <r>
    <x v="578"/>
    <x v="123"/>
    <x v="1"/>
    <x v="1"/>
    <x v="1"/>
    <x v="1"/>
    <n v="1"/>
    <n v="5452"/>
    <x v="2"/>
    <n v="3634"/>
    <x v="0"/>
    <x v="2"/>
    <x v="5"/>
    <x v="5"/>
    <x v="3"/>
    <x v="0"/>
    <x v="375"/>
    <x v="557"/>
  </r>
  <r>
    <x v="579"/>
    <x v="290"/>
    <x v="1"/>
    <x v="1"/>
    <x v="0"/>
    <x v="0"/>
    <n v="1"/>
    <n v="5115"/>
    <x v="2"/>
    <n v="3410"/>
    <x v="0"/>
    <x v="0"/>
    <x v="3"/>
    <x v="12"/>
    <x v="6"/>
    <x v="0"/>
    <x v="43"/>
    <x v="71"/>
  </r>
  <r>
    <x v="580"/>
    <x v="194"/>
    <x v="9"/>
    <x v="8"/>
    <x v="0"/>
    <x v="0"/>
    <n v="1"/>
    <n v="13002"/>
    <x v="1"/>
    <n v="13002"/>
    <x v="1"/>
    <x v="2"/>
    <x v="3"/>
    <x v="10"/>
    <x v="4"/>
    <x v="1"/>
    <x v="1"/>
    <x v="558"/>
  </r>
  <r>
    <x v="581"/>
    <x v="291"/>
    <x v="10"/>
    <x v="9"/>
    <x v="0"/>
    <x v="0"/>
    <n v="1"/>
    <n v="6145"/>
    <x v="2"/>
    <n v="4096"/>
    <x v="0"/>
    <x v="0"/>
    <x v="4"/>
    <x v="4"/>
    <x v="5"/>
    <x v="0"/>
    <x v="125"/>
    <x v="209"/>
  </r>
  <r>
    <x v="582"/>
    <x v="88"/>
    <x v="8"/>
    <x v="7"/>
    <x v="1"/>
    <x v="1"/>
    <n v="1"/>
    <n v="8588"/>
    <x v="2"/>
    <n v="5724"/>
    <x v="0"/>
    <x v="0"/>
    <x v="1"/>
    <x v="14"/>
    <x v="7"/>
    <x v="0"/>
    <x v="376"/>
    <x v="559"/>
  </r>
  <r>
    <x v="583"/>
    <x v="292"/>
    <x v="7"/>
    <x v="6"/>
    <x v="1"/>
    <x v="1"/>
    <n v="1"/>
    <n v="8863"/>
    <x v="2"/>
    <n v="5908"/>
    <x v="0"/>
    <x v="1"/>
    <x v="1"/>
    <x v="5"/>
    <x v="1"/>
    <x v="0"/>
    <x v="377"/>
    <x v="560"/>
  </r>
  <r>
    <x v="584"/>
    <x v="293"/>
    <x v="4"/>
    <x v="4"/>
    <x v="1"/>
    <x v="1"/>
    <n v="1"/>
    <n v="5860"/>
    <x v="0"/>
    <n v="1953"/>
    <x v="0"/>
    <x v="0"/>
    <x v="0"/>
    <x v="13"/>
    <x v="2"/>
    <x v="0"/>
    <x v="378"/>
    <x v="561"/>
  </r>
  <r>
    <x v="585"/>
    <x v="265"/>
    <x v="9"/>
    <x v="8"/>
    <x v="0"/>
    <x v="0"/>
    <n v="1"/>
    <n v="10318"/>
    <x v="2"/>
    <n v="6878"/>
    <x v="0"/>
    <x v="1"/>
    <x v="1"/>
    <x v="6"/>
    <x v="2"/>
    <x v="0"/>
    <x v="379"/>
    <x v="562"/>
  </r>
  <r>
    <x v="586"/>
    <x v="294"/>
    <x v="9"/>
    <x v="8"/>
    <x v="1"/>
    <x v="1"/>
    <n v="1"/>
    <n v="11812"/>
    <x v="1"/>
    <n v="11811"/>
    <x v="0"/>
    <x v="2"/>
    <x v="0"/>
    <x v="10"/>
    <x v="9"/>
    <x v="0"/>
    <x v="2"/>
    <x v="563"/>
  </r>
  <r>
    <x v="587"/>
    <x v="92"/>
    <x v="11"/>
    <x v="10"/>
    <x v="1"/>
    <x v="1"/>
    <n v="1"/>
    <n v="4706"/>
    <x v="1"/>
    <n v="4704"/>
    <x v="0"/>
    <x v="1"/>
    <x v="5"/>
    <x v="4"/>
    <x v="3"/>
    <x v="0"/>
    <x v="4"/>
    <x v="564"/>
  </r>
  <r>
    <x v="588"/>
    <x v="42"/>
    <x v="13"/>
    <x v="9"/>
    <x v="0"/>
    <x v="0"/>
    <n v="1"/>
    <n v="3889"/>
    <x v="1"/>
    <n v="3888"/>
    <x v="0"/>
    <x v="1"/>
    <x v="5"/>
    <x v="0"/>
    <x v="5"/>
    <x v="0"/>
    <x v="2"/>
    <x v="565"/>
  </r>
  <r>
    <x v="589"/>
    <x v="295"/>
    <x v="9"/>
    <x v="8"/>
    <x v="0"/>
    <x v="0"/>
    <n v="1"/>
    <n v="12592"/>
    <x v="0"/>
    <n v="4197"/>
    <x v="0"/>
    <x v="1"/>
    <x v="4"/>
    <x v="1"/>
    <x v="2"/>
    <x v="0"/>
    <x v="380"/>
    <x v="566"/>
  </r>
  <r>
    <x v="590"/>
    <x v="178"/>
    <x v="3"/>
    <x v="3"/>
    <x v="0"/>
    <x v="0"/>
    <n v="1"/>
    <n v="6266"/>
    <x v="2"/>
    <n v="4176"/>
    <x v="0"/>
    <x v="1"/>
    <x v="5"/>
    <x v="6"/>
    <x v="7"/>
    <x v="0"/>
    <x v="381"/>
    <x v="567"/>
  </r>
  <r>
    <x v="591"/>
    <x v="296"/>
    <x v="5"/>
    <x v="5"/>
    <x v="0"/>
    <x v="0"/>
    <n v="1"/>
    <n v="4294"/>
    <x v="1"/>
    <n v="4293"/>
    <x v="0"/>
    <x v="0"/>
    <x v="3"/>
    <x v="5"/>
    <x v="8"/>
    <x v="0"/>
    <x v="2"/>
    <x v="568"/>
  </r>
  <r>
    <x v="592"/>
    <x v="123"/>
    <x v="10"/>
    <x v="9"/>
    <x v="0"/>
    <x v="0"/>
    <n v="1"/>
    <n v="6045"/>
    <x v="2"/>
    <n v="4030"/>
    <x v="0"/>
    <x v="1"/>
    <x v="3"/>
    <x v="14"/>
    <x v="2"/>
    <x v="0"/>
    <x v="382"/>
    <x v="569"/>
  </r>
  <r>
    <x v="593"/>
    <x v="88"/>
    <x v="8"/>
    <x v="7"/>
    <x v="0"/>
    <x v="0"/>
    <n v="1"/>
    <n v="11772"/>
    <x v="2"/>
    <n v="7848"/>
    <x v="0"/>
    <x v="1"/>
    <x v="0"/>
    <x v="2"/>
    <x v="8"/>
    <x v="0"/>
    <x v="383"/>
    <x v="570"/>
  </r>
  <r>
    <x v="594"/>
    <x v="297"/>
    <x v="1"/>
    <x v="1"/>
    <x v="1"/>
    <x v="1"/>
    <n v="1"/>
    <n v="6805"/>
    <x v="0"/>
    <n v="2268"/>
    <x v="0"/>
    <x v="0"/>
    <x v="0"/>
    <x v="7"/>
    <x v="0"/>
    <x v="1"/>
    <x v="384"/>
    <x v="205"/>
  </r>
  <r>
    <x v="595"/>
    <x v="113"/>
    <x v="8"/>
    <x v="7"/>
    <x v="1"/>
    <x v="1"/>
    <n v="1"/>
    <n v="14148"/>
    <x v="1"/>
    <n v="14148"/>
    <x v="1"/>
    <x v="0"/>
    <x v="3"/>
    <x v="1"/>
    <x v="4"/>
    <x v="0"/>
    <x v="1"/>
    <x v="571"/>
  </r>
  <r>
    <x v="596"/>
    <x v="275"/>
    <x v="1"/>
    <x v="1"/>
    <x v="0"/>
    <x v="0"/>
    <n v="1"/>
    <n v="5609"/>
    <x v="2"/>
    <n v="3738"/>
    <x v="0"/>
    <x v="1"/>
    <x v="5"/>
    <x v="13"/>
    <x v="3"/>
    <x v="1"/>
    <x v="385"/>
    <x v="572"/>
  </r>
  <r>
    <x v="597"/>
    <x v="20"/>
    <x v="4"/>
    <x v="4"/>
    <x v="0"/>
    <x v="0"/>
    <n v="1"/>
    <n v="6309"/>
    <x v="2"/>
    <n v="4206"/>
    <x v="0"/>
    <x v="1"/>
    <x v="3"/>
    <x v="11"/>
    <x v="4"/>
    <x v="0"/>
    <x v="386"/>
    <x v="573"/>
  </r>
  <r>
    <x v="598"/>
    <x v="62"/>
    <x v="2"/>
    <x v="2"/>
    <x v="0"/>
    <x v="0"/>
    <n v="1"/>
    <n v="6762"/>
    <x v="1"/>
    <n v="6762"/>
    <x v="1"/>
    <x v="1"/>
    <x v="0"/>
    <x v="5"/>
    <x v="6"/>
    <x v="0"/>
    <x v="1"/>
    <x v="574"/>
  </r>
  <r>
    <x v="599"/>
    <x v="194"/>
    <x v="3"/>
    <x v="3"/>
    <x v="1"/>
    <x v="1"/>
    <n v="1"/>
    <n v="7125"/>
    <x v="2"/>
    <n v="4750"/>
    <x v="0"/>
    <x v="1"/>
    <x v="3"/>
    <x v="7"/>
    <x v="9"/>
    <x v="1"/>
    <x v="387"/>
    <x v="575"/>
  </r>
  <r>
    <x v="600"/>
    <x v="40"/>
    <x v="9"/>
    <x v="8"/>
    <x v="0"/>
    <x v="0"/>
    <n v="1"/>
    <n v="14373"/>
    <x v="1"/>
    <n v="14373"/>
    <x v="1"/>
    <x v="1"/>
    <x v="0"/>
    <x v="3"/>
    <x v="6"/>
    <x v="1"/>
    <x v="1"/>
    <x v="576"/>
  </r>
  <r>
    <x v="601"/>
    <x v="298"/>
    <x v="1"/>
    <x v="1"/>
    <x v="1"/>
    <x v="1"/>
    <n v="1"/>
    <n v="5100"/>
    <x v="1"/>
    <n v="5100"/>
    <x v="1"/>
    <x v="1"/>
    <x v="1"/>
    <x v="7"/>
    <x v="7"/>
    <x v="0"/>
    <x v="1"/>
    <x v="577"/>
  </r>
  <r>
    <x v="602"/>
    <x v="58"/>
    <x v="8"/>
    <x v="7"/>
    <x v="1"/>
    <x v="1"/>
    <n v="1"/>
    <n v="13115"/>
    <x v="2"/>
    <n v="8742"/>
    <x v="0"/>
    <x v="1"/>
    <x v="4"/>
    <x v="0"/>
    <x v="7"/>
    <x v="1"/>
    <x v="388"/>
    <x v="578"/>
  </r>
  <r>
    <x v="603"/>
    <x v="299"/>
    <x v="0"/>
    <x v="0"/>
    <x v="0"/>
    <x v="0"/>
    <n v="1"/>
    <n v="7270"/>
    <x v="0"/>
    <n v="2423"/>
    <x v="0"/>
    <x v="0"/>
    <x v="4"/>
    <x v="7"/>
    <x v="6"/>
    <x v="1"/>
    <x v="389"/>
    <x v="579"/>
  </r>
  <r>
    <x v="604"/>
    <x v="251"/>
    <x v="2"/>
    <x v="2"/>
    <x v="0"/>
    <x v="0"/>
    <n v="1"/>
    <n v="7704"/>
    <x v="2"/>
    <n v="5136"/>
    <x v="0"/>
    <x v="1"/>
    <x v="4"/>
    <x v="2"/>
    <x v="5"/>
    <x v="0"/>
    <x v="390"/>
    <x v="580"/>
  </r>
  <r>
    <x v="605"/>
    <x v="174"/>
    <x v="7"/>
    <x v="6"/>
    <x v="0"/>
    <x v="0"/>
    <n v="1"/>
    <n v="9408"/>
    <x v="1"/>
    <n v="9408"/>
    <x v="1"/>
    <x v="2"/>
    <x v="3"/>
    <x v="3"/>
    <x v="6"/>
    <x v="0"/>
    <x v="1"/>
    <x v="581"/>
  </r>
  <r>
    <x v="606"/>
    <x v="150"/>
    <x v="12"/>
    <x v="11"/>
    <x v="0"/>
    <x v="0"/>
    <n v="1"/>
    <n v="8317"/>
    <x v="0"/>
    <n v="2772"/>
    <x v="0"/>
    <x v="1"/>
    <x v="1"/>
    <x v="12"/>
    <x v="7"/>
    <x v="0"/>
    <x v="391"/>
    <x v="87"/>
  </r>
  <r>
    <x v="607"/>
    <x v="30"/>
    <x v="10"/>
    <x v="9"/>
    <x v="0"/>
    <x v="0"/>
    <n v="1"/>
    <n v="5392"/>
    <x v="0"/>
    <n v="1797"/>
    <x v="0"/>
    <x v="1"/>
    <x v="0"/>
    <x v="2"/>
    <x v="2"/>
    <x v="1"/>
    <x v="392"/>
    <x v="109"/>
  </r>
  <r>
    <x v="608"/>
    <x v="203"/>
    <x v="10"/>
    <x v="9"/>
    <x v="0"/>
    <x v="0"/>
    <n v="1"/>
    <n v="4794"/>
    <x v="2"/>
    <n v="3196"/>
    <x v="0"/>
    <x v="2"/>
    <x v="3"/>
    <x v="2"/>
    <x v="4"/>
    <x v="1"/>
    <x v="271"/>
    <x v="582"/>
  </r>
  <r>
    <x v="609"/>
    <x v="300"/>
    <x v="3"/>
    <x v="3"/>
    <x v="1"/>
    <x v="1"/>
    <n v="1"/>
    <n v="5691"/>
    <x v="0"/>
    <n v="1897"/>
    <x v="0"/>
    <x v="2"/>
    <x v="5"/>
    <x v="8"/>
    <x v="5"/>
    <x v="1"/>
    <x v="393"/>
    <x v="583"/>
  </r>
  <r>
    <x v="610"/>
    <x v="13"/>
    <x v="5"/>
    <x v="5"/>
    <x v="1"/>
    <x v="1"/>
    <n v="1"/>
    <n v="4696"/>
    <x v="2"/>
    <n v="3130"/>
    <x v="0"/>
    <x v="2"/>
    <x v="2"/>
    <x v="14"/>
    <x v="6"/>
    <x v="0"/>
    <x v="394"/>
    <x v="584"/>
  </r>
  <r>
    <x v="611"/>
    <x v="136"/>
    <x v="4"/>
    <x v="4"/>
    <x v="1"/>
    <x v="1"/>
    <n v="1"/>
    <n v="5359"/>
    <x v="0"/>
    <n v="1786"/>
    <x v="0"/>
    <x v="2"/>
    <x v="0"/>
    <x v="4"/>
    <x v="2"/>
    <x v="0"/>
    <x v="395"/>
    <x v="585"/>
  </r>
  <r>
    <x v="612"/>
    <x v="195"/>
    <x v="8"/>
    <x v="7"/>
    <x v="1"/>
    <x v="1"/>
    <n v="1"/>
    <n v="7430"/>
    <x v="1"/>
    <n v="7428"/>
    <x v="0"/>
    <x v="2"/>
    <x v="5"/>
    <x v="13"/>
    <x v="0"/>
    <x v="0"/>
    <x v="4"/>
    <x v="586"/>
  </r>
  <r>
    <x v="613"/>
    <x v="193"/>
    <x v="7"/>
    <x v="6"/>
    <x v="0"/>
    <x v="0"/>
    <n v="1"/>
    <n v="9140"/>
    <x v="1"/>
    <n v="9138"/>
    <x v="0"/>
    <x v="1"/>
    <x v="3"/>
    <x v="12"/>
    <x v="7"/>
    <x v="1"/>
    <x v="4"/>
    <x v="587"/>
  </r>
  <r>
    <x v="614"/>
    <x v="301"/>
    <x v="12"/>
    <x v="11"/>
    <x v="0"/>
    <x v="0"/>
    <n v="1"/>
    <n v="8504"/>
    <x v="1"/>
    <n v="8502"/>
    <x v="0"/>
    <x v="0"/>
    <x v="5"/>
    <x v="1"/>
    <x v="4"/>
    <x v="0"/>
    <x v="4"/>
    <x v="588"/>
  </r>
  <r>
    <x v="615"/>
    <x v="125"/>
    <x v="6"/>
    <x v="6"/>
    <x v="0"/>
    <x v="0"/>
    <n v="1"/>
    <n v="8909"/>
    <x v="2"/>
    <n v="5938"/>
    <x v="0"/>
    <x v="1"/>
    <x v="2"/>
    <x v="4"/>
    <x v="1"/>
    <x v="0"/>
    <x v="396"/>
    <x v="589"/>
  </r>
  <r>
    <x v="616"/>
    <x v="266"/>
    <x v="10"/>
    <x v="9"/>
    <x v="0"/>
    <x v="0"/>
    <n v="1"/>
    <n v="7605"/>
    <x v="1"/>
    <n v="7605"/>
    <x v="1"/>
    <x v="1"/>
    <x v="2"/>
    <x v="12"/>
    <x v="1"/>
    <x v="1"/>
    <x v="1"/>
    <x v="590"/>
  </r>
  <r>
    <x v="617"/>
    <x v="57"/>
    <x v="10"/>
    <x v="9"/>
    <x v="0"/>
    <x v="0"/>
    <n v="1"/>
    <n v="7294"/>
    <x v="1"/>
    <n v="7293"/>
    <x v="0"/>
    <x v="1"/>
    <x v="1"/>
    <x v="0"/>
    <x v="5"/>
    <x v="0"/>
    <x v="2"/>
    <x v="591"/>
  </r>
  <r>
    <x v="618"/>
    <x v="302"/>
    <x v="8"/>
    <x v="7"/>
    <x v="0"/>
    <x v="0"/>
    <n v="1"/>
    <n v="14420"/>
    <x v="1"/>
    <n v="14418"/>
    <x v="0"/>
    <x v="1"/>
    <x v="5"/>
    <x v="4"/>
    <x v="6"/>
    <x v="1"/>
    <x v="4"/>
    <x v="592"/>
  </r>
  <r>
    <x v="619"/>
    <x v="303"/>
    <x v="0"/>
    <x v="0"/>
    <x v="0"/>
    <x v="0"/>
    <n v="1"/>
    <n v="5377"/>
    <x v="0"/>
    <n v="1792"/>
    <x v="0"/>
    <x v="2"/>
    <x v="3"/>
    <x v="0"/>
    <x v="4"/>
    <x v="0"/>
    <x v="397"/>
    <x v="593"/>
  </r>
  <r>
    <x v="620"/>
    <x v="135"/>
    <x v="10"/>
    <x v="9"/>
    <x v="1"/>
    <x v="1"/>
    <n v="1"/>
    <n v="5872"/>
    <x v="2"/>
    <n v="3914"/>
    <x v="0"/>
    <x v="1"/>
    <x v="5"/>
    <x v="7"/>
    <x v="7"/>
    <x v="1"/>
    <x v="398"/>
    <x v="176"/>
  </r>
  <r>
    <x v="621"/>
    <x v="13"/>
    <x v="2"/>
    <x v="2"/>
    <x v="1"/>
    <x v="1"/>
    <n v="1"/>
    <n v="7534"/>
    <x v="2"/>
    <n v="5022"/>
    <x v="0"/>
    <x v="1"/>
    <x v="0"/>
    <x v="10"/>
    <x v="0"/>
    <x v="1"/>
    <x v="399"/>
    <x v="594"/>
  </r>
  <r>
    <x v="622"/>
    <x v="304"/>
    <x v="4"/>
    <x v="4"/>
    <x v="1"/>
    <x v="1"/>
    <n v="1"/>
    <n v="6388"/>
    <x v="0"/>
    <n v="2129"/>
    <x v="0"/>
    <x v="0"/>
    <x v="2"/>
    <x v="13"/>
    <x v="9"/>
    <x v="0"/>
    <x v="400"/>
    <x v="595"/>
  </r>
  <r>
    <x v="623"/>
    <x v="191"/>
    <x v="13"/>
    <x v="9"/>
    <x v="1"/>
    <x v="1"/>
    <n v="1"/>
    <n v="4326"/>
    <x v="0"/>
    <n v="1442"/>
    <x v="0"/>
    <x v="2"/>
    <x v="3"/>
    <x v="14"/>
    <x v="3"/>
    <x v="1"/>
    <x v="317"/>
    <x v="596"/>
  </r>
  <r>
    <x v="624"/>
    <x v="305"/>
    <x v="4"/>
    <x v="4"/>
    <x v="0"/>
    <x v="0"/>
    <n v="1"/>
    <n v="4793"/>
    <x v="2"/>
    <n v="3194"/>
    <x v="0"/>
    <x v="0"/>
    <x v="1"/>
    <x v="12"/>
    <x v="8"/>
    <x v="1"/>
    <x v="401"/>
    <x v="400"/>
  </r>
  <r>
    <x v="625"/>
    <x v="221"/>
    <x v="10"/>
    <x v="9"/>
    <x v="1"/>
    <x v="1"/>
    <n v="1"/>
    <n v="7474"/>
    <x v="2"/>
    <n v="4982"/>
    <x v="0"/>
    <x v="2"/>
    <x v="0"/>
    <x v="7"/>
    <x v="0"/>
    <x v="1"/>
    <x v="402"/>
    <x v="597"/>
  </r>
  <r>
    <x v="626"/>
    <x v="306"/>
    <x v="4"/>
    <x v="4"/>
    <x v="1"/>
    <x v="1"/>
    <n v="1"/>
    <n v="6634"/>
    <x v="0"/>
    <n v="2211"/>
    <x v="0"/>
    <x v="2"/>
    <x v="4"/>
    <x v="0"/>
    <x v="2"/>
    <x v="1"/>
    <x v="403"/>
    <x v="598"/>
  </r>
  <r>
    <x v="627"/>
    <x v="307"/>
    <x v="13"/>
    <x v="9"/>
    <x v="1"/>
    <x v="1"/>
    <n v="1"/>
    <n v="3055"/>
    <x v="0"/>
    <n v="1018"/>
    <x v="0"/>
    <x v="2"/>
    <x v="5"/>
    <x v="8"/>
    <x v="7"/>
    <x v="1"/>
    <x v="404"/>
    <x v="599"/>
  </r>
  <r>
    <x v="628"/>
    <x v="308"/>
    <x v="5"/>
    <x v="5"/>
    <x v="0"/>
    <x v="0"/>
    <n v="1"/>
    <n v="4193"/>
    <x v="1"/>
    <n v="4191"/>
    <x v="0"/>
    <x v="1"/>
    <x v="2"/>
    <x v="9"/>
    <x v="3"/>
    <x v="1"/>
    <x v="4"/>
    <x v="142"/>
  </r>
  <r>
    <x v="629"/>
    <x v="61"/>
    <x v="3"/>
    <x v="3"/>
    <x v="0"/>
    <x v="0"/>
    <n v="1"/>
    <n v="5562"/>
    <x v="1"/>
    <n v="5562"/>
    <x v="1"/>
    <x v="1"/>
    <x v="4"/>
    <x v="11"/>
    <x v="5"/>
    <x v="0"/>
    <x v="1"/>
    <x v="600"/>
  </r>
  <r>
    <x v="630"/>
    <x v="273"/>
    <x v="8"/>
    <x v="7"/>
    <x v="0"/>
    <x v="0"/>
    <n v="1"/>
    <n v="8825"/>
    <x v="2"/>
    <n v="5882"/>
    <x v="0"/>
    <x v="1"/>
    <x v="0"/>
    <x v="12"/>
    <x v="7"/>
    <x v="0"/>
    <x v="405"/>
    <x v="475"/>
  </r>
  <r>
    <x v="631"/>
    <x v="53"/>
    <x v="13"/>
    <x v="9"/>
    <x v="0"/>
    <x v="0"/>
    <n v="1"/>
    <n v="3769"/>
    <x v="0"/>
    <n v="1256"/>
    <x v="0"/>
    <x v="2"/>
    <x v="0"/>
    <x v="3"/>
    <x v="6"/>
    <x v="0"/>
    <x v="406"/>
    <x v="601"/>
  </r>
  <r>
    <x v="632"/>
    <x v="66"/>
    <x v="11"/>
    <x v="10"/>
    <x v="0"/>
    <x v="0"/>
    <n v="1"/>
    <n v="4861"/>
    <x v="2"/>
    <n v="3240"/>
    <x v="0"/>
    <x v="0"/>
    <x v="4"/>
    <x v="8"/>
    <x v="4"/>
    <x v="0"/>
    <x v="407"/>
    <x v="602"/>
  </r>
  <r>
    <x v="633"/>
    <x v="309"/>
    <x v="10"/>
    <x v="9"/>
    <x v="0"/>
    <x v="0"/>
    <n v="1"/>
    <n v="5497"/>
    <x v="1"/>
    <n v="5496"/>
    <x v="0"/>
    <x v="1"/>
    <x v="3"/>
    <x v="7"/>
    <x v="9"/>
    <x v="0"/>
    <x v="2"/>
    <x v="603"/>
  </r>
  <r>
    <x v="634"/>
    <x v="40"/>
    <x v="8"/>
    <x v="7"/>
    <x v="1"/>
    <x v="1"/>
    <n v="1"/>
    <n v="8627"/>
    <x v="2"/>
    <n v="5750"/>
    <x v="0"/>
    <x v="0"/>
    <x v="0"/>
    <x v="8"/>
    <x v="1"/>
    <x v="1"/>
    <x v="408"/>
    <x v="604"/>
  </r>
  <r>
    <x v="635"/>
    <x v="108"/>
    <x v="2"/>
    <x v="2"/>
    <x v="0"/>
    <x v="0"/>
    <n v="1"/>
    <n v="5786"/>
    <x v="0"/>
    <n v="1928"/>
    <x v="0"/>
    <x v="0"/>
    <x v="4"/>
    <x v="9"/>
    <x v="8"/>
    <x v="0"/>
    <x v="409"/>
    <x v="605"/>
  </r>
  <r>
    <x v="636"/>
    <x v="147"/>
    <x v="2"/>
    <x v="2"/>
    <x v="0"/>
    <x v="0"/>
    <n v="1"/>
    <n v="6570"/>
    <x v="1"/>
    <n v="6570"/>
    <x v="1"/>
    <x v="0"/>
    <x v="2"/>
    <x v="5"/>
    <x v="0"/>
    <x v="1"/>
    <x v="1"/>
    <x v="108"/>
  </r>
  <r>
    <x v="637"/>
    <x v="1"/>
    <x v="8"/>
    <x v="7"/>
    <x v="0"/>
    <x v="0"/>
    <n v="1"/>
    <n v="7403"/>
    <x v="1"/>
    <n v="7401"/>
    <x v="0"/>
    <x v="1"/>
    <x v="1"/>
    <x v="12"/>
    <x v="8"/>
    <x v="1"/>
    <x v="4"/>
    <x v="606"/>
  </r>
  <r>
    <x v="638"/>
    <x v="51"/>
    <x v="13"/>
    <x v="9"/>
    <x v="1"/>
    <x v="1"/>
    <n v="1"/>
    <n v="4603"/>
    <x v="2"/>
    <n v="3068"/>
    <x v="0"/>
    <x v="0"/>
    <x v="2"/>
    <x v="5"/>
    <x v="5"/>
    <x v="0"/>
    <x v="410"/>
    <x v="607"/>
  </r>
  <r>
    <x v="639"/>
    <x v="37"/>
    <x v="4"/>
    <x v="4"/>
    <x v="0"/>
    <x v="0"/>
    <n v="1"/>
    <n v="4898"/>
    <x v="2"/>
    <n v="3264"/>
    <x v="0"/>
    <x v="1"/>
    <x v="1"/>
    <x v="11"/>
    <x v="0"/>
    <x v="1"/>
    <x v="411"/>
    <x v="532"/>
  </r>
  <r>
    <x v="640"/>
    <x v="22"/>
    <x v="2"/>
    <x v="2"/>
    <x v="0"/>
    <x v="0"/>
    <n v="1"/>
    <n v="5419"/>
    <x v="1"/>
    <n v="5418"/>
    <x v="0"/>
    <x v="0"/>
    <x v="0"/>
    <x v="13"/>
    <x v="8"/>
    <x v="0"/>
    <x v="2"/>
    <x v="608"/>
  </r>
  <r>
    <x v="641"/>
    <x v="32"/>
    <x v="9"/>
    <x v="8"/>
    <x v="0"/>
    <x v="0"/>
    <n v="1"/>
    <n v="12010"/>
    <x v="0"/>
    <n v="4003"/>
    <x v="0"/>
    <x v="1"/>
    <x v="3"/>
    <x v="8"/>
    <x v="6"/>
    <x v="1"/>
    <x v="412"/>
    <x v="609"/>
  </r>
  <r>
    <x v="642"/>
    <x v="160"/>
    <x v="6"/>
    <x v="6"/>
    <x v="1"/>
    <x v="1"/>
    <n v="1"/>
    <n v="7877"/>
    <x v="1"/>
    <n v="7875"/>
    <x v="0"/>
    <x v="2"/>
    <x v="1"/>
    <x v="7"/>
    <x v="8"/>
    <x v="0"/>
    <x v="4"/>
    <x v="610"/>
  </r>
  <r>
    <x v="643"/>
    <x v="22"/>
    <x v="11"/>
    <x v="10"/>
    <x v="1"/>
    <x v="1"/>
    <n v="1"/>
    <n v="3640"/>
    <x v="0"/>
    <n v="1213"/>
    <x v="0"/>
    <x v="2"/>
    <x v="3"/>
    <x v="14"/>
    <x v="8"/>
    <x v="0"/>
    <x v="413"/>
    <x v="611"/>
  </r>
  <r>
    <x v="644"/>
    <x v="255"/>
    <x v="0"/>
    <x v="0"/>
    <x v="0"/>
    <x v="0"/>
    <n v="1"/>
    <n v="5046"/>
    <x v="1"/>
    <n v="5046"/>
    <x v="1"/>
    <x v="1"/>
    <x v="5"/>
    <x v="2"/>
    <x v="8"/>
    <x v="0"/>
    <x v="1"/>
    <x v="612"/>
  </r>
  <r>
    <x v="645"/>
    <x v="196"/>
    <x v="13"/>
    <x v="9"/>
    <x v="0"/>
    <x v="0"/>
    <n v="1"/>
    <n v="3783"/>
    <x v="0"/>
    <n v="1261"/>
    <x v="0"/>
    <x v="1"/>
    <x v="0"/>
    <x v="10"/>
    <x v="1"/>
    <x v="1"/>
    <x v="414"/>
    <x v="613"/>
  </r>
  <r>
    <x v="646"/>
    <x v="227"/>
    <x v="5"/>
    <x v="5"/>
    <x v="0"/>
    <x v="0"/>
    <n v="1"/>
    <n v="3943"/>
    <x v="2"/>
    <n v="2628"/>
    <x v="0"/>
    <x v="0"/>
    <x v="5"/>
    <x v="10"/>
    <x v="9"/>
    <x v="1"/>
    <x v="415"/>
    <x v="614"/>
  </r>
  <r>
    <x v="647"/>
    <x v="132"/>
    <x v="4"/>
    <x v="4"/>
    <x v="0"/>
    <x v="0"/>
    <n v="1"/>
    <n v="6969"/>
    <x v="2"/>
    <n v="4646"/>
    <x v="0"/>
    <x v="2"/>
    <x v="4"/>
    <x v="2"/>
    <x v="0"/>
    <x v="1"/>
    <x v="13"/>
    <x v="615"/>
  </r>
  <r>
    <x v="648"/>
    <x v="62"/>
    <x v="10"/>
    <x v="9"/>
    <x v="1"/>
    <x v="1"/>
    <n v="1"/>
    <n v="6240"/>
    <x v="0"/>
    <n v="2080"/>
    <x v="0"/>
    <x v="0"/>
    <x v="5"/>
    <x v="11"/>
    <x v="2"/>
    <x v="0"/>
    <x v="416"/>
    <x v="616"/>
  </r>
  <r>
    <x v="649"/>
    <x v="309"/>
    <x v="3"/>
    <x v="3"/>
    <x v="0"/>
    <x v="0"/>
    <n v="1"/>
    <n v="7278"/>
    <x v="0"/>
    <n v="2426"/>
    <x v="0"/>
    <x v="1"/>
    <x v="4"/>
    <x v="9"/>
    <x v="1"/>
    <x v="0"/>
    <x v="417"/>
    <x v="617"/>
  </r>
  <r>
    <x v="650"/>
    <x v="79"/>
    <x v="5"/>
    <x v="5"/>
    <x v="0"/>
    <x v="0"/>
    <n v="1"/>
    <n v="5344"/>
    <x v="2"/>
    <n v="3562"/>
    <x v="0"/>
    <x v="1"/>
    <x v="3"/>
    <x v="4"/>
    <x v="0"/>
    <x v="0"/>
    <x v="418"/>
    <x v="129"/>
  </r>
  <r>
    <x v="651"/>
    <x v="226"/>
    <x v="9"/>
    <x v="8"/>
    <x v="0"/>
    <x v="0"/>
    <n v="1"/>
    <n v="9535"/>
    <x v="1"/>
    <n v="9534"/>
    <x v="0"/>
    <x v="1"/>
    <x v="3"/>
    <x v="8"/>
    <x v="1"/>
    <x v="1"/>
    <x v="2"/>
    <x v="618"/>
  </r>
  <r>
    <x v="652"/>
    <x v="302"/>
    <x v="10"/>
    <x v="9"/>
    <x v="1"/>
    <x v="1"/>
    <n v="1"/>
    <n v="7987"/>
    <x v="2"/>
    <n v="5324"/>
    <x v="0"/>
    <x v="2"/>
    <x v="5"/>
    <x v="10"/>
    <x v="0"/>
    <x v="0"/>
    <x v="419"/>
    <x v="619"/>
  </r>
  <r>
    <x v="653"/>
    <x v="12"/>
    <x v="0"/>
    <x v="0"/>
    <x v="1"/>
    <x v="1"/>
    <n v="1"/>
    <n v="5374"/>
    <x v="2"/>
    <n v="3582"/>
    <x v="0"/>
    <x v="2"/>
    <x v="3"/>
    <x v="8"/>
    <x v="2"/>
    <x v="0"/>
    <x v="420"/>
    <x v="620"/>
  </r>
  <r>
    <x v="654"/>
    <x v="310"/>
    <x v="3"/>
    <x v="3"/>
    <x v="1"/>
    <x v="1"/>
    <n v="1"/>
    <n v="4606"/>
    <x v="0"/>
    <n v="1535"/>
    <x v="0"/>
    <x v="1"/>
    <x v="0"/>
    <x v="5"/>
    <x v="9"/>
    <x v="0"/>
    <x v="421"/>
    <x v="621"/>
  </r>
  <r>
    <x v="655"/>
    <x v="257"/>
    <x v="4"/>
    <x v="4"/>
    <x v="0"/>
    <x v="0"/>
    <n v="1"/>
    <n v="4499"/>
    <x v="2"/>
    <n v="2998"/>
    <x v="0"/>
    <x v="0"/>
    <x v="5"/>
    <x v="9"/>
    <x v="7"/>
    <x v="0"/>
    <x v="422"/>
    <x v="622"/>
  </r>
  <r>
    <x v="656"/>
    <x v="236"/>
    <x v="0"/>
    <x v="0"/>
    <x v="1"/>
    <x v="1"/>
    <n v="1"/>
    <n v="5005"/>
    <x v="1"/>
    <n v="5004"/>
    <x v="0"/>
    <x v="2"/>
    <x v="2"/>
    <x v="4"/>
    <x v="9"/>
    <x v="1"/>
    <x v="2"/>
    <x v="623"/>
  </r>
  <r>
    <x v="657"/>
    <x v="87"/>
    <x v="1"/>
    <x v="1"/>
    <x v="0"/>
    <x v="0"/>
    <n v="1"/>
    <n v="5593"/>
    <x v="0"/>
    <n v="1864"/>
    <x v="0"/>
    <x v="0"/>
    <x v="3"/>
    <x v="2"/>
    <x v="5"/>
    <x v="1"/>
    <x v="423"/>
    <x v="624"/>
  </r>
  <r>
    <x v="658"/>
    <x v="246"/>
    <x v="1"/>
    <x v="1"/>
    <x v="0"/>
    <x v="0"/>
    <n v="1"/>
    <n v="4595"/>
    <x v="1"/>
    <n v="4593"/>
    <x v="0"/>
    <x v="0"/>
    <x v="5"/>
    <x v="7"/>
    <x v="1"/>
    <x v="1"/>
    <x v="4"/>
    <x v="625"/>
  </r>
  <r>
    <x v="659"/>
    <x v="311"/>
    <x v="1"/>
    <x v="1"/>
    <x v="1"/>
    <x v="1"/>
    <n v="1"/>
    <n v="5720"/>
    <x v="2"/>
    <n v="3812"/>
    <x v="0"/>
    <x v="0"/>
    <x v="1"/>
    <x v="7"/>
    <x v="2"/>
    <x v="0"/>
    <x v="424"/>
    <x v="626"/>
  </r>
  <r>
    <x v="660"/>
    <x v="144"/>
    <x v="9"/>
    <x v="8"/>
    <x v="1"/>
    <x v="1"/>
    <n v="1"/>
    <n v="8398"/>
    <x v="1"/>
    <n v="8397"/>
    <x v="0"/>
    <x v="1"/>
    <x v="3"/>
    <x v="12"/>
    <x v="6"/>
    <x v="1"/>
    <x v="2"/>
    <x v="627"/>
  </r>
  <r>
    <x v="661"/>
    <x v="312"/>
    <x v="2"/>
    <x v="2"/>
    <x v="1"/>
    <x v="1"/>
    <n v="1"/>
    <n v="4895"/>
    <x v="0"/>
    <n v="1631"/>
    <x v="0"/>
    <x v="2"/>
    <x v="3"/>
    <x v="14"/>
    <x v="3"/>
    <x v="1"/>
    <x v="425"/>
    <x v="628"/>
  </r>
  <r>
    <x v="662"/>
    <x v="125"/>
    <x v="0"/>
    <x v="0"/>
    <x v="1"/>
    <x v="1"/>
    <n v="1"/>
    <n v="7238"/>
    <x v="2"/>
    <n v="4824"/>
    <x v="0"/>
    <x v="0"/>
    <x v="5"/>
    <x v="0"/>
    <x v="7"/>
    <x v="1"/>
    <x v="426"/>
    <x v="629"/>
  </r>
  <r>
    <x v="663"/>
    <x v="109"/>
    <x v="7"/>
    <x v="6"/>
    <x v="1"/>
    <x v="1"/>
    <n v="1"/>
    <n v="8733"/>
    <x v="1"/>
    <n v="8733"/>
    <x v="1"/>
    <x v="1"/>
    <x v="4"/>
    <x v="3"/>
    <x v="2"/>
    <x v="0"/>
    <x v="1"/>
    <x v="630"/>
  </r>
  <r>
    <x v="664"/>
    <x v="109"/>
    <x v="9"/>
    <x v="8"/>
    <x v="1"/>
    <x v="1"/>
    <n v="1"/>
    <n v="13210"/>
    <x v="1"/>
    <n v="13209"/>
    <x v="0"/>
    <x v="0"/>
    <x v="1"/>
    <x v="7"/>
    <x v="1"/>
    <x v="1"/>
    <x v="2"/>
    <x v="631"/>
  </r>
  <r>
    <x v="665"/>
    <x v="51"/>
    <x v="8"/>
    <x v="7"/>
    <x v="0"/>
    <x v="0"/>
    <n v="1"/>
    <n v="11511"/>
    <x v="0"/>
    <n v="3837"/>
    <x v="0"/>
    <x v="2"/>
    <x v="0"/>
    <x v="10"/>
    <x v="4"/>
    <x v="0"/>
    <x v="427"/>
    <x v="632"/>
  </r>
  <r>
    <x v="666"/>
    <x v="313"/>
    <x v="13"/>
    <x v="9"/>
    <x v="0"/>
    <x v="0"/>
    <n v="1"/>
    <n v="4179"/>
    <x v="2"/>
    <n v="2786"/>
    <x v="0"/>
    <x v="1"/>
    <x v="1"/>
    <x v="10"/>
    <x v="5"/>
    <x v="1"/>
    <x v="7"/>
    <x v="633"/>
  </r>
  <r>
    <x v="667"/>
    <x v="314"/>
    <x v="4"/>
    <x v="4"/>
    <x v="1"/>
    <x v="1"/>
    <n v="1"/>
    <n v="4689"/>
    <x v="1"/>
    <n v="4689"/>
    <x v="1"/>
    <x v="2"/>
    <x v="3"/>
    <x v="3"/>
    <x v="8"/>
    <x v="1"/>
    <x v="1"/>
    <x v="333"/>
  </r>
  <r>
    <x v="668"/>
    <x v="315"/>
    <x v="11"/>
    <x v="10"/>
    <x v="0"/>
    <x v="0"/>
    <n v="1"/>
    <n v="4389"/>
    <x v="0"/>
    <n v="1463"/>
    <x v="0"/>
    <x v="2"/>
    <x v="1"/>
    <x v="2"/>
    <x v="8"/>
    <x v="1"/>
    <x v="174"/>
    <x v="634"/>
  </r>
  <r>
    <x v="669"/>
    <x v="209"/>
    <x v="5"/>
    <x v="5"/>
    <x v="1"/>
    <x v="1"/>
    <n v="1"/>
    <n v="4931"/>
    <x v="2"/>
    <n v="3286"/>
    <x v="0"/>
    <x v="0"/>
    <x v="0"/>
    <x v="12"/>
    <x v="5"/>
    <x v="1"/>
    <x v="428"/>
    <x v="635"/>
  </r>
  <r>
    <x v="670"/>
    <x v="259"/>
    <x v="11"/>
    <x v="10"/>
    <x v="1"/>
    <x v="1"/>
    <n v="1"/>
    <n v="3846"/>
    <x v="2"/>
    <n v="2564"/>
    <x v="0"/>
    <x v="0"/>
    <x v="4"/>
    <x v="14"/>
    <x v="9"/>
    <x v="1"/>
    <x v="429"/>
    <x v="636"/>
  </r>
  <r>
    <x v="671"/>
    <x v="172"/>
    <x v="9"/>
    <x v="8"/>
    <x v="1"/>
    <x v="1"/>
    <n v="1"/>
    <n v="12488"/>
    <x v="1"/>
    <n v="12486"/>
    <x v="0"/>
    <x v="1"/>
    <x v="5"/>
    <x v="1"/>
    <x v="0"/>
    <x v="1"/>
    <x v="4"/>
    <x v="637"/>
  </r>
  <r>
    <x v="672"/>
    <x v="236"/>
    <x v="4"/>
    <x v="4"/>
    <x v="0"/>
    <x v="0"/>
    <n v="1"/>
    <n v="4464"/>
    <x v="2"/>
    <n v="2976"/>
    <x v="0"/>
    <x v="0"/>
    <x v="1"/>
    <x v="8"/>
    <x v="8"/>
    <x v="1"/>
    <x v="430"/>
    <x v="638"/>
  </r>
  <r>
    <x v="673"/>
    <x v="258"/>
    <x v="4"/>
    <x v="4"/>
    <x v="1"/>
    <x v="1"/>
    <n v="1"/>
    <n v="6276"/>
    <x v="0"/>
    <n v="2092"/>
    <x v="0"/>
    <x v="0"/>
    <x v="2"/>
    <x v="14"/>
    <x v="9"/>
    <x v="1"/>
    <x v="431"/>
    <x v="639"/>
  </r>
  <r>
    <x v="674"/>
    <x v="281"/>
    <x v="13"/>
    <x v="9"/>
    <x v="0"/>
    <x v="0"/>
    <n v="1"/>
    <n v="3038"/>
    <x v="0"/>
    <n v="1012"/>
    <x v="0"/>
    <x v="2"/>
    <x v="4"/>
    <x v="12"/>
    <x v="8"/>
    <x v="0"/>
    <x v="432"/>
    <x v="640"/>
  </r>
  <r>
    <x v="675"/>
    <x v="241"/>
    <x v="10"/>
    <x v="9"/>
    <x v="1"/>
    <x v="1"/>
    <n v="1"/>
    <n v="7945"/>
    <x v="1"/>
    <n v="7944"/>
    <x v="0"/>
    <x v="2"/>
    <x v="5"/>
    <x v="0"/>
    <x v="6"/>
    <x v="0"/>
    <x v="2"/>
    <x v="641"/>
  </r>
  <r>
    <x v="676"/>
    <x v="300"/>
    <x v="8"/>
    <x v="7"/>
    <x v="1"/>
    <x v="1"/>
    <n v="1"/>
    <n v="9259"/>
    <x v="1"/>
    <n v="9258"/>
    <x v="0"/>
    <x v="1"/>
    <x v="3"/>
    <x v="8"/>
    <x v="0"/>
    <x v="1"/>
    <x v="2"/>
    <x v="642"/>
  </r>
  <r>
    <x v="677"/>
    <x v="269"/>
    <x v="7"/>
    <x v="6"/>
    <x v="1"/>
    <x v="1"/>
    <n v="1"/>
    <n v="8196"/>
    <x v="0"/>
    <n v="2732"/>
    <x v="0"/>
    <x v="0"/>
    <x v="4"/>
    <x v="6"/>
    <x v="7"/>
    <x v="0"/>
    <x v="433"/>
    <x v="643"/>
  </r>
  <r>
    <x v="678"/>
    <x v="63"/>
    <x v="10"/>
    <x v="9"/>
    <x v="0"/>
    <x v="0"/>
    <n v="1"/>
    <n v="6275"/>
    <x v="1"/>
    <n v="6273"/>
    <x v="0"/>
    <x v="2"/>
    <x v="0"/>
    <x v="13"/>
    <x v="3"/>
    <x v="0"/>
    <x v="4"/>
    <x v="644"/>
  </r>
  <r>
    <x v="679"/>
    <x v="316"/>
    <x v="10"/>
    <x v="9"/>
    <x v="1"/>
    <x v="1"/>
    <n v="1"/>
    <n v="5044"/>
    <x v="1"/>
    <n v="5043"/>
    <x v="0"/>
    <x v="1"/>
    <x v="2"/>
    <x v="14"/>
    <x v="0"/>
    <x v="0"/>
    <x v="2"/>
    <x v="645"/>
  </r>
  <r>
    <x v="680"/>
    <x v="23"/>
    <x v="3"/>
    <x v="3"/>
    <x v="1"/>
    <x v="1"/>
    <n v="1"/>
    <n v="6526"/>
    <x v="1"/>
    <n v="6525"/>
    <x v="0"/>
    <x v="0"/>
    <x v="3"/>
    <x v="3"/>
    <x v="9"/>
    <x v="0"/>
    <x v="2"/>
    <x v="646"/>
  </r>
  <r>
    <x v="681"/>
    <x v="309"/>
    <x v="11"/>
    <x v="10"/>
    <x v="1"/>
    <x v="1"/>
    <n v="1"/>
    <n v="5703"/>
    <x v="1"/>
    <n v="5703"/>
    <x v="1"/>
    <x v="0"/>
    <x v="4"/>
    <x v="9"/>
    <x v="1"/>
    <x v="1"/>
    <x v="1"/>
    <x v="647"/>
  </r>
  <r>
    <x v="682"/>
    <x v="3"/>
    <x v="0"/>
    <x v="0"/>
    <x v="1"/>
    <x v="1"/>
    <n v="1"/>
    <n v="6140"/>
    <x v="1"/>
    <n v="6138"/>
    <x v="0"/>
    <x v="2"/>
    <x v="4"/>
    <x v="0"/>
    <x v="8"/>
    <x v="1"/>
    <x v="4"/>
    <x v="648"/>
  </r>
  <r>
    <x v="683"/>
    <x v="238"/>
    <x v="2"/>
    <x v="2"/>
    <x v="1"/>
    <x v="1"/>
    <n v="1"/>
    <n v="6391"/>
    <x v="1"/>
    <n v="6390"/>
    <x v="0"/>
    <x v="1"/>
    <x v="3"/>
    <x v="5"/>
    <x v="7"/>
    <x v="1"/>
    <x v="2"/>
    <x v="649"/>
  </r>
  <r>
    <x v="684"/>
    <x v="6"/>
    <x v="2"/>
    <x v="2"/>
    <x v="1"/>
    <x v="1"/>
    <n v="1"/>
    <n v="6572"/>
    <x v="1"/>
    <n v="6570"/>
    <x v="0"/>
    <x v="2"/>
    <x v="5"/>
    <x v="3"/>
    <x v="1"/>
    <x v="0"/>
    <x v="4"/>
    <x v="108"/>
  </r>
  <r>
    <x v="685"/>
    <x v="317"/>
    <x v="1"/>
    <x v="1"/>
    <x v="1"/>
    <x v="1"/>
    <n v="1"/>
    <n v="4699"/>
    <x v="2"/>
    <n v="3132"/>
    <x v="0"/>
    <x v="1"/>
    <x v="0"/>
    <x v="9"/>
    <x v="5"/>
    <x v="1"/>
    <x v="434"/>
    <x v="650"/>
  </r>
  <r>
    <x v="686"/>
    <x v="98"/>
    <x v="8"/>
    <x v="7"/>
    <x v="1"/>
    <x v="1"/>
    <n v="1"/>
    <n v="7158"/>
    <x v="1"/>
    <n v="7158"/>
    <x v="1"/>
    <x v="1"/>
    <x v="1"/>
    <x v="13"/>
    <x v="9"/>
    <x v="1"/>
    <x v="1"/>
    <x v="651"/>
  </r>
  <r>
    <x v="687"/>
    <x v="158"/>
    <x v="5"/>
    <x v="5"/>
    <x v="0"/>
    <x v="0"/>
    <n v="1"/>
    <n v="4984"/>
    <x v="2"/>
    <n v="3322"/>
    <x v="0"/>
    <x v="0"/>
    <x v="4"/>
    <x v="9"/>
    <x v="5"/>
    <x v="1"/>
    <x v="435"/>
    <x v="652"/>
  </r>
  <r>
    <x v="688"/>
    <x v="118"/>
    <x v="0"/>
    <x v="0"/>
    <x v="1"/>
    <x v="1"/>
    <n v="1"/>
    <n v="5557"/>
    <x v="1"/>
    <n v="5556"/>
    <x v="0"/>
    <x v="2"/>
    <x v="1"/>
    <x v="11"/>
    <x v="3"/>
    <x v="0"/>
    <x v="2"/>
    <x v="653"/>
  </r>
  <r>
    <x v="689"/>
    <x v="312"/>
    <x v="0"/>
    <x v="0"/>
    <x v="0"/>
    <x v="0"/>
    <n v="1"/>
    <n v="5318"/>
    <x v="0"/>
    <n v="1772"/>
    <x v="0"/>
    <x v="2"/>
    <x v="0"/>
    <x v="5"/>
    <x v="7"/>
    <x v="1"/>
    <x v="436"/>
    <x v="654"/>
  </r>
  <r>
    <x v="690"/>
    <x v="66"/>
    <x v="6"/>
    <x v="6"/>
    <x v="1"/>
    <x v="1"/>
    <n v="1"/>
    <n v="11802"/>
    <x v="1"/>
    <n v="11802"/>
    <x v="1"/>
    <x v="2"/>
    <x v="4"/>
    <x v="9"/>
    <x v="6"/>
    <x v="1"/>
    <x v="1"/>
    <x v="655"/>
  </r>
  <r>
    <x v="691"/>
    <x v="45"/>
    <x v="6"/>
    <x v="6"/>
    <x v="0"/>
    <x v="0"/>
    <n v="1"/>
    <n v="11196"/>
    <x v="1"/>
    <n v="11196"/>
    <x v="1"/>
    <x v="2"/>
    <x v="3"/>
    <x v="0"/>
    <x v="6"/>
    <x v="1"/>
    <x v="1"/>
    <x v="656"/>
  </r>
  <r>
    <x v="692"/>
    <x v="21"/>
    <x v="11"/>
    <x v="10"/>
    <x v="1"/>
    <x v="1"/>
    <n v="1"/>
    <n v="5448"/>
    <x v="0"/>
    <n v="1816"/>
    <x v="0"/>
    <x v="2"/>
    <x v="2"/>
    <x v="0"/>
    <x v="9"/>
    <x v="1"/>
    <x v="437"/>
    <x v="657"/>
  </r>
  <r>
    <x v="693"/>
    <x v="49"/>
    <x v="12"/>
    <x v="11"/>
    <x v="1"/>
    <x v="1"/>
    <n v="1"/>
    <n v="5665"/>
    <x v="1"/>
    <n v="5664"/>
    <x v="0"/>
    <x v="2"/>
    <x v="4"/>
    <x v="4"/>
    <x v="7"/>
    <x v="0"/>
    <x v="2"/>
    <x v="658"/>
  </r>
  <r>
    <x v="694"/>
    <x v="288"/>
    <x v="1"/>
    <x v="1"/>
    <x v="1"/>
    <x v="1"/>
    <n v="1"/>
    <n v="6859"/>
    <x v="0"/>
    <n v="2286"/>
    <x v="0"/>
    <x v="2"/>
    <x v="2"/>
    <x v="14"/>
    <x v="3"/>
    <x v="0"/>
    <x v="438"/>
    <x v="659"/>
  </r>
  <r>
    <x v="695"/>
    <x v="318"/>
    <x v="1"/>
    <x v="1"/>
    <x v="1"/>
    <x v="1"/>
    <n v="1"/>
    <n v="6048"/>
    <x v="2"/>
    <n v="4032"/>
    <x v="0"/>
    <x v="0"/>
    <x v="5"/>
    <x v="11"/>
    <x v="1"/>
    <x v="1"/>
    <x v="439"/>
    <x v="91"/>
  </r>
  <r>
    <x v="696"/>
    <x v="313"/>
    <x v="8"/>
    <x v="7"/>
    <x v="1"/>
    <x v="1"/>
    <n v="1"/>
    <n v="14633"/>
    <x v="0"/>
    <n v="4877"/>
    <x v="0"/>
    <x v="2"/>
    <x v="5"/>
    <x v="1"/>
    <x v="9"/>
    <x v="1"/>
    <x v="440"/>
    <x v="660"/>
  </r>
  <r>
    <x v="697"/>
    <x v="237"/>
    <x v="3"/>
    <x v="3"/>
    <x v="1"/>
    <x v="1"/>
    <n v="1"/>
    <n v="6590"/>
    <x v="0"/>
    <n v="2196"/>
    <x v="0"/>
    <x v="2"/>
    <x v="1"/>
    <x v="10"/>
    <x v="4"/>
    <x v="1"/>
    <x v="441"/>
    <x v="661"/>
  </r>
  <r>
    <x v="698"/>
    <x v="225"/>
    <x v="1"/>
    <x v="1"/>
    <x v="1"/>
    <x v="1"/>
    <n v="1"/>
    <n v="5601"/>
    <x v="1"/>
    <n v="5601"/>
    <x v="1"/>
    <x v="2"/>
    <x v="5"/>
    <x v="5"/>
    <x v="9"/>
    <x v="0"/>
    <x v="1"/>
    <x v="662"/>
  </r>
  <r>
    <x v="699"/>
    <x v="148"/>
    <x v="10"/>
    <x v="9"/>
    <x v="0"/>
    <x v="0"/>
    <n v="1"/>
    <n v="5465"/>
    <x v="2"/>
    <n v="3642"/>
    <x v="0"/>
    <x v="0"/>
    <x v="2"/>
    <x v="6"/>
    <x v="3"/>
    <x v="0"/>
    <x v="442"/>
    <x v="663"/>
  </r>
  <r>
    <x v="700"/>
    <x v="200"/>
    <x v="11"/>
    <x v="10"/>
    <x v="0"/>
    <x v="0"/>
    <n v="1"/>
    <n v="4222"/>
    <x v="1"/>
    <n v="4221"/>
    <x v="0"/>
    <x v="0"/>
    <x v="5"/>
    <x v="6"/>
    <x v="4"/>
    <x v="0"/>
    <x v="2"/>
    <x v="664"/>
  </r>
  <r>
    <x v="701"/>
    <x v="319"/>
    <x v="5"/>
    <x v="5"/>
    <x v="1"/>
    <x v="1"/>
    <n v="1"/>
    <n v="5633"/>
    <x v="0"/>
    <n v="1877"/>
    <x v="0"/>
    <x v="2"/>
    <x v="0"/>
    <x v="8"/>
    <x v="3"/>
    <x v="0"/>
    <x v="443"/>
    <x v="665"/>
  </r>
  <r>
    <x v="702"/>
    <x v="135"/>
    <x v="10"/>
    <x v="9"/>
    <x v="1"/>
    <x v="1"/>
    <n v="1"/>
    <n v="7159"/>
    <x v="0"/>
    <n v="2386"/>
    <x v="0"/>
    <x v="2"/>
    <x v="0"/>
    <x v="5"/>
    <x v="9"/>
    <x v="1"/>
    <x v="444"/>
    <x v="666"/>
  </r>
  <r>
    <x v="703"/>
    <x v="276"/>
    <x v="1"/>
    <x v="1"/>
    <x v="0"/>
    <x v="0"/>
    <n v="1"/>
    <n v="6371"/>
    <x v="0"/>
    <n v="2123"/>
    <x v="0"/>
    <x v="1"/>
    <x v="5"/>
    <x v="3"/>
    <x v="4"/>
    <x v="0"/>
    <x v="445"/>
    <x v="667"/>
  </r>
  <r>
    <x v="704"/>
    <x v="215"/>
    <x v="1"/>
    <x v="1"/>
    <x v="1"/>
    <x v="1"/>
    <n v="1"/>
    <n v="5363"/>
    <x v="0"/>
    <n v="1787"/>
    <x v="0"/>
    <x v="1"/>
    <x v="1"/>
    <x v="7"/>
    <x v="4"/>
    <x v="0"/>
    <x v="446"/>
    <x v="668"/>
  </r>
  <r>
    <x v="705"/>
    <x v="320"/>
    <x v="7"/>
    <x v="6"/>
    <x v="1"/>
    <x v="1"/>
    <n v="1"/>
    <n v="8960"/>
    <x v="0"/>
    <n v="2986"/>
    <x v="0"/>
    <x v="2"/>
    <x v="2"/>
    <x v="12"/>
    <x v="3"/>
    <x v="0"/>
    <x v="447"/>
    <x v="669"/>
  </r>
  <r>
    <x v="706"/>
    <x v="232"/>
    <x v="10"/>
    <x v="9"/>
    <x v="0"/>
    <x v="0"/>
    <n v="1"/>
    <n v="7550"/>
    <x v="0"/>
    <n v="2516"/>
    <x v="0"/>
    <x v="0"/>
    <x v="1"/>
    <x v="6"/>
    <x v="3"/>
    <x v="0"/>
    <x v="448"/>
    <x v="670"/>
  </r>
  <r>
    <x v="707"/>
    <x v="71"/>
    <x v="0"/>
    <x v="0"/>
    <x v="0"/>
    <x v="0"/>
    <n v="1"/>
    <n v="4854"/>
    <x v="0"/>
    <n v="1618"/>
    <x v="0"/>
    <x v="2"/>
    <x v="0"/>
    <x v="7"/>
    <x v="4"/>
    <x v="1"/>
    <x v="449"/>
    <x v="671"/>
  </r>
  <r>
    <x v="708"/>
    <x v="227"/>
    <x v="13"/>
    <x v="9"/>
    <x v="0"/>
    <x v="0"/>
    <n v="1"/>
    <n v="4684"/>
    <x v="1"/>
    <n v="4683"/>
    <x v="0"/>
    <x v="1"/>
    <x v="0"/>
    <x v="6"/>
    <x v="5"/>
    <x v="1"/>
    <x v="2"/>
    <x v="672"/>
  </r>
  <r>
    <x v="709"/>
    <x v="321"/>
    <x v="11"/>
    <x v="10"/>
    <x v="0"/>
    <x v="0"/>
    <n v="1"/>
    <n v="4814"/>
    <x v="0"/>
    <n v="1604"/>
    <x v="0"/>
    <x v="2"/>
    <x v="3"/>
    <x v="10"/>
    <x v="3"/>
    <x v="1"/>
    <x v="450"/>
    <x v="673"/>
  </r>
  <r>
    <x v="710"/>
    <x v="194"/>
    <x v="3"/>
    <x v="3"/>
    <x v="1"/>
    <x v="1"/>
    <n v="1"/>
    <n v="6740"/>
    <x v="0"/>
    <n v="2246"/>
    <x v="0"/>
    <x v="1"/>
    <x v="0"/>
    <x v="4"/>
    <x v="0"/>
    <x v="0"/>
    <x v="260"/>
    <x v="674"/>
  </r>
  <r>
    <x v="711"/>
    <x v="10"/>
    <x v="12"/>
    <x v="11"/>
    <x v="1"/>
    <x v="1"/>
    <n v="1"/>
    <n v="7872"/>
    <x v="1"/>
    <n v="7872"/>
    <x v="1"/>
    <x v="1"/>
    <x v="5"/>
    <x v="1"/>
    <x v="6"/>
    <x v="1"/>
    <x v="1"/>
    <x v="675"/>
  </r>
  <r>
    <x v="712"/>
    <x v="159"/>
    <x v="6"/>
    <x v="6"/>
    <x v="1"/>
    <x v="1"/>
    <n v="1"/>
    <n v="7002"/>
    <x v="0"/>
    <n v="2334"/>
    <x v="0"/>
    <x v="2"/>
    <x v="1"/>
    <x v="3"/>
    <x v="4"/>
    <x v="0"/>
    <x v="9"/>
    <x v="676"/>
  </r>
  <r>
    <x v="713"/>
    <x v="294"/>
    <x v="0"/>
    <x v="0"/>
    <x v="0"/>
    <x v="0"/>
    <n v="1"/>
    <n v="6805"/>
    <x v="0"/>
    <n v="2268"/>
    <x v="0"/>
    <x v="0"/>
    <x v="2"/>
    <x v="0"/>
    <x v="3"/>
    <x v="1"/>
    <x v="384"/>
    <x v="205"/>
  </r>
  <r>
    <x v="714"/>
    <x v="322"/>
    <x v="2"/>
    <x v="2"/>
    <x v="0"/>
    <x v="0"/>
    <n v="1"/>
    <n v="6858"/>
    <x v="1"/>
    <n v="6858"/>
    <x v="1"/>
    <x v="1"/>
    <x v="2"/>
    <x v="6"/>
    <x v="4"/>
    <x v="1"/>
    <x v="1"/>
    <x v="677"/>
  </r>
  <r>
    <x v="715"/>
    <x v="137"/>
    <x v="5"/>
    <x v="5"/>
    <x v="1"/>
    <x v="1"/>
    <n v="1"/>
    <n v="4260"/>
    <x v="2"/>
    <n v="2840"/>
    <x v="0"/>
    <x v="2"/>
    <x v="5"/>
    <x v="4"/>
    <x v="9"/>
    <x v="1"/>
    <x v="451"/>
    <x v="678"/>
  </r>
  <r>
    <x v="716"/>
    <x v="301"/>
    <x v="12"/>
    <x v="11"/>
    <x v="0"/>
    <x v="0"/>
    <n v="1"/>
    <n v="5203"/>
    <x v="2"/>
    <n v="3468"/>
    <x v="0"/>
    <x v="0"/>
    <x v="1"/>
    <x v="11"/>
    <x v="2"/>
    <x v="0"/>
    <x v="452"/>
    <x v="679"/>
  </r>
  <r>
    <x v="717"/>
    <x v="78"/>
    <x v="9"/>
    <x v="8"/>
    <x v="0"/>
    <x v="0"/>
    <n v="1"/>
    <n v="10940"/>
    <x v="0"/>
    <n v="3646"/>
    <x v="0"/>
    <x v="0"/>
    <x v="2"/>
    <x v="0"/>
    <x v="6"/>
    <x v="0"/>
    <x v="453"/>
    <x v="680"/>
  </r>
  <r>
    <x v="718"/>
    <x v="53"/>
    <x v="3"/>
    <x v="3"/>
    <x v="1"/>
    <x v="1"/>
    <n v="1"/>
    <n v="7050"/>
    <x v="1"/>
    <n v="7050"/>
    <x v="1"/>
    <x v="1"/>
    <x v="4"/>
    <x v="10"/>
    <x v="4"/>
    <x v="0"/>
    <x v="1"/>
    <x v="681"/>
  </r>
  <r>
    <x v="719"/>
    <x v="246"/>
    <x v="0"/>
    <x v="0"/>
    <x v="1"/>
    <x v="1"/>
    <n v="1"/>
    <n v="5665"/>
    <x v="2"/>
    <n v="3776"/>
    <x v="0"/>
    <x v="2"/>
    <x v="5"/>
    <x v="6"/>
    <x v="9"/>
    <x v="0"/>
    <x v="454"/>
    <x v="682"/>
  </r>
  <r>
    <x v="720"/>
    <x v="148"/>
    <x v="13"/>
    <x v="9"/>
    <x v="1"/>
    <x v="1"/>
    <n v="1"/>
    <n v="4989"/>
    <x v="1"/>
    <n v="4989"/>
    <x v="1"/>
    <x v="2"/>
    <x v="4"/>
    <x v="13"/>
    <x v="8"/>
    <x v="1"/>
    <x v="1"/>
    <x v="683"/>
  </r>
  <r>
    <x v="721"/>
    <x v="323"/>
    <x v="3"/>
    <x v="3"/>
    <x v="0"/>
    <x v="0"/>
    <n v="1"/>
    <n v="4266"/>
    <x v="1"/>
    <n v="4266"/>
    <x v="1"/>
    <x v="1"/>
    <x v="5"/>
    <x v="2"/>
    <x v="7"/>
    <x v="1"/>
    <x v="1"/>
    <x v="524"/>
  </r>
  <r>
    <x v="722"/>
    <x v="287"/>
    <x v="2"/>
    <x v="2"/>
    <x v="0"/>
    <x v="0"/>
    <n v="1"/>
    <n v="6576"/>
    <x v="2"/>
    <n v="4384"/>
    <x v="0"/>
    <x v="2"/>
    <x v="3"/>
    <x v="4"/>
    <x v="3"/>
    <x v="0"/>
    <x v="455"/>
    <x v="529"/>
  </r>
  <r>
    <x v="723"/>
    <x v="74"/>
    <x v="10"/>
    <x v="9"/>
    <x v="1"/>
    <x v="1"/>
    <n v="1"/>
    <n v="6324"/>
    <x v="2"/>
    <n v="4216"/>
    <x v="0"/>
    <x v="2"/>
    <x v="5"/>
    <x v="14"/>
    <x v="2"/>
    <x v="1"/>
    <x v="456"/>
    <x v="684"/>
  </r>
  <r>
    <x v="724"/>
    <x v="324"/>
    <x v="4"/>
    <x v="4"/>
    <x v="1"/>
    <x v="1"/>
    <n v="1"/>
    <n v="5751"/>
    <x v="1"/>
    <n v="5751"/>
    <x v="1"/>
    <x v="1"/>
    <x v="4"/>
    <x v="9"/>
    <x v="5"/>
    <x v="1"/>
    <x v="1"/>
    <x v="685"/>
  </r>
  <r>
    <x v="725"/>
    <x v="196"/>
    <x v="5"/>
    <x v="5"/>
    <x v="1"/>
    <x v="1"/>
    <n v="1"/>
    <n v="5381"/>
    <x v="2"/>
    <n v="3586"/>
    <x v="0"/>
    <x v="1"/>
    <x v="5"/>
    <x v="8"/>
    <x v="8"/>
    <x v="0"/>
    <x v="457"/>
    <x v="686"/>
  </r>
  <r>
    <x v="726"/>
    <x v="275"/>
    <x v="4"/>
    <x v="4"/>
    <x v="0"/>
    <x v="0"/>
    <n v="1"/>
    <n v="5438"/>
    <x v="1"/>
    <n v="5436"/>
    <x v="0"/>
    <x v="2"/>
    <x v="5"/>
    <x v="1"/>
    <x v="1"/>
    <x v="1"/>
    <x v="4"/>
    <x v="687"/>
  </r>
  <r>
    <x v="727"/>
    <x v="325"/>
    <x v="6"/>
    <x v="6"/>
    <x v="1"/>
    <x v="1"/>
    <n v="1"/>
    <n v="7404"/>
    <x v="1"/>
    <n v="7404"/>
    <x v="1"/>
    <x v="2"/>
    <x v="4"/>
    <x v="4"/>
    <x v="7"/>
    <x v="0"/>
    <x v="1"/>
    <x v="688"/>
  </r>
  <r>
    <x v="728"/>
    <x v="155"/>
    <x v="12"/>
    <x v="11"/>
    <x v="1"/>
    <x v="1"/>
    <n v="1"/>
    <n v="5504"/>
    <x v="2"/>
    <n v="3668"/>
    <x v="0"/>
    <x v="0"/>
    <x v="2"/>
    <x v="5"/>
    <x v="9"/>
    <x v="1"/>
    <x v="458"/>
    <x v="689"/>
  </r>
  <r>
    <x v="729"/>
    <x v="326"/>
    <x v="7"/>
    <x v="6"/>
    <x v="0"/>
    <x v="0"/>
    <n v="1"/>
    <n v="10998"/>
    <x v="1"/>
    <n v="10998"/>
    <x v="1"/>
    <x v="1"/>
    <x v="2"/>
    <x v="11"/>
    <x v="5"/>
    <x v="0"/>
    <x v="1"/>
    <x v="690"/>
  </r>
  <r>
    <x v="730"/>
    <x v="125"/>
    <x v="9"/>
    <x v="8"/>
    <x v="1"/>
    <x v="1"/>
    <n v="1"/>
    <n v="11031"/>
    <x v="0"/>
    <n v="3677"/>
    <x v="0"/>
    <x v="0"/>
    <x v="5"/>
    <x v="8"/>
    <x v="7"/>
    <x v="0"/>
    <x v="459"/>
    <x v="691"/>
  </r>
  <r>
    <x v="731"/>
    <x v="152"/>
    <x v="4"/>
    <x v="4"/>
    <x v="1"/>
    <x v="1"/>
    <n v="1"/>
    <n v="6745"/>
    <x v="0"/>
    <n v="2248"/>
    <x v="0"/>
    <x v="0"/>
    <x v="3"/>
    <x v="2"/>
    <x v="0"/>
    <x v="1"/>
    <x v="460"/>
    <x v="172"/>
  </r>
  <r>
    <x v="732"/>
    <x v="287"/>
    <x v="5"/>
    <x v="5"/>
    <x v="1"/>
    <x v="1"/>
    <n v="1"/>
    <n v="5558"/>
    <x v="2"/>
    <n v="3704"/>
    <x v="0"/>
    <x v="0"/>
    <x v="2"/>
    <x v="14"/>
    <x v="2"/>
    <x v="1"/>
    <x v="461"/>
    <x v="313"/>
  </r>
  <r>
    <x v="733"/>
    <x v="140"/>
    <x v="12"/>
    <x v="11"/>
    <x v="0"/>
    <x v="0"/>
    <n v="1"/>
    <n v="5813"/>
    <x v="0"/>
    <n v="1937"/>
    <x v="0"/>
    <x v="0"/>
    <x v="3"/>
    <x v="10"/>
    <x v="1"/>
    <x v="0"/>
    <x v="462"/>
    <x v="692"/>
  </r>
  <r>
    <x v="734"/>
    <x v="306"/>
    <x v="4"/>
    <x v="4"/>
    <x v="0"/>
    <x v="0"/>
    <n v="1"/>
    <n v="6432"/>
    <x v="0"/>
    <n v="2144"/>
    <x v="0"/>
    <x v="2"/>
    <x v="3"/>
    <x v="3"/>
    <x v="5"/>
    <x v="1"/>
    <x v="463"/>
    <x v="693"/>
  </r>
  <r>
    <x v="735"/>
    <x v="327"/>
    <x v="13"/>
    <x v="9"/>
    <x v="0"/>
    <x v="0"/>
    <n v="1"/>
    <n v="3761"/>
    <x v="0"/>
    <n v="1253"/>
    <x v="0"/>
    <x v="0"/>
    <x v="3"/>
    <x v="14"/>
    <x v="3"/>
    <x v="1"/>
    <x v="464"/>
    <x v="694"/>
  </r>
  <r>
    <x v="736"/>
    <x v="69"/>
    <x v="6"/>
    <x v="6"/>
    <x v="0"/>
    <x v="0"/>
    <n v="1"/>
    <n v="7380"/>
    <x v="0"/>
    <n v="2460"/>
    <x v="0"/>
    <x v="2"/>
    <x v="4"/>
    <x v="12"/>
    <x v="5"/>
    <x v="1"/>
    <x v="465"/>
    <x v="695"/>
  </r>
  <r>
    <x v="737"/>
    <x v="5"/>
    <x v="1"/>
    <x v="1"/>
    <x v="0"/>
    <x v="0"/>
    <n v="1"/>
    <n v="4968"/>
    <x v="0"/>
    <n v="1656"/>
    <x v="0"/>
    <x v="2"/>
    <x v="1"/>
    <x v="2"/>
    <x v="1"/>
    <x v="1"/>
    <x v="466"/>
    <x v="696"/>
  </r>
  <r>
    <x v="738"/>
    <x v="213"/>
    <x v="5"/>
    <x v="5"/>
    <x v="0"/>
    <x v="0"/>
    <n v="1"/>
    <n v="5818"/>
    <x v="0"/>
    <n v="1939"/>
    <x v="0"/>
    <x v="2"/>
    <x v="3"/>
    <x v="9"/>
    <x v="7"/>
    <x v="1"/>
    <x v="467"/>
    <x v="697"/>
  </r>
  <r>
    <x v="739"/>
    <x v="58"/>
    <x v="9"/>
    <x v="8"/>
    <x v="0"/>
    <x v="0"/>
    <n v="1"/>
    <n v="11000"/>
    <x v="1"/>
    <n v="10998"/>
    <x v="0"/>
    <x v="1"/>
    <x v="4"/>
    <x v="7"/>
    <x v="8"/>
    <x v="1"/>
    <x v="4"/>
    <x v="690"/>
  </r>
  <r>
    <x v="740"/>
    <x v="198"/>
    <x v="2"/>
    <x v="2"/>
    <x v="0"/>
    <x v="0"/>
    <n v="1"/>
    <n v="6668"/>
    <x v="2"/>
    <n v="4444"/>
    <x v="0"/>
    <x v="0"/>
    <x v="0"/>
    <x v="9"/>
    <x v="0"/>
    <x v="1"/>
    <x v="468"/>
    <x v="698"/>
  </r>
  <r>
    <x v="741"/>
    <x v="328"/>
    <x v="10"/>
    <x v="9"/>
    <x v="0"/>
    <x v="0"/>
    <n v="1"/>
    <n v="4616"/>
    <x v="0"/>
    <n v="1538"/>
    <x v="0"/>
    <x v="0"/>
    <x v="5"/>
    <x v="6"/>
    <x v="2"/>
    <x v="0"/>
    <x v="469"/>
    <x v="699"/>
  </r>
  <r>
    <x v="742"/>
    <x v="82"/>
    <x v="1"/>
    <x v="1"/>
    <x v="0"/>
    <x v="0"/>
    <n v="1"/>
    <n v="6241"/>
    <x v="0"/>
    <n v="2080"/>
    <x v="0"/>
    <x v="0"/>
    <x v="3"/>
    <x v="4"/>
    <x v="2"/>
    <x v="1"/>
    <x v="470"/>
    <x v="616"/>
  </r>
  <r>
    <x v="743"/>
    <x v="128"/>
    <x v="0"/>
    <x v="0"/>
    <x v="0"/>
    <x v="0"/>
    <n v="1"/>
    <n v="6843"/>
    <x v="0"/>
    <n v="2281"/>
    <x v="0"/>
    <x v="2"/>
    <x v="3"/>
    <x v="3"/>
    <x v="9"/>
    <x v="0"/>
    <x v="471"/>
    <x v="700"/>
  </r>
  <r>
    <x v="744"/>
    <x v="32"/>
    <x v="0"/>
    <x v="0"/>
    <x v="1"/>
    <x v="1"/>
    <n v="1"/>
    <n v="4764"/>
    <x v="1"/>
    <n v="4764"/>
    <x v="1"/>
    <x v="1"/>
    <x v="1"/>
    <x v="8"/>
    <x v="0"/>
    <x v="0"/>
    <x v="1"/>
    <x v="119"/>
  </r>
  <r>
    <x v="745"/>
    <x v="329"/>
    <x v="13"/>
    <x v="9"/>
    <x v="1"/>
    <x v="1"/>
    <n v="1"/>
    <n v="3274"/>
    <x v="2"/>
    <n v="2182"/>
    <x v="0"/>
    <x v="1"/>
    <x v="1"/>
    <x v="3"/>
    <x v="2"/>
    <x v="0"/>
    <x v="472"/>
    <x v="701"/>
  </r>
  <r>
    <x v="746"/>
    <x v="206"/>
    <x v="1"/>
    <x v="1"/>
    <x v="1"/>
    <x v="1"/>
    <n v="1"/>
    <n v="6198"/>
    <x v="0"/>
    <n v="2066"/>
    <x v="0"/>
    <x v="0"/>
    <x v="1"/>
    <x v="14"/>
    <x v="5"/>
    <x v="1"/>
    <x v="473"/>
    <x v="702"/>
  </r>
  <r>
    <x v="747"/>
    <x v="308"/>
    <x v="9"/>
    <x v="8"/>
    <x v="1"/>
    <x v="1"/>
    <n v="1"/>
    <n v="9226"/>
    <x v="1"/>
    <n v="9225"/>
    <x v="0"/>
    <x v="1"/>
    <x v="3"/>
    <x v="5"/>
    <x v="6"/>
    <x v="0"/>
    <x v="2"/>
    <x v="703"/>
  </r>
  <r>
    <x v="748"/>
    <x v="330"/>
    <x v="6"/>
    <x v="6"/>
    <x v="1"/>
    <x v="1"/>
    <n v="1"/>
    <n v="9722"/>
    <x v="1"/>
    <n v="9720"/>
    <x v="0"/>
    <x v="0"/>
    <x v="5"/>
    <x v="0"/>
    <x v="2"/>
    <x v="0"/>
    <x v="4"/>
    <x v="704"/>
  </r>
  <r>
    <x v="749"/>
    <x v="92"/>
    <x v="8"/>
    <x v="7"/>
    <x v="1"/>
    <x v="1"/>
    <n v="1"/>
    <n v="12372"/>
    <x v="0"/>
    <n v="4124"/>
    <x v="0"/>
    <x v="1"/>
    <x v="5"/>
    <x v="2"/>
    <x v="1"/>
    <x v="1"/>
    <x v="474"/>
    <x v="705"/>
  </r>
  <r>
    <x v="750"/>
    <x v="98"/>
    <x v="5"/>
    <x v="5"/>
    <x v="0"/>
    <x v="0"/>
    <n v="1"/>
    <n v="4550"/>
    <x v="0"/>
    <n v="1516"/>
    <x v="0"/>
    <x v="2"/>
    <x v="4"/>
    <x v="13"/>
    <x v="8"/>
    <x v="1"/>
    <x v="475"/>
    <x v="706"/>
  </r>
  <r>
    <x v="751"/>
    <x v="296"/>
    <x v="9"/>
    <x v="8"/>
    <x v="0"/>
    <x v="0"/>
    <n v="1"/>
    <n v="13996"/>
    <x v="0"/>
    <n v="4665"/>
    <x v="0"/>
    <x v="2"/>
    <x v="5"/>
    <x v="1"/>
    <x v="3"/>
    <x v="0"/>
    <x v="476"/>
    <x v="707"/>
  </r>
  <r>
    <x v="752"/>
    <x v="220"/>
    <x v="13"/>
    <x v="9"/>
    <x v="0"/>
    <x v="0"/>
    <n v="1"/>
    <n v="4562"/>
    <x v="2"/>
    <n v="3040"/>
    <x v="0"/>
    <x v="2"/>
    <x v="1"/>
    <x v="11"/>
    <x v="7"/>
    <x v="1"/>
    <x v="90"/>
    <x v="708"/>
  </r>
  <r>
    <x v="753"/>
    <x v="236"/>
    <x v="1"/>
    <x v="1"/>
    <x v="1"/>
    <x v="1"/>
    <n v="1"/>
    <n v="6940"/>
    <x v="0"/>
    <n v="2313"/>
    <x v="0"/>
    <x v="1"/>
    <x v="3"/>
    <x v="1"/>
    <x v="1"/>
    <x v="0"/>
    <x v="477"/>
    <x v="709"/>
  </r>
  <r>
    <x v="754"/>
    <x v="32"/>
    <x v="2"/>
    <x v="2"/>
    <x v="1"/>
    <x v="1"/>
    <n v="1"/>
    <n v="5097"/>
    <x v="2"/>
    <n v="3398"/>
    <x v="0"/>
    <x v="1"/>
    <x v="2"/>
    <x v="11"/>
    <x v="4"/>
    <x v="0"/>
    <x v="478"/>
    <x v="710"/>
  </r>
  <r>
    <x v="755"/>
    <x v="78"/>
    <x v="12"/>
    <x v="11"/>
    <x v="0"/>
    <x v="0"/>
    <n v="1"/>
    <n v="7586"/>
    <x v="2"/>
    <n v="5056"/>
    <x v="0"/>
    <x v="2"/>
    <x v="2"/>
    <x v="8"/>
    <x v="0"/>
    <x v="1"/>
    <x v="479"/>
    <x v="711"/>
  </r>
  <r>
    <x v="756"/>
    <x v="248"/>
    <x v="12"/>
    <x v="11"/>
    <x v="0"/>
    <x v="0"/>
    <n v="1"/>
    <n v="6055"/>
    <x v="0"/>
    <n v="2018"/>
    <x v="0"/>
    <x v="2"/>
    <x v="4"/>
    <x v="0"/>
    <x v="1"/>
    <x v="1"/>
    <x v="480"/>
    <x v="712"/>
  </r>
  <r>
    <x v="757"/>
    <x v="21"/>
    <x v="2"/>
    <x v="2"/>
    <x v="1"/>
    <x v="1"/>
    <n v="1"/>
    <n v="7072"/>
    <x v="0"/>
    <n v="2357"/>
    <x v="0"/>
    <x v="2"/>
    <x v="1"/>
    <x v="14"/>
    <x v="4"/>
    <x v="0"/>
    <x v="481"/>
    <x v="713"/>
  </r>
  <r>
    <x v="758"/>
    <x v="209"/>
    <x v="7"/>
    <x v="6"/>
    <x v="1"/>
    <x v="1"/>
    <n v="1"/>
    <n v="10708"/>
    <x v="0"/>
    <n v="3569"/>
    <x v="0"/>
    <x v="0"/>
    <x v="2"/>
    <x v="11"/>
    <x v="2"/>
    <x v="0"/>
    <x v="482"/>
    <x v="714"/>
  </r>
  <r>
    <x v="759"/>
    <x v="116"/>
    <x v="0"/>
    <x v="0"/>
    <x v="0"/>
    <x v="0"/>
    <n v="1"/>
    <n v="4792"/>
    <x v="2"/>
    <n v="3194"/>
    <x v="0"/>
    <x v="1"/>
    <x v="1"/>
    <x v="11"/>
    <x v="5"/>
    <x v="0"/>
    <x v="271"/>
    <x v="400"/>
  </r>
  <r>
    <x v="760"/>
    <x v="62"/>
    <x v="3"/>
    <x v="3"/>
    <x v="1"/>
    <x v="1"/>
    <n v="1"/>
    <n v="5026"/>
    <x v="0"/>
    <n v="1675"/>
    <x v="0"/>
    <x v="2"/>
    <x v="2"/>
    <x v="13"/>
    <x v="3"/>
    <x v="0"/>
    <x v="483"/>
    <x v="715"/>
  </r>
  <r>
    <x v="761"/>
    <x v="36"/>
    <x v="12"/>
    <x v="11"/>
    <x v="0"/>
    <x v="0"/>
    <n v="1"/>
    <n v="8610"/>
    <x v="1"/>
    <n v="8610"/>
    <x v="1"/>
    <x v="1"/>
    <x v="1"/>
    <x v="8"/>
    <x v="9"/>
    <x v="1"/>
    <x v="1"/>
    <x v="716"/>
  </r>
  <r>
    <x v="762"/>
    <x v="215"/>
    <x v="3"/>
    <x v="3"/>
    <x v="1"/>
    <x v="1"/>
    <n v="1"/>
    <n v="4326"/>
    <x v="1"/>
    <n v="4326"/>
    <x v="1"/>
    <x v="0"/>
    <x v="2"/>
    <x v="2"/>
    <x v="7"/>
    <x v="0"/>
    <x v="1"/>
    <x v="717"/>
  </r>
  <r>
    <x v="763"/>
    <x v="321"/>
    <x v="13"/>
    <x v="9"/>
    <x v="0"/>
    <x v="0"/>
    <n v="1"/>
    <n v="3365"/>
    <x v="1"/>
    <n v="3363"/>
    <x v="0"/>
    <x v="0"/>
    <x v="4"/>
    <x v="11"/>
    <x v="3"/>
    <x v="0"/>
    <x v="4"/>
    <x v="718"/>
  </r>
  <r>
    <x v="764"/>
    <x v="289"/>
    <x v="3"/>
    <x v="3"/>
    <x v="1"/>
    <x v="1"/>
    <n v="1"/>
    <n v="6116"/>
    <x v="0"/>
    <n v="2038"/>
    <x v="0"/>
    <x v="0"/>
    <x v="2"/>
    <x v="7"/>
    <x v="3"/>
    <x v="0"/>
    <x v="484"/>
    <x v="719"/>
  </r>
  <r>
    <x v="765"/>
    <x v="220"/>
    <x v="9"/>
    <x v="8"/>
    <x v="1"/>
    <x v="1"/>
    <n v="1"/>
    <n v="8070"/>
    <x v="2"/>
    <n v="5380"/>
    <x v="0"/>
    <x v="1"/>
    <x v="2"/>
    <x v="4"/>
    <x v="5"/>
    <x v="0"/>
    <x v="485"/>
    <x v="720"/>
  </r>
  <r>
    <x v="766"/>
    <x v="24"/>
    <x v="0"/>
    <x v="0"/>
    <x v="0"/>
    <x v="0"/>
    <n v="1"/>
    <n v="6174"/>
    <x v="0"/>
    <n v="2058"/>
    <x v="0"/>
    <x v="2"/>
    <x v="3"/>
    <x v="12"/>
    <x v="8"/>
    <x v="1"/>
    <x v="486"/>
    <x v="721"/>
  </r>
  <r>
    <x v="767"/>
    <x v="112"/>
    <x v="7"/>
    <x v="6"/>
    <x v="0"/>
    <x v="0"/>
    <n v="1"/>
    <n v="7478"/>
    <x v="0"/>
    <n v="2492"/>
    <x v="0"/>
    <x v="1"/>
    <x v="1"/>
    <x v="8"/>
    <x v="5"/>
    <x v="1"/>
    <x v="487"/>
    <x v="722"/>
  </r>
  <r>
    <x v="768"/>
    <x v="110"/>
    <x v="0"/>
    <x v="0"/>
    <x v="0"/>
    <x v="0"/>
    <n v="1"/>
    <n v="6699"/>
    <x v="1"/>
    <n v="6699"/>
    <x v="1"/>
    <x v="2"/>
    <x v="0"/>
    <x v="0"/>
    <x v="1"/>
    <x v="0"/>
    <x v="1"/>
    <x v="723"/>
  </r>
  <r>
    <x v="769"/>
    <x v="331"/>
    <x v="0"/>
    <x v="0"/>
    <x v="1"/>
    <x v="1"/>
    <n v="1"/>
    <n v="4245"/>
    <x v="2"/>
    <n v="2830"/>
    <x v="0"/>
    <x v="0"/>
    <x v="4"/>
    <x v="0"/>
    <x v="2"/>
    <x v="0"/>
    <x v="488"/>
    <x v="724"/>
  </r>
  <r>
    <x v="770"/>
    <x v="263"/>
    <x v="12"/>
    <x v="11"/>
    <x v="1"/>
    <x v="1"/>
    <n v="1"/>
    <n v="6855"/>
    <x v="0"/>
    <n v="2285"/>
    <x v="0"/>
    <x v="0"/>
    <x v="0"/>
    <x v="9"/>
    <x v="7"/>
    <x v="1"/>
    <x v="489"/>
    <x v="456"/>
  </r>
  <r>
    <x v="771"/>
    <x v="206"/>
    <x v="10"/>
    <x v="9"/>
    <x v="0"/>
    <x v="0"/>
    <n v="1"/>
    <n v="5245"/>
    <x v="0"/>
    <n v="1748"/>
    <x v="0"/>
    <x v="0"/>
    <x v="2"/>
    <x v="10"/>
    <x v="6"/>
    <x v="0"/>
    <x v="279"/>
    <x v="84"/>
  </r>
  <r>
    <x v="772"/>
    <x v="332"/>
    <x v="6"/>
    <x v="6"/>
    <x v="0"/>
    <x v="0"/>
    <n v="1"/>
    <n v="9286"/>
    <x v="1"/>
    <n v="9285"/>
    <x v="0"/>
    <x v="0"/>
    <x v="1"/>
    <x v="11"/>
    <x v="5"/>
    <x v="0"/>
    <x v="2"/>
    <x v="725"/>
  </r>
  <r>
    <x v="773"/>
    <x v="207"/>
    <x v="7"/>
    <x v="6"/>
    <x v="0"/>
    <x v="0"/>
    <n v="1"/>
    <n v="8895"/>
    <x v="2"/>
    <n v="5930"/>
    <x v="0"/>
    <x v="0"/>
    <x v="0"/>
    <x v="12"/>
    <x v="0"/>
    <x v="0"/>
    <x v="490"/>
    <x v="419"/>
  </r>
  <r>
    <x v="774"/>
    <x v="283"/>
    <x v="4"/>
    <x v="4"/>
    <x v="1"/>
    <x v="1"/>
    <n v="1"/>
    <n v="6666"/>
    <x v="0"/>
    <n v="2222"/>
    <x v="0"/>
    <x v="2"/>
    <x v="4"/>
    <x v="10"/>
    <x v="9"/>
    <x v="1"/>
    <x v="491"/>
    <x v="726"/>
  </r>
  <r>
    <x v="775"/>
    <x v="218"/>
    <x v="7"/>
    <x v="6"/>
    <x v="1"/>
    <x v="1"/>
    <n v="1"/>
    <n v="9988"/>
    <x v="0"/>
    <n v="3329"/>
    <x v="0"/>
    <x v="0"/>
    <x v="1"/>
    <x v="5"/>
    <x v="4"/>
    <x v="1"/>
    <x v="492"/>
    <x v="727"/>
  </r>
  <r>
    <x v="776"/>
    <x v="41"/>
    <x v="4"/>
    <x v="4"/>
    <x v="0"/>
    <x v="0"/>
    <n v="1"/>
    <n v="6191"/>
    <x v="1"/>
    <n v="6189"/>
    <x v="0"/>
    <x v="0"/>
    <x v="0"/>
    <x v="8"/>
    <x v="7"/>
    <x v="0"/>
    <x v="4"/>
    <x v="728"/>
  </r>
  <r>
    <x v="777"/>
    <x v="250"/>
    <x v="13"/>
    <x v="9"/>
    <x v="1"/>
    <x v="1"/>
    <n v="1"/>
    <n v="3163"/>
    <x v="1"/>
    <n v="3162"/>
    <x v="0"/>
    <x v="2"/>
    <x v="5"/>
    <x v="8"/>
    <x v="8"/>
    <x v="0"/>
    <x v="2"/>
    <x v="729"/>
  </r>
  <r>
    <x v="778"/>
    <x v="24"/>
    <x v="12"/>
    <x v="11"/>
    <x v="0"/>
    <x v="0"/>
    <n v="1"/>
    <n v="7566"/>
    <x v="0"/>
    <n v="2522"/>
    <x v="0"/>
    <x v="2"/>
    <x v="1"/>
    <x v="2"/>
    <x v="9"/>
    <x v="0"/>
    <x v="493"/>
    <x v="730"/>
  </r>
  <r>
    <x v="779"/>
    <x v="245"/>
    <x v="9"/>
    <x v="8"/>
    <x v="1"/>
    <x v="1"/>
    <n v="1"/>
    <n v="14959"/>
    <x v="0"/>
    <n v="4986"/>
    <x v="0"/>
    <x v="2"/>
    <x v="2"/>
    <x v="6"/>
    <x v="6"/>
    <x v="1"/>
    <x v="494"/>
    <x v="18"/>
  </r>
  <r>
    <x v="780"/>
    <x v="11"/>
    <x v="2"/>
    <x v="2"/>
    <x v="1"/>
    <x v="1"/>
    <n v="1"/>
    <n v="7137"/>
    <x v="1"/>
    <n v="7137"/>
    <x v="1"/>
    <x v="2"/>
    <x v="0"/>
    <x v="13"/>
    <x v="3"/>
    <x v="1"/>
    <x v="1"/>
    <x v="731"/>
  </r>
  <r>
    <x v="781"/>
    <x v="210"/>
    <x v="0"/>
    <x v="0"/>
    <x v="1"/>
    <x v="1"/>
    <n v="1"/>
    <n v="6095"/>
    <x v="2"/>
    <n v="4062"/>
    <x v="0"/>
    <x v="1"/>
    <x v="1"/>
    <x v="0"/>
    <x v="2"/>
    <x v="0"/>
    <x v="495"/>
    <x v="732"/>
  </r>
  <r>
    <x v="782"/>
    <x v="267"/>
    <x v="4"/>
    <x v="4"/>
    <x v="1"/>
    <x v="1"/>
    <n v="1"/>
    <n v="4427"/>
    <x v="2"/>
    <n v="2950"/>
    <x v="0"/>
    <x v="1"/>
    <x v="4"/>
    <x v="1"/>
    <x v="3"/>
    <x v="1"/>
    <x v="496"/>
    <x v="733"/>
  </r>
  <r>
    <x v="783"/>
    <x v="220"/>
    <x v="11"/>
    <x v="10"/>
    <x v="1"/>
    <x v="1"/>
    <n v="1"/>
    <n v="5053"/>
    <x v="1"/>
    <n v="5052"/>
    <x v="0"/>
    <x v="0"/>
    <x v="0"/>
    <x v="8"/>
    <x v="7"/>
    <x v="1"/>
    <x v="2"/>
    <x v="734"/>
  </r>
  <r>
    <x v="784"/>
    <x v="28"/>
    <x v="2"/>
    <x v="2"/>
    <x v="1"/>
    <x v="1"/>
    <n v="1"/>
    <n v="7000"/>
    <x v="0"/>
    <n v="2333"/>
    <x v="0"/>
    <x v="0"/>
    <x v="2"/>
    <x v="0"/>
    <x v="2"/>
    <x v="0"/>
    <x v="497"/>
    <x v="461"/>
  </r>
  <r>
    <x v="785"/>
    <x v="226"/>
    <x v="8"/>
    <x v="7"/>
    <x v="1"/>
    <x v="1"/>
    <n v="1"/>
    <n v="9602"/>
    <x v="2"/>
    <n v="6400"/>
    <x v="0"/>
    <x v="1"/>
    <x v="2"/>
    <x v="3"/>
    <x v="8"/>
    <x v="1"/>
    <x v="498"/>
    <x v="735"/>
  </r>
  <r>
    <x v="786"/>
    <x v="251"/>
    <x v="5"/>
    <x v="5"/>
    <x v="0"/>
    <x v="0"/>
    <n v="1"/>
    <n v="5432"/>
    <x v="0"/>
    <n v="1810"/>
    <x v="0"/>
    <x v="2"/>
    <x v="5"/>
    <x v="14"/>
    <x v="3"/>
    <x v="0"/>
    <x v="499"/>
    <x v="736"/>
  </r>
  <r>
    <x v="787"/>
    <x v="312"/>
    <x v="4"/>
    <x v="4"/>
    <x v="0"/>
    <x v="0"/>
    <n v="1"/>
    <n v="5728"/>
    <x v="1"/>
    <n v="5727"/>
    <x v="0"/>
    <x v="1"/>
    <x v="4"/>
    <x v="10"/>
    <x v="7"/>
    <x v="1"/>
    <x v="2"/>
    <x v="737"/>
  </r>
  <r>
    <x v="788"/>
    <x v="65"/>
    <x v="10"/>
    <x v="9"/>
    <x v="1"/>
    <x v="1"/>
    <n v="1"/>
    <n v="5137"/>
    <x v="2"/>
    <n v="3424"/>
    <x v="0"/>
    <x v="2"/>
    <x v="2"/>
    <x v="10"/>
    <x v="0"/>
    <x v="0"/>
    <x v="500"/>
    <x v="738"/>
  </r>
  <r>
    <x v="789"/>
    <x v="204"/>
    <x v="4"/>
    <x v="4"/>
    <x v="1"/>
    <x v="1"/>
    <n v="1"/>
    <n v="6951"/>
    <x v="0"/>
    <n v="2317"/>
    <x v="0"/>
    <x v="1"/>
    <x v="0"/>
    <x v="3"/>
    <x v="4"/>
    <x v="1"/>
    <x v="206"/>
    <x v="309"/>
  </r>
  <r>
    <x v="790"/>
    <x v="303"/>
    <x v="13"/>
    <x v="9"/>
    <x v="0"/>
    <x v="0"/>
    <n v="1"/>
    <n v="3077"/>
    <x v="0"/>
    <n v="1025"/>
    <x v="0"/>
    <x v="0"/>
    <x v="4"/>
    <x v="4"/>
    <x v="8"/>
    <x v="0"/>
    <x v="501"/>
    <x v="739"/>
  </r>
  <r>
    <x v="791"/>
    <x v="329"/>
    <x v="0"/>
    <x v="0"/>
    <x v="1"/>
    <x v="1"/>
    <n v="1"/>
    <n v="5523"/>
    <x v="2"/>
    <n v="3682"/>
    <x v="0"/>
    <x v="0"/>
    <x v="0"/>
    <x v="3"/>
    <x v="7"/>
    <x v="0"/>
    <x v="502"/>
    <x v="740"/>
  </r>
  <r>
    <x v="792"/>
    <x v="295"/>
    <x v="9"/>
    <x v="8"/>
    <x v="0"/>
    <x v="0"/>
    <n v="1"/>
    <n v="10209"/>
    <x v="2"/>
    <n v="6806"/>
    <x v="0"/>
    <x v="1"/>
    <x v="4"/>
    <x v="4"/>
    <x v="0"/>
    <x v="1"/>
    <x v="503"/>
    <x v="741"/>
  </r>
  <r>
    <x v="793"/>
    <x v="155"/>
    <x v="6"/>
    <x v="6"/>
    <x v="0"/>
    <x v="0"/>
    <n v="1"/>
    <n v="8617"/>
    <x v="0"/>
    <n v="2872"/>
    <x v="0"/>
    <x v="1"/>
    <x v="2"/>
    <x v="9"/>
    <x v="5"/>
    <x v="0"/>
    <x v="504"/>
    <x v="742"/>
  </r>
  <r>
    <x v="794"/>
    <x v="333"/>
    <x v="8"/>
    <x v="7"/>
    <x v="0"/>
    <x v="0"/>
    <n v="1"/>
    <n v="14701"/>
    <x v="1"/>
    <n v="14700"/>
    <x v="0"/>
    <x v="0"/>
    <x v="2"/>
    <x v="13"/>
    <x v="1"/>
    <x v="0"/>
    <x v="2"/>
    <x v="743"/>
  </r>
  <r>
    <x v="795"/>
    <x v="219"/>
    <x v="3"/>
    <x v="3"/>
    <x v="0"/>
    <x v="0"/>
    <n v="1"/>
    <n v="5203"/>
    <x v="1"/>
    <n v="5202"/>
    <x v="0"/>
    <x v="1"/>
    <x v="4"/>
    <x v="10"/>
    <x v="1"/>
    <x v="1"/>
    <x v="2"/>
    <x v="167"/>
  </r>
  <r>
    <x v="796"/>
    <x v="334"/>
    <x v="5"/>
    <x v="5"/>
    <x v="1"/>
    <x v="1"/>
    <n v="1"/>
    <n v="4695"/>
    <x v="1"/>
    <n v="4695"/>
    <x v="1"/>
    <x v="1"/>
    <x v="2"/>
    <x v="9"/>
    <x v="7"/>
    <x v="1"/>
    <x v="1"/>
    <x v="744"/>
  </r>
  <r>
    <x v="797"/>
    <x v="313"/>
    <x v="11"/>
    <x v="10"/>
    <x v="0"/>
    <x v="0"/>
    <n v="1"/>
    <n v="5347"/>
    <x v="0"/>
    <n v="1782"/>
    <x v="0"/>
    <x v="0"/>
    <x v="0"/>
    <x v="10"/>
    <x v="4"/>
    <x v="1"/>
    <x v="505"/>
    <x v="745"/>
  </r>
  <r>
    <x v="798"/>
    <x v="277"/>
    <x v="2"/>
    <x v="2"/>
    <x v="0"/>
    <x v="0"/>
    <n v="1"/>
    <n v="4533"/>
    <x v="0"/>
    <n v="1511"/>
    <x v="0"/>
    <x v="1"/>
    <x v="4"/>
    <x v="1"/>
    <x v="5"/>
    <x v="0"/>
    <x v="506"/>
    <x v="746"/>
  </r>
  <r>
    <x v="799"/>
    <x v="212"/>
    <x v="13"/>
    <x v="9"/>
    <x v="1"/>
    <x v="1"/>
    <n v="1"/>
    <n v="3132"/>
    <x v="1"/>
    <n v="3132"/>
    <x v="1"/>
    <x v="1"/>
    <x v="4"/>
    <x v="2"/>
    <x v="0"/>
    <x v="1"/>
    <x v="1"/>
    <x v="650"/>
  </r>
  <r>
    <x v="800"/>
    <x v="334"/>
    <x v="13"/>
    <x v="9"/>
    <x v="1"/>
    <x v="1"/>
    <n v="1"/>
    <n v="4824"/>
    <x v="1"/>
    <n v="4824"/>
    <x v="1"/>
    <x v="1"/>
    <x v="1"/>
    <x v="10"/>
    <x v="8"/>
    <x v="0"/>
    <x v="1"/>
    <x v="629"/>
  </r>
  <r>
    <x v="801"/>
    <x v="285"/>
    <x v="3"/>
    <x v="3"/>
    <x v="0"/>
    <x v="0"/>
    <n v="1"/>
    <n v="5626"/>
    <x v="1"/>
    <n v="5625"/>
    <x v="0"/>
    <x v="0"/>
    <x v="0"/>
    <x v="13"/>
    <x v="7"/>
    <x v="0"/>
    <x v="2"/>
    <x v="747"/>
  </r>
  <r>
    <x v="802"/>
    <x v="195"/>
    <x v="2"/>
    <x v="2"/>
    <x v="1"/>
    <x v="1"/>
    <n v="1"/>
    <n v="5037"/>
    <x v="0"/>
    <n v="1679"/>
    <x v="0"/>
    <x v="1"/>
    <x v="1"/>
    <x v="2"/>
    <x v="2"/>
    <x v="0"/>
    <x v="507"/>
    <x v="748"/>
  </r>
  <r>
    <x v="803"/>
    <x v="248"/>
    <x v="3"/>
    <x v="3"/>
    <x v="0"/>
    <x v="0"/>
    <n v="1"/>
    <n v="5841"/>
    <x v="0"/>
    <n v="1947"/>
    <x v="0"/>
    <x v="1"/>
    <x v="0"/>
    <x v="4"/>
    <x v="5"/>
    <x v="1"/>
    <x v="508"/>
    <x v="749"/>
  </r>
  <r>
    <x v="804"/>
    <x v="58"/>
    <x v="7"/>
    <x v="6"/>
    <x v="0"/>
    <x v="0"/>
    <n v="1"/>
    <n v="10154"/>
    <x v="2"/>
    <n v="6768"/>
    <x v="0"/>
    <x v="2"/>
    <x v="5"/>
    <x v="13"/>
    <x v="2"/>
    <x v="1"/>
    <x v="509"/>
    <x v="750"/>
  </r>
  <r>
    <x v="805"/>
    <x v="128"/>
    <x v="6"/>
    <x v="6"/>
    <x v="1"/>
    <x v="1"/>
    <n v="1"/>
    <n v="10357"/>
    <x v="2"/>
    <n v="6904"/>
    <x v="0"/>
    <x v="2"/>
    <x v="5"/>
    <x v="6"/>
    <x v="8"/>
    <x v="0"/>
    <x v="510"/>
    <x v="751"/>
  </r>
  <r>
    <x v="806"/>
    <x v="335"/>
    <x v="8"/>
    <x v="7"/>
    <x v="0"/>
    <x v="0"/>
    <n v="1"/>
    <n v="8130"/>
    <x v="2"/>
    <n v="5420"/>
    <x v="0"/>
    <x v="0"/>
    <x v="0"/>
    <x v="3"/>
    <x v="3"/>
    <x v="0"/>
    <x v="511"/>
    <x v="752"/>
  </r>
  <r>
    <x v="807"/>
    <x v="240"/>
    <x v="5"/>
    <x v="5"/>
    <x v="0"/>
    <x v="0"/>
    <n v="1"/>
    <n v="5061"/>
    <x v="0"/>
    <n v="1687"/>
    <x v="0"/>
    <x v="2"/>
    <x v="4"/>
    <x v="11"/>
    <x v="6"/>
    <x v="0"/>
    <x v="512"/>
    <x v="753"/>
  </r>
  <r>
    <x v="808"/>
    <x v="74"/>
    <x v="4"/>
    <x v="4"/>
    <x v="1"/>
    <x v="1"/>
    <n v="1"/>
    <n v="4444"/>
    <x v="0"/>
    <n v="1481"/>
    <x v="0"/>
    <x v="2"/>
    <x v="3"/>
    <x v="0"/>
    <x v="6"/>
    <x v="0"/>
    <x v="513"/>
    <x v="754"/>
  </r>
  <r>
    <x v="809"/>
    <x v="73"/>
    <x v="2"/>
    <x v="2"/>
    <x v="0"/>
    <x v="0"/>
    <n v="1"/>
    <n v="6003"/>
    <x v="0"/>
    <n v="2001"/>
    <x v="0"/>
    <x v="2"/>
    <x v="3"/>
    <x v="2"/>
    <x v="0"/>
    <x v="1"/>
    <x v="514"/>
    <x v="755"/>
  </r>
  <r>
    <x v="810"/>
    <x v="33"/>
    <x v="6"/>
    <x v="6"/>
    <x v="0"/>
    <x v="0"/>
    <n v="1"/>
    <n v="8658"/>
    <x v="2"/>
    <n v="5772"/>
    <x v="0"/>
    <x v="0"/>
    <x v="5"/>
    <x v="7"/>
    <x v="6"/>
    <x v="0"/>
    <x v="515"/>
    <x v="181"/>
  </r>
  <r>
    <x v="811"/>
    <x v="242"/>
    <x v="2"/>
    <x v="2"/>
    <x v="1"/>
    <x v="1"/>
    <n v="1"/>
    <n v="7531"/>
    <x v="0"/>
    <n v="2510"/>
    <x v="0"/>
    <x v="1"/>
    <x v="2"/>
    <x v="6"/>
    <x v="2"/>
    <x v="1"/>
    <x v="516"/>
    <x v="756"/>
  </r>
  <r>
    <x v="812"/>
    <x v="142"/>
    <x v="10"/>
    <x v="9"/>
    <x v="1"/>
    <x v="1"/>
    <n v="1"/>
    <n v="6415"/>
    <x v="2"/>
    <n v="4276"/>
    <x v="0"/>
    <x v="1"/>
    <x v="2"/>
    <x v="12"/>
    <x v="1"/>
    <x v="0"/>
    <x v="517"/>
    <x v="757"/>
  </r>
  <r>
    <x v="813"/>
    <x v="299"/>
    <x v="2"/>
    <x v="2"/>
    <x v="1"/>
    <x v="1"/>
    <n v="1"/>
    <n v="5455"/>
    <x v="0"/>
    <n v="1818"/>
    <x v="0"/>
    <x v="0"/>
    <x v="4"/>
    <x v="7"/>
    <x v="2"/>
    <x v="1"/>
    <x v="518"/>
    <x v="758"/>
  </r>
  <r>
    <x v="814"/>
    <x v="273"/>
    <x v="9"/>
    <x v="8"/>
    <x v="1"/>
    <x v="1"/>
    <n v="1"/>
    <n v="9032"/>
    <x v="2"/>
    <n v="6020"/>
    <x v="0"/>
    <x v="0"/>
    <x v="5"/>
    <x v="1"/>
    <x v="5"/>
    <x v="1"/>
    <x v="519"/>
    <x v="759"/>
  </r>
  <r>
    <x v="815"/>
    <x v="309"/>
    <x v="10"/>
    <x v="9"/>
    <x v="0"/>
    <x v="0"/>
    <n v="1"/>
    <n v="6718"/>
    <x v="1"/>
    <n v="6717"/>
    <x v="0"/>
    <x v="2"/>
    <x v="2"/>
    <x v="10"/>
    <x v="4"/>
    <x v="0"/>
    <x v="2"/>
    <x v="760"/>
  </r>
  <r>
    <x v="816"/>
    <x v="9"/>
    <x v="12"/>
    <x v="11"/>
    <x v="0"/>
    <x v="0"/>
    <n v="1"/>
    <n v="8562"/>
    <x v="0"/>
    <n v="2854"/>
    <x v="0"/>
    <x v="0"/>
    <x v="5"/>
    <x v="4"/>
    <x v="9"/>
    <x v="0"/>
    <x v="520"/>
    <x v="761"/>
  </r>
  <r>
    <x v="817"/>
    <x v="88"/>
    <x v="8"/>
    <x v="7"/>
    <x v="0"/>
    <x v="0"/>
    <n v="1"/>
    <n v="12417"/>
    <x v="0"/>
    <n v="4139"/>
    <x v="0"/>
    <x v="0"/>
    <x v="2"/>
    <x v="6"/>
    <x v="3"/>
    <x v="1"/>
    <x v="521"/>
    <x v="762"/>
  </r>
  <r>
    <x v="818"/>
    <x v="24"/>
    <x v="5"/>
    <x v="5"/>
    <x v="1"/>
    <x v="1"/>
    <n v="1"/>
    <n v="4559"/>
    <x v="1"/>
    <n v="4557"/>
    <x v="0"/>
    <x v="2"/>
    <x v="3"/>
    <x v="11"/>
    <x v="8"/>
    <x v="1"/>
    <x v="4"/>
    <x v="763"/>
  </r>
  <r>
    <x v="819"/>
    <x v="133"/>
    <x v="10"/>
    <x v="9"/>
    <x v="0"/>
    <x v="0"/>
    <n v="1"/>
    <n v="6870"/>
    <x v="2"/>
    <n v="4580"/>
    <x v="0"/>
    <x v="0"/>
    <x v="4"/>
    <x v="0"/>
    <x v="5"/>
    <x v="1"/>
    <x v="522"/>
    <x v="764"/>
  </r>
  <r>
    <x v="820"/>
    <x v="184"/>
    <x v="6"/>
    <x v="6"/>
    <x v="1"/>
    <x v="1"/>
    <n v="1"/>
    <n v="8838"/>
    <x v="2"/>
    <n v="5892"/>
    <x v="0"/>
    <x v="1"/>
    <x v="3"/>
    <x v="0"/>
    <x v="9"/>
    <x v="1"/>
    <x v="76"/>
    <x v="765"/>
  </r>
  <r>
    <x v="821"/>
    <x v="260"/>
    <x v="1"/>
    <x v="1"/>
    <x v="0"/>
    <x v="0"/>
    <n v="1"/>
    <n v="6307"/>
    <x v="2"/>
    <n v="4204"/>
    <x v="0"/>
    <x v="1"/>
    <x v="0"/>
    <x v="11"/>
    <x v="2"/>
    <x v="1"/>
    <x v="386"/>
    <x v="766"/>
  </r>
  <r>
    <x v="822"/>
    <x v="137"/>
    <x v="13"/>
    <x v="9"/>
    <x v="0"/>
    <x v="0"/>
    <n v="1"/>
    <n v="3231"/>
    <x v="1"/>
    <n v="3231"/>
    <x v="1"/>
    <x v="2"/>
    <x v="5"/>
    <x v="8"/>
    <x v="1"/>
    <x v="0"/>
    <x v="1"/>
    <x v="767"/>
  </r>
  <r>
    <x v="823"/>
    <x v="43"/>
    <x v="0"/>
    <x v="0"/>
    <x v="1"/>
    <x v="1"/>
    <n v="1"/>
    <n v="7026"/>
    <x v="0"/>
    <n v="2342"/>
    <x v="0"/>
    <x v="0"/>
    <x v="0"/>
    <x v="1"/>
    <x v="7"/>
    <x v="0"/>
    <x v="523"/>
    <x v="768"/>
  </r>
  <r>
    <x v="824"/>
    <x v="310"/>
    <x v="13"/>
    <x v="9"/>
    <x v="0"/>
    <x v="0"/>
    <n v="1"/>
    <n v="4029"/>
    <x v="1"/>
    <n v="4029"/>
    <x v="1"/>
    <x v="2"/>
    <x v="5"/>
    <x v="8"/>
    <x v="2"/>
    <x v="1"/>
    <x v="1"/>
    <x v="769"/>
  </r>
  <r>
    <x v="825"/>
    <x v="65"/>
    <x v="1"/>
    <x v="1"/>
    <x v="1"/>
    <x v="1"/>
    <n v="1"/>
    <n v="6797"/>
    <x v="0"/>
    <n v="2265"/>
    <x v="0"/>
    <x v="2"/>
    <x v="3"/>
    <x v="0"/>
    <x v="3"/>
    <x v="1"/>
    <x v="524"/>
    <x v="133"/>
  </r>
  <r>
    <x v="826"/>
    <x v="84"/>
    <x v="13"/>
    <x v="9"/>
    <x v="0"/>
    <x v="0"/>
    <n v="1"/>
    <n v="3099"/>
    <x v="2"/>
    <n v="2066"/>
    <x v="0"/>
    <x v="1"/>
    <x v="1"/>
    <x v="9"/>
    <x v="1"/>
    <x v="0"/>
    <x v="525"/>
    <x v="702"/>
  </r>
  <r>
    <x v="827"/>
    <x v="293"/>
    <x v="12"/>
    <x v="11"/>
    <x v="0"/>
    <x v="0"/>
    <n v="1"/>
    <n v="8056"/>
    <x v="2"/>
    <n v="5370"/>
    <x v="0"/>
    <x v="0"/>
    <x v="2"/>
    <x v="0"/>
    <x v="7"/>
    <x v="0"/>
    <x v="526"/>
    <x v="770"/>
  </r>
  <r>
    <x v="828"/>
    <x v="163"/>
    <x v="9"/>
    <x v="8"/>
    <x v="0"/>
    <x v="0"/>
    <n v="1"/>
    <n v="12536"/>
    <x v="2"/>
    <n v="8356"/>
    <x v="0"/>
    <x v="2"/>
    <x v="4"/>
    <x v="10"/>
    <x v="6"/>
    <x v="0"/>
    <x v="527"/>
    <x v="771"/>
  </r>
  <r>
    <x v="829"/>
    <x v="98"/>
    <x v="6"/>
    <x v="6"/>
    <x v="0"/>
    <x v="0"/>
    <n v="1"/>
    <n v="11632"/>
    <x v="2"/>
    <n v="7754"/>
    <x v="0"/>
    <x v="2"/>
    <x v="5"/>
    <x v="14"/>
    <x v="8"/>
    <x v="0"/>
    <x v="528"/>
    <x v="772"/>
  </r>
  <r>
    <x v="830"/>
    <x v="19"/>
    <x v="1"/>
    <x v="1"/>
    <x v="1"/>
    <x v="1"/>
    <n v="1"/>
    <n v="5820"/>
    <x v="2"/>
    <n v="3880"/>
    <x v="0"/>
    <x v="1"/>
    <x v="4"/>
    <x v="9"/>
    <x v="5"/>
    <x v="1"/>
    <x v="529"/>
    <x v="773"/>
  </r>
  <r>
    <x v="831"/>
    <x v="143"/>
    <x v="6"/>
    <x v="6"/>
    <x v="0"/>
    <x v="0"/>
    <n v="1"/>
    <n v="10884"/>
    <x v="1"/>
    <n v="10884"/>
    <x v="1"/>
    <x v="0"/>
    <x v="4"/>
    <x v="6"/>
    <x v="2"/>
    <x v="1"/>
    <x v="1"/>
    <x v="301"/>
  </r>
  <r>
    <x v="832"/>
    <x v="98"/>
    <x v="3"/>
    <x v="3"/>
    <x v="1"/>
    <x v="1"/>
    <n v="1"/>
    <n v="5840"/>
    <x v="1"/>
    <n v="5838"/>
    <x v="0"/>
    <x v="2"/>
    <x v="2"/>
    <x v="10"/>
    <x v="1"/>
    <x v="0"/>
    <x v="4"/>
    <x v="774"/>
  </r>
  <r>
    <x v="833"/>
    <x v="44"/>
    <x v="9"/>
    <x v="8"/>
    <x v="1"/>
    <x v="1"/>
    <n v="1"/>
    <n v="13091"/>
    <x v="2"/>
    <n v="8726"/>
    <x v="0"/>
    <x v="0"/>
    <x v="4"/>
    <x v="12"/>
    <x v="6"/>
    <x v="1"/>
    <x v="530"/>
    <x v="775"/>
  </r>
  <r>
    <x v="834"/>
    <x v="305"/>
    <x v="3"/>
    <x v="3"/>
    <x v="0"/>
    <x v="0"/>
    <n v="1"/>
    <n v="5989"/>
    <x v="1"/>
    <n v="5988"/>
    <x v="0"/>
    <x v="2"/>
    <x v="0"/>
    <x v="1"/>
    <x v="1"/>
    <x v="0"/>
    <x v="2"/>
    <x v="279"/>
  </r>
  <r>
    <x v="835"/>
    <x v="209"/>
    <x v="7"/>
    <x v="6"/>
    <x v="0"/>
    <x v="0"/>
    <n v="1"/>
    <n v="9948"/>
    <x v="1"/>
    <n v="9948"/>
    <x v="1"/>
    <x v="0"/>
    <x v="5"/>
    <x v="5"/>
    <x v="2"/>
    <x v="1"/>
    <x v="1"/>
    <x v="776"/>
  </r>
  <r>
    <x v="836"/>
    <x v="182"/>
    <x v="7"/>
    <x v="6"/>
    <x v="0"/>
    <x v="0"/>
    <n v="1"/>
    <n v="9195"/>
    <x v="2"/>
    <n v="6130"/>
    <x v="0"/>
    <x v="0"/>
    <x v="4"/>
    <x v="9"/>
    <x v="7"/>
    <x v="1"/>
    <x v="531"/>
    <x v="777"/>
  </r>
  <r>
    <x v="837"/>
    <x v="90"/>
    <x v="9"/>
    <x v="8"/>
    <x v="1"/>
    <x v="1"/>
    <n v="1"/>
    <n v="10698"/>
    <x v="2"/>
    <n v="7132"/>
    <x v="0"/>
    <x v="2"/>
    <x v="2"/>
    <x v="3"/>
    <x v="1"/>
    <x v="1"/>
    <x v="532"/>
    <x v="778"/>
  </r>
  <r>
    <x v="838"/>
    <x v="251"/>
    <x v="12"/>
    <x v="11"/>
    <x v="0"/>
    <x v="0"/>
    <n v="1"/>
    <n v="8057"/>
    <x v="2"/>
    <n v="5370"/>
    <x v="0"/>
    <x v="0"/>
    <x v="4"/>
    <x v="4"/>
    <x v="5"/>
    <x v="1"/>
    <x v="533"/>
    <x v="770"/>
  </r>
  <r>
    <x v="839"/>
    <x v="123"/>
    <x v="13"/>
    <x v="9"/>
    <x v="1"/>
    <x v="1"/>
    <n v="1"/>
    <n v="4612"/>
    <x v="0"/>
    <n v="1537"/>
    <x v="0"/>
    <x v="2"/>
    <x v="4"/>
    <x v="10"/>
    <x v="6"/>
    <x v="1"/>
    <x v="534"/>
    <x v="779"/>
  </r>
  <r>
    <x v="840"/>
    <x v="313"/>
    <x v="4"/>
    <x v="4"/>
    <x v="0"/>
    <x v="0"/>
    <n v="1"/>
    <n v="6344"/>
    <x v="1"/>
    <n v="6342"/>
    <x v="0"/>
    <x v="1"/>
    <x v="0"/>
    <x v="5"/>
    <x v="9"/>
    <x v="1"/>
    <x v="4"/>
    <x v="780"/>
  </r>
  <r>
    <x v="841"/>
    <x v="188"/>
    <x v="9"/>
    <x v="8"/>
    <x v="0"/>
    <x v="0"/>
    <n v="1"/>
    <n v="9383"/>
    <x v="0"/>
    <n v="3127"/>
    <x v="0"/>
    <x v="1"/>
    <x v="3"/>
    <x v="6"/>
    <x v="4"/>
    <x v="0"/>
    <x v="535"/>
    <x v="781"/>
  </r>
  <r>
    <x v="842"/>
    <x v="186"/>
    <x v="2"/>
    <x v="2"/>
    <x v="1"/>
    <x v="1"/>
    <n v="1"/>
    <n v="7963"/>
    <x v="1"/>
    <n v="7962"/>
    <x v="0"/>
    <x v="0"/>
    <x v="0"/>
    <x v="9"/>
    <x v="2"/>
    <x v="0"/>
    <x v="2"/>
    <x v="782"/>
  </r>
  <r>
    <x v="843"/>
    <x v="336"/>
    <x v="9"/>
    <x v="8"/>
    <x v="1"/>
    <x v="1"/>
    <n v="1"/>
    <n v="13318"/>
    <x v="0"/>
    <n v="4439"/>
    <x v="0"/>
    <x v="2"/>
    <x v="4"/>
    <x v="12"/>
    <x v="2"/>
    <x v="0"/>
    <x v="536"/>
    <x v="783"/>
  </r>
  <r>
    <x v="844"/>
    <x v="306"/>
    <x v="5"/>
    <x v="5"/>
    <x v="1"/>
    <x v="1"/>
    <n v="1"/>
    <n v="3653"/>
    <x v="2"/>
    <n v="2434"/>
    <x v="0"/>
    <x v="0"/>
    <x v="4"/>
    <x v="9"/>
    <x v="7"/>
    <x v="1"/>
    <x v="537"/>
    <x v="784"/>
  </r>
  <r>
    <x v="845"/>
    <x v="277"/>
    <x v="4"/>
    <x v="4"/>
    <x v="1"/>
    <x v="1"/>
    <n v="1"/>
    <n v="5331"/>
    <x v="0"/>
    <n v="1777"/>
    <x v="0"/>
    <x v="0"/>
    <x v="3"/>
    <x v="12"/>
    <x v="5"/>
    <x v="1"/>
    <x v="538"/>
    <x v="785"/>
  </r>
  <r>
    <x v="846"/>
    <x v="337"/>
    <x v="9"/>
    <x v="8"/>
    <x v="0"/>
    <x v="0"/>
    <n v="1"/>
    <n v="11327"/>
    <x v="0"/>
    <n v="3775"/>
    <x v="0"/>
    <x v="1"/>
    <x v="3"/>
    <x v="14"/>
    <x v="9"/>
    <x v="1"/>
    <x v="539"/>
    <x v="786"/>
  </r>
  <r>
    <x v="847"/>
    <x v="338"/>
    <x v="10"/>
    <x v="9"/>
    <x v="0"/>
    <x v="0"/>
    <n v="1"/>
    <n v="4750"/>
    <x v="2"/>
    <n v="3166"/>
    <x v="0"/>
    <x v="0"/>
    <x v="0"/>
    <x v="8"/>
    <x v="4"/>
    <x v="0"/>
    <x v="540"/>
    <x v="787"/>
  </r>
  <r>
    <x v="848"/>
    <x v="120"/>
    <x v="10"/>
    <x v="9"/>
    <x v="1"/>
    <x v="1"/>
    <n v="1"/>
    <n v="4701"/>
    <x v="2"/>
    <n v="3134"/>
    <x v="0"/>
    <x v="2"/>
    <x v="3"/>
    <x v="13"/>
    <x v="4"/>
    <x v="1"/>
    <x v="434"/>
    <x v="788"/>
  </r>
  <r>
    <x v="849"/>
    <x v="130"/>
    <x v="9"/>
    <x v="8"/>
    <x v="1"/>
    <x v="1"/>
    <n v="1"/>
    <n v="10439"/>
    <x v="2"/>
    <n v="6958"/>
    <x v="0"/>
    <x v="0"/>
    <x v="5"/>
    <x v="0"/>
    <x v="5"/>
    <x v="1"/>
    <x v="541"/>
    <x v="789"/>
  </r>
  <r>
    <x v="850"/>
    <x v="257"/>
    <x v="3"/>
    <x v="3"/>
    <x v="0"/>
    <x v="0"/>
    <n v="1"/>
    <n v="4676"/>
    <x v="2"/>
    <n v="3116"/>
    <x v="0"/>
    <x v="0"/>
    <x v="0"/>
    <x v="8"/>
    <x v="0"/>
    <x v="1"/>
    <x v="542"/>
    <x v="790"/>
  </r>
  <r>
    <x v="851"/>
    <x v="317"/>
    <x v="2"/>
    <x v="2"/>
    <x v="1"/>
    <x v="1"/>
    <n v="1"/>
    <n v="6408"/>
    <x v="1"/>
    <n v="6408"/>
    <x v="1"/>
    <x v="2"/>
    <x v="2"/>
    <x v="7"/>
    <x v="4"/>
    <x v="1"/>
    <x v="1"/>
    <x v="791"/>
  </r>
  <r>
    <x v="852"/>
    <x v="136"/>
    <x v="2"/>
    <x v="2"/>
    <x v="1"/>
    <x v="1"/>
    <n v="1"/>
    <n v="6036"/>
    <x v="1"/>
    <n v="6036"/>
    <x v="1"/>
    <x v="0"/>
    <x v="0"/>
    <x v="9"/>
    <x v="2"/>
    <x v="0"/>
    <x v="1"/>
    <x v="792"/>
  </r>
  <r>
    <x v="853"/>
    <x v="86"/>
    <x v="4"/>
    <x v="4"/>
    <x v="0"/>
    <x v="0"/>
    <n v="1"/>
    <n v="4805"/>
    <x v="2"/>
    <n v="3202"/>
    <x v="0"/>
    <x v="0"/>
    <x v="0"/>
    <x v="1"/>
    <x v="4"/>
    <x v="1"/>
    <x v="543"/>
    <x v="793"/>
  </r>
  <r>
    <x v="854"/>
    <x v="296"/>
    <x v="11"/>
    <x v="10"/>
    <x v="0"/>
    <x v="0"/>
    <n v="1"/>
    <n v="4271"/>
    <x v="0"/>
    <n v="1423"/>
    <x v="0"/>
    <x v="1"/>
    <x v="0"/>
    <x v="7"/>
    <x v="1"/>
    <x v="0"/>
    <x v="544"/>
    <x v="794"/>
  </r>
  <r>
    <x v="855"/>
    <x v="178"/>
    <x v="5"/>
    <x v="5"/>
    <x v="1"/>
    <x v="1"/>
    <n v="1"/>
    <n v="5620"/>
    <x v="0"/>
    <n v="1873"/>
    <x v="0"/>
    <x v="1"/>
    <x v="2"/>
    <x v="6"/>
    <x v="7"/>
    <x v="1"/>
    <x v="545"/>
    <x v="795"/>
  </r>
  <r>
    <x v="856"/>
    <x v="328"/>
    <x v="1"/>
    <x v="1"/>
    <x v="1"/>
    <x v="1"/>
    <n v="1"/>
    <n v="5562"/>
    <x v="2"/>
    <n v="3708"/>
    <x v="0"/>
    <x v="0"/>
    <x v="1"/>
    <x v="14"/>
    <x v="7"/>
    <x v="0"/>
    <x v="461"/>
    <x v="796"/>
  </r>
  <r>
    <x v="857"/>
    <x v="121"/>
    <x v="6"/>
    <x v="6"/>
    <x v="1"/>
    <x v="1"/>
    <n v="1"/>
    <n v="8526"/>
    <x v="2"/>
    <n v="5684"/>
    <x v="0"/>
    <x v="2"/>
    <x v="5"/>
    <x v="10"/>
    <x v="7"/>
    <x v="1"/>
    <x v="546"/>
    <x v="797"/>
  </r>
  <r>
    <x v="858"/>
    <x v="46"/>
    <x v="6"/>
    <x v="6"/>
    <x v="0"/>
    <x v="0"/>
    <n v="1"/>
    <n v="9440"/>
    <x v="2"/>
    <n v="6292"/>
    <x v="0"/>
    <x v="0"/>
    <x v="2"/>
    <x v="12"/>
    <x v="1"/>
    <x v="1"/>
    <x v="547"/>
    <x v="798"/>
  </r>
  <r>
    <x v="859"/>
    <x v="208"/>
    <x v="4"/>
    <x v="4"/>
    <x v="1"/>
    <x v="1"/>
    <n v="1"/>
    <n v="4026"/>
    <x v="2"/>
    <n v="2684"/>
    <x v="0"/>
    <x v="0"/>
    <x v="4"/>
    <x v="12"/>
    <x v="6"/>
    <x v="1"/>
    <x v="548"/>
    <x v="799"/>
  </r>
  <r>
    <x v="860"/>
    <x v="197"/>
    <x v="6"/>
    <x v="6"/>
    <x v="0"/>
    <x v="0"/>
    <n v="1"/>
    <n v="9023"/>
    <x v="2"/>
    <n v="6014"/>
    <x v="0"/>
    <x v="0"/>
    <x v="3"/>
    <x v="7"/>
    <x v="0"/>
    <x v="0"/>
    <x v="549"/>
    <x v="800"/>
  </r>
  <r>
    <x v="861"/>
    <x v="99"/>
    <x v="9"/>
    <x v="8"/>
    <x v="1"/>
    <x v="1"/>
    <n v="1"/>
    <n v="8065"/>
    <x v="1"/>
    <n v="8064"/>
    <x v="0"/>
    <x v="1"/>
    <x v="4"/>
    <x v="1"/>
    <x v="0"/>
    <x v="1"/>
    <x v="2"/>
    <x v="801"/>
  </r>
  <r>
    <x v="862"/>
    <x v="29"/>
    <x v="4"/>
    <x v="4"/>
    <x v="1"/>
    <x v="1"/>
    <n v="1"/>
    <n v="5649"/>
    <x v="2"/>
    <n v="3766"/>
    <x v="0"/>
    <x v="0"/>
    <x v="2"/>
    <x v="9"/>
    <x v="8"/>
    <x v="1"/>
    <x v="550"/>
    <x v="802"/>
  </r>
  <r>
    <x v="863"/>
    <x v="180"/>
    <x v="7"/>
    <x v="6"/>
    <x v="1"/>
    <x v="1"/>
    <n v="1"/>
    <n v="9103"/>
    <x v="0"/>
    <n v="3034"/>
    <x v="0"/>
    <x v="1"/>
    <x v="2"/>
    <x v="13"/>
    <x v="1"/>
    <x v="0"/>
    <x v="551"/>
    <x v="803"/>
  </r>
  <r>
    <x v="864"/>
    <x v="21"/>
    <x v="5"/>
    <x v="5"/>
    <x v="1"/>
    <x v="1"/>
    <n v="1"/>
    <n v="5130"/>
    <x v="1"/>
    <n v="5130"/>
    <x v="1"/>
    <x v="2"/>
    <x v="3"/>
    <x v="13"/>
    <x v="4"/>
    <x v="1"/>
    <x v="1"/>
    <x v="804"/>
  </r>
  <r>
    <x v="865"/>
    <x v="73"/>
    <x v="8"/>
    <x v="7"/>
    <x v="1"/>
    <x v="1"/>
    <n v="1"/>
    <n v="9258"/>
    <x v="1"/>
    <n v="9258"/>
    <x v="1"/>
    <x v="0"/>
    <x v="2"/>
    <x v="4"/>
    <x v="8"/>
    <x v="0"/>
    <x v="1"/>
    <x v="642"/>
  </r>
  <r>
    <x v="866"/>
    <x v="262"/>
    <x v="12"/>
    <x v="11"/>
    <x v="1"/>
    <x v="1"/>
    <n v="1"/>
    <n v="5021"/>
    <x v="2"/>
    <n v="3346"/>
    <x v="0"/>
    <x v="2"/>
    <x v="1"/>
    <x v="0"/>
    <x v="7"/>
    <x v="1"/>
    <x v="288"/>
    <x v="427"/>
  </r>
  <r>
    <x v="867"/>
    <x v="164"/>
    <x v="12"/>
    <x v="11"/>
    <x v="1"/>
    <x v="1"/>
    <n v="1"/>
    <n v="5002"/>
    <x v="2"/>
    <n v="3334"/>
    <x v="0"/>
    <x v="2"/>
    <x v="2"/>
    <x v="1"/>
    <x v="2"/>
    <x v="1"/>
    <x v="552"/>
    <x v="805"/>
  </r>
  <r>
    <x v="868"/>
    <x v="76"/>
    <x v="12"/>
    <x v="11"/>
    <x v="0"/>
    <x v="0"/>
    <n v="1"/>
    <n v="6184"/>
    <x v="1"/>
    <n v="6183"/>
    <x v="0"/>
    <x v="2"/>
    <x v="1"/>
    <x v="13"/>
    <x v="2"/>
    <x v="1"/>
    <x v="2"/>
    <x v="806"/>
  </r>
  <r>
    <x v="869"/>
    <x v="117"/>
    <x v="11"/>
    <x v="10"/>
    <x v="0"/>
    <x v="0"/>
    <n v="1"/>
    <n v="4069"/>
    <x v="2"/>
    <n v="2712"/>
    <x v="0"/>
    <x v="1"/>
    <x v="2"/>
    <x v="12"/>
    <x v="2"/>
    <x v="0"/>
    <x v="553"/>
    <x v="807"/>
  </r>
  <r>
    <x v="870"/>
    <x v="166"/>
    <x v="12"/>
    <x v="11"/>
    <x v="0"/>
    <x v="0"/>
    <n v="1"/>
    <n v="6752"/>
    <x v="1"/>
    <n v="6750"/>
    <x v="0"/>
    <x v="1"/>
    <x v="0"/>
    <x v="1"/>
    <x v="1"/>
    <x v="1"/>
    <x v="4"/>
    <x v="808"/>
  </r>
  <r>
    <x v="871"/>
    <x v="98"/>
    <x v="13"/>
    <x v="9"/>
    <x v="1"/>
    <x v="1"/>
    <n v="1"/>
    <n v="4029"/>
    <x v="0"/>
    <n v="1343"/>
    <x v="0"/>
    <x v="1"/>
    <x v="4"/>
    <x v="10"/>
    <x v="9"/>
    <x v="1"/>
    <x v="526"/>
    <x v="809"/>
  </r>
  <r>
    <x v="872"/>
    <x v="22"/>
    <x v="13"/>
    <x v="9"/>
    <x v="0"/>
    <x v="0"/>
    <n v="1"/>
    <n v="3457"/>
    <x v="0"/>
    <n v="1152"/>
    <x v="0"/>
    <x v="2"/>
    <x v="1"/>
    <x v="4"/>
    <x v="7"/>
    <x v="1"/>
    <x v="554"/>
    <x v="810"/>
  </r>
  <r>
    <x v="873"/>
    <x v="234"/>
    <x v="7"/>
    <x v="6"/>
    <x v="1"/>
    <x v="1"/>
    <n v="1"/>
    <n v="10501"/>
    <x v="0"/>
    <n v="3500"/>
    <x v="0"/>
    <x v="0"/>
    <x v="1"/>
    <x v="5"/>
    <x v="5"/>
    <x v="1"/>
    <x v="555"/>
    <x v="811"/>
  </r>
  <r>
    <x v="874"/>
    <x v="263"/>
    <x v="1"/>
    <x v="1"/>
    <x v="1"/>
    <x v="1"/>
    <n v="1"/>
    <n v="5149"/>
    <x v="1"/>
    <n v="5148"/>
    <x v="0"/>
    <x v="1"/>
    <x v="4"/>
    <x v="2"/>
    <x v="0"/>
    <x v="1"/>
    <x v="2"/>
    <x v="812"/>
  </r>
  <r>
    <x v="875"/>
    <x v="247"/>
    <x v="4"/>
    <x v="4"/>
    <x v="0"/>
    <x v="0"/>
    <n v="1"/>
    <n v="5247"/>
    <x v="2"/>
    <n v="3498"/>
    <x v="0"/>
    <x v="1"/>
    <x v="1"/>
    <x v="1"/>
    <x v="2"/>
    <x v="1"/>
    <x v="556"/>
    <x v="813"/>
  </r>
  <r>
    <x v="876"/>
    <x v="179"/>
    <x v="10"/>
    <x v="9"/>
    <x v="1"/>
    <x v="1"/>
    <n v="1"/>
    <n v="7647"/>
    <x v="2"/>
    <n v="5098"/>
    <x v="0"/>
    <x v="2"/>
    <x v="2"/>
    <x v="5"/>
    <x v="1"/>
    <x v="1"/>
    <x v="557"/>
    <x v="814"/>
  </r>
  <r>
    <x v="877"/>
    <x v="246"/>
    <x v="12"/>
    <x v="11"/>
    <x v="0"/>
    <x v="0"/>
    <n v="1"/>
    <n v="7074"/>
    <x v="2"/>
    <n v="4716"/>
    <x v="0"/>
    <x v="0"/>
    <x v="4"/>
    <x v="5"/>
    <x v="1"/>
    <x v="1"/>
    <x v="558"/>
    <x v="815"/>
  </r>
  <r>
    <x v="878"/>
    <x v="265"/>
    <x v="12"/>
    <x v="11"/>
    <x v="0"/>
    <x v="0"/>
    <n v="1"/>
    <n v="6949"/>
    <x v="1"/>
    <n v="6948"/>
    <x v="0"/>
    <x v="0"/>
    <x v="3"/>
    <x v="12"/>
    <x v="1"/>
    <x v="1"/>
    <x v="2"/>
    <x v="816"/>
  </r>
  <r>
    <x v="879"/>
    <x v="242"/>
    <x v="9"/>
    <x v="8"/>
    <x v="1"/>
    <x v="1"/>
    <n v="1"/>
    <n v="12504"/>
    <x v="0"/>
    <n v="4168"/>
    <x v="0"/>
    <x v="2"/>
    <x v="0"/>
    <x v="10"/>
    <x v="4"/>
    <x v="1"/>
    <x v="559"/>
    <x v="817"/>
  </r>
  <r>
    <x v="880"/>
    <x v="303"/>
    <x v="0"/>
    <x v="0"/>
    <x v="0"/>
    <x v="0"/>
    <n v="1"/>
    <n v="5377"/>
    <x v="2"/>
    <n v="3584"/>
    <x v="0"/>
    <x v="1"/>
    <x v="0"/>
    <x v="12"/>
    <x v="7"/>
    <x v="1"/>
    <x v="560"/>
    <x v="818"/>
  </r>
  <r>
    <x v="881"/>
    <x v="208"/>
    <x v="9"/>
    <x v="8"/>
    <x v="1"/>
    <x v="1"/>
    <n v="1"/>
    <n v="11665"/>
    <x v="2"/>
    <n v="7776"/>
    <x v="0"/>
    <x v="1"/>
    <x v="0"/>
    <x v="3"/>
    <x v="6"/>
    <x v="1"/>
    <x v="561"/>
    <x v="819"/>
  </r>
  <r>
    <x v="882"/>
    <x v="119"/>
    <x v="4"/>
    <x v="4"/>
    <x v="0"/>
    <x v="0"/>
    <n v="1"/>
    <n v="4435"/>
    <x v="0"/>
    <n v="1478"/>
    <x v="0"/>
    <x v="2"/>
    <x v="4"/>
    <x v="0"/>
    <x v="6"/>
    <x v="1"/>
    <x v="562"/>
    <x v="820"/>
  </r>
  <r>
    <x v="883"/>
    <x v="128"/>
    <x v="5"/>
    <x v="5"/>
    <x v="1"/>
    <x v="1"/>
    <n v="1"/>
    <n v="4920"/>
    <x v="2"/>
    <n v="3280"/>
    <x v="0"/>
    <x v="1"/>
    <x v="1"/>
    <x v="10"/>
    <x v="8"/>
    <x v="0"/>
    <x v="563"/>
    <x v="275"/>
  </r>
  <r>
    <x v="884"/>
    <x v="234"/>
    <x v="12"/>
    <x v="11"/>
    <x v="0"/>
    <x v="0"/>
    <n v="1"/>
    <n v="8201"/>
    <x v="1"/>
    <n v="8199"/>
    <x v="0"/>
    <x v="0"/>
    <x v="2"/>
    <x v="6"/>
    <x v="4"/>
    <x v="1"/>
    <x v="4"/>
    <x v="821"/>
  </r>
  <r>
    <x v="885"/>
    <x v="271"/>
    <x v="9"/>
    <x v="8"/>
    <x v="0"/>
    <x v="0"/>
    <n v="1"/>
    <n v="13589"/>
    <x v="2"/>
    <n v="9058"/>
    <x v="0"/>
    <x v="0"/>
    <x v="0"/>
    <x v="8"/>
    <x v="5"/>
    <x v="0"/>
    <x v="564"/>
    <x v="822"/>
  </r>
  <r>
    <x v="886"/>
    <x v="318"/>
    <x v="6"/>
    <x v="6"/>
    <x v="0"/>
    <x v="0"/>
    <n v="1"/>
    <n v="10412"/>
    <x v="0"/>
    <n v="3470"/>
    <x v="0"/>
    <x v="1"/>
    <x v="3"/>
    <x v="4"/>
    <x v="9"/>
    <x v="1"/>
    <x v="565"/>
    <x v="823"/>
  </r>
  <r>
    <x v="887"/>
    <x v="256"/>
    <x v="13"/>
    <x v="9"/>
    <x v="0"/>
    <x v="0"/>
    <n v="1"/>
    <n v="3423"/>
    <x v="2"/>
    <n v="2282"/>
    <x v="0"/>
    <x v="1"/>
    <x v="2"/>
    <x v="11"/>
    <x v="8"/>
    <x v="1"/>
    <x v="566"/>
    <x v="824"/>
  </r>
  <r>
    <x v="888"/>
    <x v="168"/>
    <x v="13"/>
    <x v="9"/>
    <x v="1"/>
    <x v="1"/>
    <n v="1"/>
    <n v="3163"/>
    <x v="0"/>
    <n v="1054"/>
    <x v="0"/>
    <x v="0"/>
    <x v="3"/>
    <x v="6"/>
    <x v="4"/>
    <x v="1"/>
    <x v="567"/>
    <x v="825"/>
  </r>
  <r>
    <x v="889"/>
    <x v="234"/>
    <x v="5"/>
    <x v="5"/>
    <x v="1"/>
    <x v="1"/>
    <n v="1"/>
    <n v="4227"/>
    <x v="1"/>
    <n v="4227"/>
    <x v="1"/>
    <x v="0"/>
    <x v="5"/>
    <x v="9"/>
    <x v="7"/>
    <x v="0"/>
    <x v="1"/>
    <x v="826"/>
  </r>
  <r>
    <x v="890"/>
    <x v="339"/>
    <x v="0"/>
    <x v="0"/>
    <x v="0"/>
    <x v="0"/>
    <n v="1"/>
    <n v="6807"/>
    <x v="2"/>
    <n v="4538"/>
    <x v="0"/>
    <x v="1"/>
    <x v="3"/>
    <x v="9"/>
    <x v="7"/>
    <x v="1"/>
    <x v="568"/>
    <x v="827"/>
  </r>
  <r>
    <x v="891"/>
    <x v="83"/>
    <x v="0"/>
    <x v="0"/>
    <x v="1"/>
    <x v="1"/>
    <n v="1"/>
    <n v="7360"/>
    <x v="1"/>
    <n v="7359"/>
    <x v="0"/>
    <x v="2"/>
    <x v="3"/>
    <x v="4"/>
    <x v="6"/>
    <x v="0"/>
    <x v="2"/>
    <x v="828"/>
  </r>
  <r>
    <x v="892"/>
    <x v="281"/>
    <x v="1"/>
    <x v="1"/>
    <x v="1"/>
    <x v="1"/>
    <n v="1"/>
    <n v="6713"/>
    <x v="0"/>
    <n v="2237"/>
    <x v="0"/>
    <x v="1"/>
    <x v="1"/>
    <x v="5"/>
    <x v="4"/>
    <x v="0"/>
    <x v="569"/>
    <x v="829"/>
  </r>
  <r>
    <x v="893"/>
    <x v="103"/>
    <x v="5"/>
    <x v="5"/>
    <x v="0"/>
    <x v="0"/>
    <n v="1"/>
    <n v="3961"/>
    <x v="2"/>
    <n v="2640"/>
    <x v="0"/>
    <x v="1"/>
    <x v="3"/>
    <x v="7"/>
    <x v="4"/>
    <x v="0"/>
    <x v="570"/>
    <x v="830"/>
  </r>
  <r>
    <x v="894"/>
    <x v="168"/>
    <x v="1"/>
    <x v="1"/>
    <x v="1"/>
    <x v="1"/>
    <n v="1"/>
    <n v="6091"/>
    <x v="2"/>
    <n v="4060"/>
    <x v="0"/>
    <x v="2"/>
    <x v="0"/>
    <x v="8"/>
    <x v="4"/>
    <x v="0"/>
    <x v="571"/>
    <x v="831"/>
  </r>
  <r>
    <x v="895"/>
    <x v="257"/>
    <x v="10"/>
    <x v="9"/>
    <x v="0"/>
    <x v="0"/>
    <n v="1"/>
    <n v="5752"/>
    <x v="2"/>
    <n v="3834"/>
    <x v="0"/>
    <x v="0"/>
    <x v="0"/>
    <x v="7"/>
    <x v="1"/>
    <x v="0"/>
    <x v="572"/>
    <x v="297"/>
  </r>
  <r>
    <x v="896"/>
    <x v="144"/>
    <x v="0"/>
    <x v="0"/>
    <x v="1"/>
    <x v="1"/>
    <n v="1"/>
    <n v="5048"/>
    <x v="1"/>
    <n v="5046"/>
    <x v="0"/>
    <x v="1"/>
    <x v="2"/>
    <x v="0"/>
    <x v="4"/>
    <x v="1"/>
    <x v="4"/>
    <x v="612"/>
  </r>
  <r>
    <x v="897"/>
    <x v="340"/>
    <x v="11"/>
    <x v="10"/>
    <x v="0"/>
    <x v="0"/>
    <n v="1"/>
    <n v="4995"/>
    <x v="2"/>
    <n v="3330"/>
    <x v="0"/>
    <x v="2"/>
    <x v="3"/>
    <x v="8"/>
    <x v="9"/>
    <x v="0"/>
    <x v="573"/>
    <x v="832"/>
  </r>
  <r>
    <x v="898"/>
    <x v="313"/>
    <x v="0"/>
    <x v="0"/>
    <x v="1"/>
    <x v="1"/>
    <n v="1"/>
    <n v="6769"/>
    <x v="2"/>
    <n v="4512"/>
    <x v="0"/>
    <x v="2"/>
    <x v="1"/>
    <x v="7"/>
    <x v="4"/>
    <x v="0"/>
    <x v="153"/>
    <x v="67"/>
  </r>
  <r>
    <x v="899"/>
    <x v="178"/>
    <x v="11"/>
    <x v="10"/>
    <x v="1"/>
    <x v="1"/>
    <n v="1"/>
    <n v="5195"/>
    <x v="1"/>
    <n v="5193"/>
    <x v="0"/>
    <x v="1"/>
    <x v="0"/>
    <x v="4"/>
    <x v="0"/>
    <x v="0"/>
    <x v="4"/>
    <x v="833"/>
  </r>
  <r>
    <x v="900"/>
    <x v="234"/>
    <x v="1"/>
    <x v="1"/>
    <x v="1"/>
    <x v="1"/>
    <n v="1"/>
    <n v="6982"/>
    <x v="0"/>
    <n v="2327"/>
    <x v="0"/>
    <x v="2"/>
    <x v="4"/>
    <x v="9"/>
    <x v="5"/>
    <x v="0"/>
    <x v="574"/>
    <x v="834"/>
  </r>
  <r>
    <x v="901"/>
    <x v="197"/>
    <x v="3"/>
    <x v="3"/>
    <x v="0"/>
    <x v="0"/>
    <n v="1"/>
    <n v="7405"/>
    <x v="1"/>
    <n v="7404"/>
    <x v="0"/>
    <x v="0"/>
    <x v="4"/>
    <x v="3"/>
    <x v="0"/>
    <x v="0"/>
    <x v="2"/>
    <x v="688"/>
  </r>
  <r>
    <x v="902"/>
    <x v="317"/>
    <x v="9"/>
    <x v="8"/>
    <x v="1"/>
    <x v="1"/>
    <n v="1"/>
    <n v="8161"/>
    <x v="0"/>
    <n v="2720"/>
    <x v="0"/>
    <x v="1"/>
    <x v="4"/>
    <x v="14"/>
    <x v="3"/>
    <x v="1"/>
    <x v="575"/>
    <x v="835"/>
  </r>
  <r>
    <x v="903"/>
    <x v="37"/>
    <x v="11"/>
    <x v="10"/>
    <x v="0"/>
    <x v="0"/>
    <n v="1"/>
    <n v="5952"/>
    <x v="1"/>
    <n v="5952"/>
    <x v="1"/>
    <x v="1"/>
    <x v="2"/>
    <x v="8"/>
    <x v="1"/>
    <x v="0"/>
    <x v="1"/>
    <x v="836"/>
  </r>
  <r>
    <x v="904"/>
    <x v="302"/>
    <x v="3"/>
    <x v="3"/>
    <x v="1"/>
    <x v="1"/>
    <n v="1"/>
    <n v="5598"/>
    <x v="2"/>
    <n v="3732"/>
    <x v="0"/>
    <x v="1"/>
    <x v="1"/>
    <x v="2"/>
    <x v="2"/>
    <x v="1"/>
    <x v="576"/>
    <x v="480"/>
  </r>
  <r>
    <x v="905"/>
    <x v="89"/>
    <x v="2"/>
    <x v="2"/>
    <x v="0"/>
    <x v="0"/>
    <n v="1"/>
    <n v="5461"/>
    <x v="1"/>
    <n v="5460"/>
    <x v="0"/>
    <x v="0"/>
    <x v="3"/>
    <x v="8"/>
    <x v="8"/>
    <x v="0"/>
    <x v="2"/>
    <x v="837"/>
  </r>
  <r>
    <x v="906"/>
    <x v="170"/>
    <x v="11"/>
    <x v="10"/>
    <x v="0"/>
    <x v="0"/>
    <n v="1"/>
    <n v="5486"/>
    <x v="1"/>
    <n v="5484"/>
    <x v="0"/>
    <x v="1"/>
    <x v="1"/>
    <x v="3"/>
    <x v="5"/>
    <x v="0"/>
    <x v="4"/>
    <x v="838"/>
  </r>
  <r>
    <x v="907"/>
    <x v="65"/>
    <x v="5"/>
    <x v="5"/>
    <x v="0"/>
    <x v="0"/>
    <n v="1"/>
    <n v="5985"/>
    <x v="2"/>
    <n v="3990"/>
    <x v="0"/>
    <x v="1"/>
    <x v="4"/>
    <x v="8"/>
    <x v="0"/>
    <x v="0"/>
    <x v="577"/>
    <x v="455"/>
  </r>
  <r>
    <x v="908"/>
    <x v="187"/>
    <x v="5"/>
    <x v="5"/>
    <x v="0"/>
    <x v="0"/>
    <n v="1"/>
    <n v="4245"/>
    <x v="2"/>
    <n v="2830"/>
    <x v="0"/>
    <x v="1"/>
    <x v="3"/>
    <x v="8"/>
    <x v="8"/>
    <x v="0"/>
    <x v="488"/>
    <x v="724"/>
  </r>
  <r>
    <x v="909"/>
    <x v="238"/>
    <x v="11"/>
    <x v="10"/>
    <x v="1"/>
    <x v="1"/>
    <n v="1"/>
    <n v="4885"/>
    <x v="2"/>
    <n v="3256"/>
    <x v="0"/>
    <x v="2"/>
    <x v="0"/>
    <x v="1"/>
    <x v="8"/>
    <x v="1"/>
    <x v="280"/>
    <x v="839"/>
  </r>
  <r>
    <x v="910"/>
    <x v="151"/>
    <x v="12"/>
    <x v="11"/>
    <x v="1"/>
    <x v="1"/>
    <n v="1"/>
    <n v="8279"/>
    <x v="1"/>
    <n v="8277"/>
    <x v="0"/>
    <x v="0"/>
    <x v="5"/>
    <x v="8"/>
    <x v="4"/>
    <x v="0"/>
    <x v="4"/>
    <x v="840"/>
  </r>
  <r>
    <x v="911"/>
    <x v="299"/>
    <x v="12"/>
    <x v="11"/>
    <x v="0"/>
    <x v="0"/>
    <n v="1"/>
    <n v="8518"/>
    <x v="2"/>
    <n v="5678"/>
    <x v="0"/>
    <x v="0"/>
    <x v="0"/>
    <x v="6"/>
    <x v="3"/>
    <x v="1"/>
    <x v="578"/>
    <x v="841"/>
  </r>
  <r>
    <x v="912"/>
    <x v="14"/>
    <x v="3"/>
    <x v="3"/>
    <x v="0"/>
    <x v="0"/>
    <n v="1"/>
    <n v="7130"/>
    <x v="1"/>
    <n v="7128"/>
    <x v="0"/>
    <x v="0"/>
    <x v="5"/>
    <x v="6"/>
    <x v="4"/>
    <x v="1"/>
    <x v="4"/>
    <x v="842"/>
  </r>
  <r>
    <x v="913"/>
    <x v="72"/>
    <x v="5"/>
    <x v="5"/>
    <x v="0"/>
    <x v="0"/>
    <n v="1"/>
    <n v="5448"/>
    <x v="2"/>
    <n v="3632"/>
    <x v="0"/>
    <x v="1"/>
    <x v="2"/>
    <x v="13"/>
    <x v="8"/>
    <x v="1"/>
    <x v="579"/>
    <x v="843"/>
  </r>
  <r>
    <x v="914"/>
    <x v="316"/>
    <x v="5"/>
    <x v="5"/>
    <x v="1"/>
    <x v="1"/>
    <n v="1"/>
    <n v="3772"/>
    <x v="0"/>
    <n v="1257"/>
    <x v="0"/>
    <x v="1"/>
    <x v="2"/>
    <x v="1"/>
    <x v="3"/>
    <x v="1"/>
    <x v="580"/>
    <x v="844"/>
  </r>
  <r>
    <x v="915"/>
    <x v="20"/>
    <x v="13"/>
    <x v="9"/>
    <x v="0"/>
    <x v="0"/>
    <n v="1"/>
    <n v="4693"/>
    <x v="2"/>
    <n v="3128"/>
    <x v="0"/>
    <x v="0"/>
    <x v="0"/>
    <x v="11"/>
    <x v="1"/>
    <x v="0"/>
    <x v="581"/>
    <x v="845"/>
  </r>
  <r>
    <x v="916"/>
    <x v="262"/>
    <x v="0"/>
    <x v="0"/>
    <x v="0"/>
    <x v="0"/>
    <n v="1"/>
    <n v="7316"/>
    <x v="0"/>
    <n v="2438"/>
    <x v="0"/>
    <x v="2"/>
    <x v="2"/>
    <x v="4"/>
    <x v="4"/>
    <x v="0"/>
    <x v="582"/>
    <x v="846"/>
  </r>
  <r>
    <x v="917"/>
    <x v="19"/>
    <x v="5"/>
    <x v="5"/>
    <x v="1"/>
    <x v="1"/>
    <n v="1"/>
    <n v="4975"/>
    <x v="2"/>
    <n v="3316"/>
    <x v="0"/>
    <x v="2"/>
    <x v="4"/>
    <x v="0"/>
    <x v="8"/>
    <x v="0"/>
    <x v="583"/>
    <x v="847"/>
  </r>
  <r>
    <x v="918"/>
    <x v="113"/>
    <x v="7"/>
    <x v="6"/>
    <x v="0"/>
    <x v="0"/>
    <n v="1"/>
    <n v="9000"/>
    <x v="2"/>
    <n v="6000"/>
    <x v="0"/>
    <x v="0"/>
    <x v="4"/>
    <x v="5"/>
    <x v="6"/>
    <x v="0"/>
    <x v="188"/>
    <x v="232"/>
  </r>
  <r>
    <x v="919"/>
    <x v="199"/>
    <x v="6"/>
    <x v="6"/>
    <x v="0"/>
    <x v="0"/>
    <n v="1"/>
    <n v="7517"/>
    <x v="0"/>
    <n v="2505"/>
    <x v="0"/>
    <x v="0"/>
    <x v="0"/>
    <x v="2"/>
    <x v="9"/>
    <x v="1"/>
    <x v="584"/>
    <x v="848"/>
  </r>
  <r>
    <x v="920"/>
    <x v="159"/>
    <x v="8"/>
    <x v="7"/>
    <x v="1"/>
    <x v="1"/>
    <n v="1"/>
    <n v="10279"/>
    <x v="2"/>
    <n v="6852"/>
    <x v="0"/>
    <x v="1"/>
    <x v="2"/>
    <x v="8"/>
    <x v="5"/>
    <x v="0"/>
    <x v="585"/>
    <x v="262"/>
  </r>
  <r>
    <x v="921"/>
    <x v="139"/>
    <x v="7"/>
    <x v="6"/>
    <x v="1"/>
    <x v="1"/>
    <n v="1"/>
    <n v="11285"/>
    <x v="0"/>
    <n v="3761"/>
    <x v="0"/>
    <x v="0"/>
    <x v="2"/>
    <x v="6"/>
    <x v="6"/>
    <x v="0"/>
    <x v="586"/>
    <x v="849"/>
  </r>
  <r>
    <x v="922"/>
    <x v="159"/>
    <x v="11"/>
    <x v="10"/>
    <x v="1"/>
    <x v="1"/>
    <n v="1"/>
    <n v="5002"/>
    <x v="0"/>
    <n v="1667"/>
    <x v="0"/>
    <x v="2"/>
    <x v="2"/>
    <x v="11"/>
    <x v="4"/>
    <x v="1"/>
    <x v="587"/>
    <x v="850"/>
  </r>
  <r>
    <x v="923"/>
    <x v="296"/>
    <x v="5"/>
    <x v="5"/>
    <x v="1"/>
    <x v="1"/>
    <n v="1"/>
    <n v="5854"/>
    <x v="1"/>
    <n v="5853"/>
    <x v="0"/>
    <x v="0"/>
    <x v="3"/>
    <x v="8"/>
    <x v="6"/>
    <x v="1"/>
    <x v="2"/>
    <x v="851"/>
  </r>
  <r>
    <x v="924"/>
    <x v="68"/>
    <x v="5"/>
    <x v="5"/>
    <x v="1"/>
    <x v="1"/>
    <n v="1"/>
    <n v="5197"/>
    <x v="2"/>
    <n v="3464"/>
    <x v="0"/>
    <x v="0"/>
    <x v="0"/>
    <x v="7"/>
    <x v="5"/>
    <x v="1"/>
    <x v="588"/>
    <x v="852"/>
  </r>
  <r>
    <x v="925"/>
    <x v="205"/>
    <x v="0"/>
    <x v="0"/>
    <x v="1"/>
    <x v="1"/>
    <n v="1"/>
    <n v="6972"/>
    <x v="2"/>
    <n v="4648"/>
    <x v="0"/>
    <x v="2"/>
    <x v="1"/>
    <x v="4"/>
    <x v="9"/>
    <x v="1"/>
    <x v="589"/>
    <x v="853"/>
  </r>
  <r>
    <x v="926"/>
    <x v="222"/>
    <x v="1"/>
    <x v="1"/>
    <x v="1"/>
    <x v="1"/>
    <n v="1"/>
    <n v="5507"/>
    <x v="0"/>
    <n v="1835"/>
    <x v="0"/>
    <x v="0"/>
    <x v="3"/>
    <x v="7"/>
    <x v="2"/>
    <x v="0"/>
    <x v="590"/>
    <x v="854"/>
  </r>
  <r>
    <x v="927"/>
    <x v="294"/>
    <x v="9"/>
    <x v="8"/>
    <x v="0"/>
    <x v="0"/>
    <n v="1"/>
    <n v="11274"/>
    <x v="2"/>
    <n v="7516"/>
    <x v="0"/>
    <x v="1"/>
    <x v="0"/>
    <x v="14"/>
    <x v="0"/>
    <x v="1"/>
    <x v="591"/>
    <x v="855"/>
  </r>
  <r>
    <x v="928"/>
    <x v="279"/>
    <x v="12"/>
    <x v="11"/>
    <x v="1"/>
    <x v="1"/>
    <n v="1"/>
    <n v="5097"/>
    <x v="1"/>
    <n v="5097"/>
    <x v="1"/>
    <x v="0"/>
    <x v="5"/>
    <x v="4"/>
    <x v="7"/>
    <x v="0"/>
    <x v="1"/>
    <x v="856"/>
  </r>
  <r>
    <x v="929"/>
    <x v="341"/>
    <x v="13"/>
    <x v="9"/>
    <x v="0"/>
    <x v="0"/>
    <n v="1"/>
    <n v="4857"/>
    <x v="0"/>
    <n v="1619"/>
    <x v="0"/>
    <x v="1"/>
    <x v="2"/>
    <x v="3"/>
    <x v="3"/>
    <x v="1"/>
    <x v="592"/>
    <x v="857"/>
  </r>
  <r>
    <x v="930"/>
    <x v="90"/>
    <x v="5"/>
    <x v="5"/>
    <x v="1"/>
    <x v="1"/>
    <n v="1"/>
    <n v="4469"/>
    <x v="0"/>
    <n v="1489"/>
    <x v="0"/>
    <x v="2"/>
    <x v="4"/>
    <x v="12"/>
    <x v="6"/>
    <x v="0"/>
    <x v="227"/>
    <x v="858"/>
  </r>
  <r>
    <x v="931"/>
    <x v="34"/>
    <x v="9"/>
    <x v="8"/>
    <x v="1"/>
    <x v="1"/>
    <n v="1"/>
    <n v="14203"/>
    <x v="0"/>
    <n v="4734"/>
    <x v="0"/>
    <x v="0"/>
    <x v="1"/>
    <x v="7"/>
    <x v="9"/>
    <x v="0"/>
    <x v="593"/>
    <x v="859"/>
  </r>
  <r>
    <x v="932"/>
    <x v="79"/>
    <x v="4"/>
    <x v="4"/>
    <x v="1"/>
    <x v="1"/>
    <n v="1"/>
    <n v="4057"/>
    <x v="1"/>
    <n v="4056"/>
    <x v="0"/>
    <x v="0"/>
    <x v="4"/>
    <x v="13"/>
    <x v="2"/>
    <x v="1"/>
    <x v="2"/>
    <x v="860"/>
  </r>
  <r>
    <x v="933"/>
    <x v="226"/>
    <x v="0"/>
    <x v="0"/>
    <x v="1"/>
    <x v="1"/>
    <n v="1"/>
    <n v="4979"/>
    <x v="1"/>
    <n v="4977"/>
    <x v="0"/>
    <x v="2"/>
    <x v="5"/>
    <x v="12"/>
    <x v="0"/>
    <x v="1"/>
    <x v="4"/>
    <x v="861"/>
  </r>
  <r>
    <x v="934"/>
    <x v="151"/>
    <x v="5"/>
    <x v="5"/>
    <x v="1"/>
    <x v="1"/>
    <n v="1"/>
    <n v="5368"/>
    <x v="0"/>
    <n v="1789"/>
    <x v="0"/>
    <x v="0"/>
    <x v="3"/>
    <x v="3"/>
    <x v="1"/>
    <x v="1"/>
    <x v="594"/>
    <x v="862"/>
  </r>
  <r>
    <x v="935"/>
    <x v="342"/>
    <x v="11"/>
    <x v="10"/>
    <x v="0"/>
    <x v="0"/>
    <n v="1"/>
    <n v="5305"/>
    <x v="1"/>
    <n v="5304"/>
    <x v="0"/>
    <x v="0"/>
    <x v="3"/>
    <x v="4"/>
    <x v="8"/>
    <x v="1"/>
    <x v="2"/>
    <x v="863"/>
  </r>
  <r>
    <x v="936"/>
    <x v="266"/>
    <x v="8"/>
    <x v="7"/>
    <x v="0"/>
    <x v="0"/>
    <n v="1"/>
    <n v="14944"/>
    <x v="0"/>
    <n v="4981"/>
    <x v="0"/>
    <x v="2"/>
    <x v="0"/>
    <x v="10"/>
    <x v="2"/>
    <x v="1"/>
    <x v="595"/>
    <x v="864"/>
  </r>
  <r>
    <x v="937"/>
    <x v="331"/>
    <x v="8"/>
    <x v="7"/>
    <x v="1"/>
    <x v="1"/>
    <n v="1"/>
    <n v="10644"/>
    <x v="2"/>
    <n v="7096"/>
    <x v="0"/>
    <x v="1"/>
    <x v="3"/>
    <x v="9"/>
    <x v="7"/>
    <x v="1"/>
    <x v="139"/>
    <x v="865"/>
  </r>
  <r>
    <x v="938"/>
    <x v="150"/>
    <x v="0"/>
    <x v="0"/>
    <x v="0"/>
    <x v="0"/>
    <n v="1"/>
    <n v="5563"/>
    <x v="1"/>
    <n v="5562"/>
    <x v="0"/>
    <x v="2"/>
    <x v="1"/>
    <x v="3"/>
    <x v="2"/>
    <x v="0"/>
    <x v="2"/>
    <x v="600"/>
  </r>
  <r>
    <x v="939"/>
    <x v="100"/>
    <x v="2"/>
    <x v="2"/>
    <x v="0"/>
    <x v="0"/>
    <n v="1"/>
    <n v="6762"/>
    <x v="0"/>
    <n v="2254"/>
    <x v="0"/>
    <x v="1"/>
    <x v="0"/>
    <x v="4"/>
    <x v="4"/>
    <x v="0"/>
    <x v="596"/>
    <x v="866"/>
  </r>
  <r>
    <x v="940"/>
    <x v="257"/>
    <x v="7"/>
    <x v="6"/>
    <x v="1"/>
    <x v="1"/>
    <n v="1"/>
    <n v="11016"/>
    <x v="1"/>
    <n v="11016"/>
    <x v="1"/>
    <x v="2"/>
    <x v="2"/>
    <x v="3"/>
    <x v="4"/>
    <x v="1"/>
    <x v="1"/>
    <x v="867"/>
  </r>
  <r>
    <x v="941"/>
    <x v="135"/>
    <x v="8"/>
    <x v="7"/>
    <x v="1"/>
    <x v="1"/>
    <n v="1"/>
    <n v="10658"/>
    <x v="1"/>
    <n v="10656"/>
    <x v="0"/>
    <x v="0"/>
    <x v="0"/>
    <x v="3"/>
    <x v="5"/>
    <x v="1"/>
    <x v="4"/>
    <x v="868"/>
  </r>
  <r>
    <x v="942"/>
    <x v="258"/>
    <x v="0"/>
    <x v="0"/>
    <x v="1"/>
    <x v="1"/>
    <n v="1"/>
    <n v="7662"/>
    <x v="2"/>
    <n v="5108"/>
    <x v="0"/>
    <x v="0"/>
    <x v="2"/>
    <x v="1"/>
    <x v="4"/>
    <x v="1"/>
    <x v="97"/>
    <x v="234"/>
  </r>
  <r>
    <x v="943"/>
    <x v="173"/>
    <x v="9"/>
    <x v="8"/>
    <x v="1"/>
    <x v="1"/>
    <n v="1"/>
    <n v="14590"/>
    <x v="0"/>
    <n v="4863"/>
    <x v="0"/>
    <x v="1"/>
    <x v="5"/>
    <x v="10"/>
    <x v="0"/>
    <x v="1"/>
    <x v="597"/>
    <x v="869"/>
  </r>
  <r>
    <x v="944"/>
    <x v="173"/>
    <x v="8"/>
    <x v="7"/>
    <x v="0"/>
    <x v="0"/>
    <n v="1"/>
    <n v="11539"/>
    <x v="2"/>
    <n v="7692"/>
    <x v="0"/>
    <x v="1"/>
    <x v="0"/>
    <x v="2"/>
    <x v="7"/>
    <x v="0"/>
    <x v="598"/>
    <x v="870"/>
  </r>
  <r>
    <x v="945"/>
    <x v="229"/>
    <x v="13"/>
    <x v="9"/>
    <x v="1"/>
    <x v="1"/>
    <n v="1"/>
    <n v="4578"/>
    <x v="1"/>
    <n v="4578"/>
    <x v="1"/>
    <x v="2"/>
    <x v="3"/>
    <x v="2"/>
    <x v="9"/>
    <x v="0"/>
    <x v="1"/>
    <x v="66"/>
  </r>
  <r>
    <x v="946"/>
    <x v="19"/>
    <x v="11"/>
    <x v="10"/>
    <x v="1"/>
    <x v="1"/>
    <n v="1"/>
    <n v="4027"/>
    <x v="0"/>
    <n v="1342"/>
    <x v="0"/>
    <x v="1"/>
    <x v="5"/>
    <x v="3"/>
    <x v="4"/>
    <x v="0"/>
    <x v="599"/>
    <x v="871"/>
  </r>
  <r>
    <x v="947"/>
    <x v="303"/>
    <x v="12"/>
    <x v="11"/>
    <x v="0"/>
    <x v="0"/>
    <n v="1"/>
    <n v="8927"/>
    <x v="2"/>
    <n v="5950"/>
    <x v="0"/>
    <x v="1"/>
    <x v="4"/>
    <x v="12"/>
    <x v="6"/>
    <x v="0"/>
    <x v="600"/>
    <x v="872"/>
  </r>
  <r>
    <x v="948"/>
    <x v="221"/>
    <x v="4"/>
    <x v="4"/>
    <x v="0"/>
    <x v="0"/>
    <n v="1"/>
    <n v="4717"/>
    <x v="2"/>
    <n v="3144"/>
    <x v="0"/>
    <x v="2"/>
    <x v="1"/>
    <x v="13"/>
    <x v="2"/>
    <x v="0"/>
    <x v="601"/>
    <x v="873"/>
  </r>
  <r>
    <x v="949"/>
    <x v="278"/>
    <x v="7"/>
    <x v="6"/>
    <x v="1"/>
    <x v="1"/>
    <n v="1"/>
    <n v="11476"/>
    <x v="2"/>
    <n v="7650"/>
    <x v="0"/>
    <x v="2"/>
    <x v="2"/>
    <x v="6"/>
    <x v="8"/>
    <x v="1"/>
    <x v="194"/>
    <x v="874"/>
  </r>
  <r>
    <x v="950"/>
    <x v="198"/>
    <x v="9"/>
    <x v="8"/>
    <x v="1"/>
    <x v="1"/>
    <n v="1"/>
    <n v="13199"/>
    <x v="0"/>
    <n v="4399"/>
    <x v="0"/>
    <x v="1"/>
    <x v="2"/>
    <x v="14"/>
    <x v="9"/>
    <x v="1"/>
    <x v="602"/>
    <x v="875"/>
  </r>
  <r>
    <x v="951"/>
    <x v="271"/>
    <x v="4"/>
    <x v="4"/>
    <x v="0"/>
    <x v="0"/>
    <n v="1"/>
    <n v="4885"/>
    <x v="1"/>
    <n v="4884"/>
    <x v="0"/>
    <x v="0"/>
    <x v="5"/>
    <x v="5"/>
    <x v="7"/>
    <x v="1"/>
    <x v="2"/>
    <x v="876"/>
  </r>
  <r>
    <x v="952"/>
    <x v="169"/>
    <x v="6"/>
    <x v="6"/>
    <x v="1"/>
    <x v="1"/>
    <n v="1"/>
    <n v="8748"/>
    <x v="0"/>
    <n v="2916"/>
    <x v="0"/>
    <x v="0"/>
    <x v="4"/>
    <x v="0"/>
    <x v="9"/>
    <x v="1"/>
    <x v="603"/>
    <x v="877"/>
  </r>
  <r>
    <x v="953"/>
    <x v="167"/>
    <x v="5"/>
    <x v="5"/>
    <x v="1"/>
    <x v="1"/>
    <n v="1"/>
    <n v="3704"/>
    <x v="1"/>
    <n v="3702"/>
    <x v="0"/>
    <x v="1"/>
    <x v="4"/>
    <x v="0"/>
    <x v="6"/>
    <x v="0"/>
    <x v="4"/>
    <x v="878"/>
  </r>
  <r>
    <x v="954"/>
    <x v="180"/>
    <x v="1"/>
    <x v="1"/>
    <x v="1"/>
    <x v="1"/>
    <n v="1"/>
    <n v="5716"/>
    <x v="0"/>
    <n v="1905"/>
    <x v="0"/>
    <x v="1"/>
    <x v="3"/>
    <x v="10"/>
    <x v="2"/>
    <x v="1"/>
    <x v="604"/>
    <x v="879"/>
  </r>
  <r>
    <x v="955"/>
    <x v="14"/>
    <x v="2"/>
    <x v="2"/>
    <x v="0"/>
    <x v="0"/>
    <n v="1"/>
    <n v="6987"/>
    <x v="0"/>
    <n v="2329"/>
    <x v="0"/>
    <x v="2"/>
    <x v="1"/>
    <x v="5"/>
    <x v="9"/>
    <x v="1"/>
    <x v="605"/>
    <x v="880"/>
  </r>
  <r>
    <x v="956"/>
    <x v="118"/>
    <x v="11"/>
    <x v="10"/>
    <x v="1"/>
    <x v="1"/>
    <n v="1"/>
    <n v="4766"/>
    <x v="0"/>
    <n v="1588"/>
    <x v="0"/>
    <x v="2"/>
    <x v="1"/>
    <x v="10"/>
    <x v="9"/>
    <x v="1"/>
    <x v="606"/>
    <x v="881"/>
  </r>
  <r>
    <x v="957"/>
    <x v="343"/>
    <x v="8"/>
    <x v="7"/>
    <x v="1"/>
    <x v="1"/>
    <n v="1"/>
    <n v="11814"/>
    <x v="0"/>
    <n v="3938"/>
    <x v="0"/>
    <x v="1"/>
    <x v="0"/>
    <x v="11"/>
    <x v="3"/>
    <x v="0"/>
    <x v="607"/>
    <x v="37"/>
  </r>
  <r>
    <x v="958"/>
    <x v="65"/>
    <x v="1"/>
    <x v="1"/>
    <x v="0"/>
    <x v="0"/>
    <n v="1"/>
    <n v="4654"/>
    <x v="2"/>
    <n v="3102"/>
    <x v="0"/>
    <x v="1"/>
    <x v="4"/>
    <x v="6"/>
    <x v="0"/>
    <x v="1"/>
    <x v="608"/>
    <x v="882"/>
  </r>
  <r>
    <x v="959"/>
    <x v="324"/>
    <x v="5"/>
    <x v="5"/>
    <x v="0"/>
    <x v="0"/>
    <n v="1"/>
    <n v="4752"/>
    <x v="2"/>
    <n v="3168"/>
    <x v="0"/>
    <x v="1"/>
    <x v="1"/>
    <x v="4"/>
    <x v="4"/>
    <x v="0"/>
    <x v="540"/>
    <x v="883"/>
  </r>
  <r>
    <x v="960"/>
    <x v="341"/>
    <x v="7"/>
    <x v="6"/>
    <x v="0"/>
    <x v="0"/>
    <n v="1"/>
    <n v="9694"/>
    <x v="0"/>
    <n v="3231"/>
    <x v="0"/>
    <x v="2"/>
    <x v="4"/>
    <x v="8"/>
    <x v="3"/>
    <x v="0"/>
    <x v="609"/>
    <x v="767"/>
  </r>
  <r>
    <x v="961"/>
    <x v="124"/>
    <x v="10"/>
    <x v="9"/>
    <x v="0"/>
    <x v="0"/>
    <n v="1"/>
    <n v="5892"/>
    <x v="2"/>
    <n v="3928"/>
    <x v="0"/>
    <x v="1"/>
    <x v="2"/>
    <x v="1"/>
    <x v="0"/>
    <x v="1"/>
    <x v="610"/>
    <x v="884"/>
  </r>
  <r>
    <x v="962"/>
    <x v="315"/>
    <x v="3"/>
    <x v="3"/>
    <x v="0"/>
    <x v="0"/>
    <n v="1"/>
    <n v="4100"/>
    <x v="0"/>
    <n v="1366"/>
    <x v="0"/>
    <x v="1"/>
    <x v="0"/>
    <x v="11"/>
    <x v="1"/>
    <x v="0"/>
    <x v="611"/>
    <x v="885"/>
  </r>
  <r>
    <x v="963"/>
    <x v="193"/>
    <x v="2"/>
    <x v="2"/>
    <x v="1"/>
    <x v="1"/>
    <n v="1"/>
    <n v="5423"/>
    <x v="2"/>
    <n v="3614"/>
    <x v="0"/>
    <x v="2"/>
    <x v="4"/>
    <x v="13"/>
    <x v="9"/>
    <x v="0"/>
    <x v="612"/>
    <x v="886"/>
  </r>
  <r>
    <x v="964"/>
    <x v="259"/>
    <x v="2"/>
    <x v="2"/>
    <x v="0"/>
    <x v="0"/>
    <n v="1"/>
    <n v="5865"/>
    <x v="0"/>
    <n v="1955"/>
    <x v="0"/>
    <x v="1"/>
    <x v="4"/>
    <x v="5"/>
    <x v="4"/>
    <x v="0"/>
    <x v="613"/>
    <x v="887"/>
  </r>
  <r>
    <x v="965"/>
    <x v="80"/>
    <x v="7"/>
    <x v="6"/>
    <x v="0"/>
    <x v="0"/>
    <n v="1"/>
    <n v="10541"/>
    <x v="2"/>
    <n v="7026"/>
    <x v="0"/>
    <x v="1"/>
    <x v="5"/>
    <x v="11"/>
    <x v="7"/>
    <x v="0"/>
    <x v="614"/>
    <x v="888"/>
  </r>
  <r>
    <x v="966"/>
    <x v="233"/>
    <x v="13"/>
    <x v="9"/>
    <x v="1"/>
    <x v="1"/>
    <n v="1"/>
    <n v="3029"/>
    <x v="2"/>
    <n v="2018"/>
    <x v="0"/>
    <x v="0"/>
    <x v="5"/>
    <x v="0"/>
    <x v="3"/>
    <x v="0"/>
    <x v="615"/>
    <x v="712"/>
  </r>
  <r>
    <x v="967"/>
    <x v="292"/>
    <x v="5"/>
    <x v="5"/>
    <x v="1"/>
    <x v="1"/>
    <n v="1"/>
    <n v="4031"/>
    <x v="1"/>
    <n v="4029"/>
    <x v="0"/>
    <x v="1"/>
    <x v="3"/>
    <x v="2"/>
    <x v="4"/>
    <x v="1"/>
    <x v="4"/>
    <x v="769"/>
  </r>
  <r>
    <x v="968"/>
    <x v="169"/>
    <x v="10"/>
    <x v="9"/>
    <x v="1"/>
    <x v="1"/>
    <n v="1"/>
    <n v="5529"/>
    <x v="0"/>
    <n v="1843"/>
    <x v="0"/>
    <x v="1"/>
    <x v="0"/>
    <x v="8"/>
    <x v="1"/>
    <x v="1"/>
    <x v="616"/>
    <x v="246"/>
  </r>
  <r>
    <x v="969"/>
    <x v="322"/>
    <x v="13"/>
    <x v="9"/>
    <x v="0"/>
    <x v="0"/>
    <n v="1"/>
    <n v="4724"/>
    <x v="1"/>
    <n v="4722"/>
    <x v="0"/>
    <x v="2"/>
    <x v="2"/>
    <x v="14"/>
    <x v="1"/>
    <x v="0"/>
    <x v="4"/>
    <x v="889"/>
  </r>
  <r>
    <x v="970"/>
    <x v="117"/>
    <x v="9"/>
    <x v="8"/>
    <x v="1"/>
    <x v="1"/>
    <n v="1"/>
    <n v="10238"/>
    <x v="0"/>
    <n v="3412"/>
    <x v="0"/>
    <x v="0"/>
    <x v="1"/>
    <x v="7"/>
    <x v="2"/>
    <x v="1"/>
    <x v="617"/>
    <x v="890"/>
  </r>
  <r>
    <x v="971"/>
    <x v="44"/>
    <x v="7"/>
    <x v="6"/>
    <x v="1"/>
    <x v="1"/>
    <n v="1"/>
    <n v="9062"/>
    <x v="1"/>
    <n v="9060"/>
    <x v="0"/>
    <x v="0"/>
    <x v="3"/>
    <x v="8"/>
    <x v="3"/>
    <x v="1"/>
    <x v="4"/>
    <x v="891"/>
  </r>
  <r>
    <x v="972"/>
    <x v="12"/>
    <x v="1"/>
    <x v="1"/>
    <x v="1"/>
    <x v="1"/>
    <n v="1"/>
    <n v="5064"/>
    <x v="1"/>
    <n v="5064"/>
    <x v="1"/>
    <x v="2"/>
    <x v="4"/>
    <x v="4"/>
    <x v="2"/>
    <x v="0"/>
    <x v="1"/>
    <x v="892"/>
  </r>
  <r>
    <x v="973"/>
    <x v="209"/>
    <x v="3"/>
    <x v="3"/>
    <x v="0"/>
    <x v="0"/>
    <n v="1"/>
    <n v="7312"/>
    <x v="2"/>
    <n v="4874"/>
    <x v="0"/>
    <x v="2"/>
    <x v="2"/>
    <x v="10"/>
    <x v="3"/>
    <x v="1"/>
    <x v="618"/>
    <x v="893"/>
  </r>
  <r>
    <x v="974"/>
    <x v="75"/>
    <x v="13"/>
    <x v="9"/>
    <x v="0"/>
    <x v="0"/>
    <n v="1"/>
    <n v="3703"/>
    <x v="1"/>
    <n v="3702"/>
    <x v="0"/>
    <x v="1"/>
    <x v="3"/>
    <x v="2"/>
    <x v="4"/>
    <x v="1"/>
    <x v="2"/>
    <x v="878"/>
  </r>
  <r>
    <x v="975"/>
    <x v="326"/>
    <x v="4"/>
    <x v="4"/>
    <x v="0"/>
    <x v="0"/>
    <n v="1"/>
    <n v="6897"/>
    <x v="1"/>
    <n v="6897"/>
    <x v="1"/>
    <x v="0"/>
    <x v="2"/>
    <x v="1"/>
    <x v="2"/>
    <x v="0"/>
    <x v="1"/>
    <x v="894"/>
  </r>
  <r>
    <x v="976"/>
    <x v="86"/>
    <x v="2"/>
    <x v="2"/>
    <x v="0"/>
    <x v="0"/>
    <n v="1"/>
    <n v="5915"/>
    <x v="0"/>
    <n v="1971"/>
    <x v="0"/>
    <x v="2"/>
    <x v="3"/>
    <x v="2"/>
    <x v="3"/>
    <x v="0"/>
    <x v="619"/>
    <x v="895"/>
  </r>
  <r>
    <x v="977"/>
    <x v="199"/>
    <x v="2"/>
    <x v="2"/>
    <x v="0"/>
    <x v="0"/>
    <n v="1"/>
    <n v="6327"/>
    <x v="2"/>
    <n v="4218"/>
    <x v="0"/>
    <x v="0"/>
    <x v="2"/>
    <x v="13"/>
    <x v="8"/>
    <x v="1"/>
    <x v="567"/>
    <x v="896"/>
  </r>
  <r>
    <x v="978"/>
    <x v="216"/>
    <x v="4"/>
    <x v="4"/>
    <x v="1"/>
    <x v="1"/>
    <n v="1"/>
    <n v="5388"/>
    <x v="0"/>
    <n v="1796"/>
    <x v="0"/>
    <x v="0"/>
    <x v="3"/>
    <x v="3"/>
    <x v="3"/>
    <x v="1"/>
    <x v="620"/>
    <x v="897"/>
  </r>
  <r>
    <x v="979"/>
    <x v="253"/>
    <x v="13"/>
    <x v="9"/>
    <x v="1"/>
    <x v="1"/>
    <n v="1"/>
    <n v="3760"/>
    <x v="0"/>
    <n v="1253"/>
    <x v="0"/>
    <x v="1"/>
    <x v="2"/>
    <x v="7"/>
    <x v="8"/>
    <x v="0"/>
    <x v="621"/>
    <x v="694"/>
  </r>
  <r>
    <x v="980"/>
    <x v="133"/>
    <x v="8"/>
    <x v="7"/>
    <x v="0"/>
    <x v="0"/>
    <n v="1"/>
    <n v="13404"/>
    <x v="2"/>
    <n v="8936"/>
    <x v="0"/>
    <x v="0"/>
    <x v="4"/>
    <x v="3"/>
    <x v="7"/>
    <x v="0"/>
    <x v="622"/>
    <x v="898"/>
  </r>
  <r>
    <x v="981"/>
    <x v="134"/>
    <x v="5"/>
    <x v="5"/>
    <x v="1"/>
    <x v="1"/>
    <n v="1"/>
    <n v="3512"/>
    <x v="0"/>
    <n v="1170"/>
    <x v="0"/>
    <x v="0"/>
    <x v="3"/>
    <x v="13"/>
    <x v="5"/>
    <x v="1"/>
    <x v="623"/>
    <x v="899"/>
  </r>
  <r>
    <x v="982"/>
    <x v="114"/>
    <x v="11"/>
    <x v="10"/>
    <x v="0"/>
    <x v="0"/>
    <n v="1"/>
    <n v="4142"/>
    <x v="0"/>
    <n v="1380"/>
    <x v="0"/>
    <x v="0"/>
    <x v="3"/>
    <x v="11"/>
    <x v="3"/>
    <x v="1"/>
    <x v="624"/>
    <x v="900"/>
  </r>
  <r>
    <x v="983"/>
    <x v="84"/>
    <x v="10"/>
    <x v="9"/>
    <x v="0"/>
    <x v="0"/>
    <n v="1"/>
    <n v="4985"/>
    <x v="0"/>
    <n v="1661"/>
    <x v="0"/>
    <x v="1"/>
    <x v="4"/>
    <x v="12"/>
    <x v="8"/>
    <x v="0"/>
    <x v="154"/>
    <x v="901"/>
  </r>
  <r>
    <x v="984"/>
    <x v="115"/>
    <x v="0"/>
    <x v="0"/>
    <x v="0"/>
    <x v="0"/>
    <n v="1"/>
    <n v="7159"/>
    <x v="0"/>
    <n v="2386"/>
    <x v="0"/>
    <x v="2"/>
    <x v="0"/>
    <x v="9"/>
    <x v="2"/>
    <x v="0"/>
    <x v="444"/>
    <x v="666"/>
  </r>
  <r>
    <x v="985"/>
    <x v="64"/>
    <x v="4"/>
    <x v="4"/>
    <x v="0"/>
    <x v="0"/>
    <n v="1"/>
    <n v="5011"/>
    <x v="0"/>
    <n v="1670"/>
    <x v="0"/>
    <x v="1"/>
    <x v="0"/>
    <x v="1"/>
    <x v="1"/>
    <x v="0"/>
    <x v="625"/>
    <x v="902"/>
  </r>
  <r>
    <x v="986"/>
    <x v="63"/>
    <x v="1"/>
    <x v="1"/>
    <x v="0"/>
    <x v="0"/>
    <n v="1"/>
    <n v="6215"/>
    <x v="2"/>
    <n v="4142"/>
    <x v="0"/>
    <x v="2"/>
    <x v="5"/>
    <x v="6"/>
    <x v="2"/>
    <x v="1"/>
    <x v="626"/>
    <x v="903"/>
  </r>
  <r>
    <x v="987"/>
    <x v="88"/>
    <x v="8"/>
    <x v="7"/>
    <x v="0"/>
    <x v="0"/>
    <n v="1"/>
    <n v="10680"/>
    <x v="2"/>
    <n v="7120"/>
    <x v="0"/>
    <x v="0"/>
    <x v="1"/>
    <x v="11"/>
    <x v="6"/>
    <x v="1"/>
    <x v="627"/>
    <x v="904"/>
  </r>
  <r>
    <x v="988"/>
    <x v="161"/>
    <x v="8"/>
    <x v="7"/>
    <x v="0"/>
    <x v="0"/>
    <n v="1"/>
    <n v="9874"/>
    <x v="1"/>
    <n v="9873"/>
    <x v="0"/>
    <x v="2"/>
    <x v="2"/>
    <x v="3"/>
    <x v="0"/>
    <x v="0"/>
    <x v="2"/>
    <x v="905"/>
  </r>
  <r>
    <x v="989"/>
    <x v="229"/>
    <x v="12"/>
    <x v="11"/>
    <x v="0"/>
    <x v="0"/>
    <n v="1"/>
    <n v="5128"/>
    <x v="1"/>
    <n v="5127"/>
    <x v="0"/>
    <x v="0"/>
    <x v="1"/>
    <x v="14"/>
    <x v="7"/>
    <x v="1"/>
    <x v="2"/>
    <x v="906"/>
  </r>
  <r>
    <x v="990"/>
    <x v="228"/>
    <x v="2"/>
    <x v="2"/>
    <x v="1"/>
    <x v="1"/>
    <n v="1"/>
    <n v="7248"/>
    <x v="1"/>
    <n v="7248"/>
    <x v="1"/>
    <x v="2"/>
    <x v="2"/>
    <x v="3"/>
    <x v="6"/>
    <x v="0"/>
    <x v="1"/>
    <x v="907"/>
  </r>
  <r>
    <x v="991"/>
    <x v="103"/>
    <x v="8"/>
    <x v="7"/>
    <x v="1"/>
    <x v="1"/>
    <n v="1"/>
    <n v="12681"/>
    <x v="2"/>
    <n v="8454"/>
    <x v="0"/>
    <x v="0"/>
    <x v="5"/>
    <x v="4"/>
    <x v="4"/>
    <x v="1"/>
    <x v="628"/>
    <x v="908"/>
  </r>
  <r>
    <x v="992"/>
    <x v="278"/>
    <x v="1"/>
    <x v="1"/>
    <x v="1"/>
    <x v="1"/>
    <n v="1"/>
    <n v="6480"/>
    <x v="0"/>
    <n v="2160"/>
    <x v="0"/>
    <x v="1"/>
    <x v="4"/>
    <x v="14"/>
    <x v="9"/>
    <x v="0"/>
    <x v="629"/>
    <x v="909"/>
  </r>
  <r>
    <x v="993"/>
    <x v="64"/>
    <x v="5"/>
    <x v="5"/>
    <x v="0"/>
    <x v="0"/>
    <n v="1"/>
    <n v="4133"/>
    <x v="2"/>
    <n v="2754"/>
    <x v="0"/>
    <x v="1"/>
    <x v="4"/>
    <x v="2"/>
    <x v="6"/>
    <x v="0"/>
    <x v="630"/>
    <x v="910"/>
  </r>
  <r>
    <x v="994"/>
    <x v="315"/>
    <x v="3"/>
    <x v="3"/>
    <x v="1"/>
    <x v="1"/>
    <n v="1"/>
    <n v="4640"/>
    <x v="1"/>
    <n v="4638"/>
    <x v="0"/>
    <x v="0"/>
    <x v="0"/>
    <x v="6"/>
    <x v="2"/>
    <x v="1"/>
    <x v="4"/>
    <x v="210"/>
  </r>
  <r>
    <x v="995"/>
    <x v="107"/>
    <x v="7"/>
    <x v="6"/>
    <x v="0"/>
    <x v="0"/>
    <n v="1"/>
    <n v="8862"/>
    <x v="1"/>
    <n v="8862"/>
    <x v="1"/>
    <x v="1"/>
    <x v="3"/>
    <x v="0"/>
    <x v="3"/>
    <x v="1"/>
    <x v="1"/>
    <x v="911"/>
  </r>
  <r>
    <x v="996"/>
    <x v="340"/>
    <x v="12"/>
    <x v="11"/>
    <x v="0"/>
    <x v="0"/>
    <n v="1"/>
    <n v="7556"/>
    <x v="1"/>
    <n v="7554"/>
    <x v="0"/>
    <x v="0"/>
    <x v="0"/>
    <x v="0"/>
    <x v="6"/>
    <x v="1"/>
    <x v="4"/>
    <x v="912"/>
  </r>
  <r>
    <x v="997"/>
    <x v="55"/>
    <x v="2"/>
    <x v="2"/>
    <x v="0"/>
    <x v="0"/>
    <n v="1"/>
    <n v="5691"/>
    <x v="2"/>
    <n v="3794"/>
    <x v="0"/>
    <x v="2"/>
    <x v="1"/>
    <x v="9"/>
    <x v="4"/>
    <x v="1"/>
    <x v="631"/>
    <x v="913"/>
  </r>
  <r>
    <x v="998"/>
    <x v="292"/>
    <x v="8"/>
    <x v="7"/>
    <x v="1"/>
    <x v="1"/>
    <n v="1"/>
    <n v="14861"/>
    <x v="1"/>
    <n v="14859"/>
    <x v="0"/>
    <x v="2"/>
    <x v="3"/>
    <x v="1"/>
    <x v="7"/>
    <x v="0"/>
    <x v="4"/>
    <x v="914"/>
  </r>
  <r>
    <x v="999"/>
    <x v="252"/>
    <x v="1"/>
    <x v="1"/>
    <x v="0"/>
    <x v="0"/>
    <n v="1"/>
    <n v="4837"/>
    <x v="2"/>
    <n v="3224"/>
    <x v="0"/>
    <x v="2"/>
    <x v="2"/>
    <x v="5"/>
    <x v="1"/>
    <x v="1"/>
    <x v="178"/>
    <x v="117"/>
  </r>
  <r>
    <x v="1000"/>
    <x v="238"/>
    <x v="2"/>
    <x v="2"/>
    <x v="1"/>
    <x v="1"/>
    <n v="1"/>
    <n v="6428"/>
    <x v="2"/>
    <n v="4284"/>
    <x v="0"/>
    <x v="1"/>
    <x v="1"/>
    <x v="1"/>
    <x v="0"/>
    <x v="1"/>
    <x v="33"/>
    <x v="53"/>
  </r>
  <r>
    <x v="1001"/>
    <x v="326"/>
    <x v="12"/>
    <x v="11"/>
    <x v="0"/>
    <x v="0"/>
    <n v="1"/>
    <n v="7817"/>
    <x v="0"/>
    <n v="2605"/>
    <x v="0"/>
    <x v="1"/>
    <x v="4"/>
    <x v="0"/>
    <x v="2"/>
    <x v="0"/>
    <x v="632"/>
    <x v="915"/>
  </r>
  <r>
    <x v="1002"/>
    <x v="63"/>
    <x v="13"/>
    <x v="9"/>
    <x v="0"/>
    <x v="0"/>
    <n v="1"/>
    <n v="4758"/>
    <x v="2"/>
    <n v="3172"/>
    <x v="0"/>
    <x v="1"/>
    <x v="5"/>
    <x v="4"/>
    <x v="0"/>
    <x v="1"/>
    <x v="633"/>
    <x v="916"/>
  </r>
  <r>
    <x v="1003"/>
    <x v="160"/>
    <x v="5"/>
    <x v="5"/>
    <x v="1"/>
    <x v="1"/>
    <n v="1"/>
    <n v="5433"/>
    <x v="2"/>
    <n v="3622"/>
    <x v="0"/>
    <x v="1"/>
    <x v="1"/>
    <x v="9"/>
    <x v="9"/>
    <x v="0"/>
    <x v="634"/>
    <x v="366"/>
  </r>
  <r>
    <x v="1004"/>
    <x v="25"/>
    <x v="7"/>
    <x v="6"/>
    <x v="1"/>
    <x v="1"/>
    <n v="1"/>
    <n v="8141"/>
    <x v="2"/>
    <n v="5426"/>
    <x v="0"/>
    <x v="2"/>
    <x v="2"/>
    <x v="6"/>
    <x v="0"/>
    <x v="0"/>
    <x v="635"/>
    <x v="917"/>
  </r>
  <r>
    <x v="1005"/>
    <x v="273"/>
    <x v="3"/>
    <x v="3"/>
    <x v="0"/>
    <x v="0"/>
    <n v="1"/>
    <n v="5366"/>
    <x v="1"/>
    <n v="5364"/>
    <x v="0"/>
    <x v="0"/>
    <x v="5"/>
    <x v="12"/>
    <x v="5"/>
    <x v="1"/>
    <x v="4"/>
    <x v="918"/>
  </r>
  <r>
    <x v="1006"/>
    <x v="320"/>
    <x v="11"/>
    <x v="10"/>
    <x v="0"/>
    <x v="0"/>
    <n v="1"/>
    <n v="4684"/>
    <x v="0"/>
    <n v="1561"/>
    <x v="0"/>
    <x v="1"/>
    <x v="5"/>
    <x v="8"/>
    <x v="1"/>
    <x v="1"/>
    <x v="636"/>
    <x v="919"/>
  </r>
  <r>
    <x v="1007"/>
    <x v="255"/>
    <x v="2"/>
    <x v="2"/>
    <x v="1"/>
    <x v="1"/>
    <n v="1"/>
    <n v="7568"/>
    <x v="0"/>
    <n v="2522"/>
    <x v="0"/>
    <x v="1"/>
    <x v="3"/>
    <x v="6"/>
    <x v="4"/>
    <x v="0"/>
    <x v="637"/>
    <x v="730"/>
  </r>
  <r>
    <x v="1008"/>
    <x v="85"/>
    <x v="6"/>
    <x v="6"/>
    <x v="1"/>
    <x v="1"/>
    <n v="1"/>
    <n v="10738"/>
    <x v="0"/>
    <n v="3579"/>
    <x v="0"/>
    <x v="0"/>
    <x v="0"/>
    <x v="10"/>
    <x v="0"/>
    <x v="0"/>
    <x v="638"/>
    <x v="920"/>
  </r>
  <r>
    <x v="1009"/>
    <x v="254"/>
    <x v="11"/>
    <x v="10"/>
    <x v="1"/>
    <x v="1"/>
    <n v="1"/>
    <n v="3646"/>
    <x v="1"/>
    <n v="3645"/>
    <x v="0"/>
    <x v="1"/>
    <x v="3"/>
    <x v="3"/>
    <x v="5"/>
    <x v="0"/>
    <x v="2"/>
    <x v="921"/>
  </r>
  <r>
    <x v="1010"/>
    <x v="38"/>
    <x v="13"/>
    <x v="9"/>
    <x v="1"/>
    <x v="1"/>
    <n v="1"/>
    <n v="4898"/>
    <x v="0"/>
    <n v="1632"/>
    <x v="0"/>
    <x v="0"/>
    <x v="5"/>
    <x v="12"/>
    <x v="4"/>
    <x v="1"/>
    <x v="639"/>
    <x v="922"/>
  </r>
  <r>
    <x v="1011"/>
    <x v="95"/>
    <x v="7"/>
    <x v="6"/>
    <x v="0"/>
    <x v="0"/>
    <n v="1"/>
    <n v="8438"/>
    <x v="1"/>
    <n v="8436"/>
    <x v="0"/>
    <x v="1"/>
    <x v="5"/>
    <x v="7"/>
    <x v="5"/>
    <x v="0"/>
    <x v="4"/>
    <x v="923"/>
  </r>
  <r>
    <x v="1012"/>
    <x v="87"/>
    <x v="4"/>
    <x v="4"/>
    <x v="0"/>
    <x v="0"/>
    <n v="1"/>
    <n v="4567"/>
    <x v="2"/>
    <n v="3044"/>
    <x v="0"/>
    <x v="2"/>
    <x v="5"/>
    <x v="5"/>
    <x v="5"/>
    <x v="1"/>
    <x v="640"/>
    <x v="134"/>
  </r>
  <r>
    <x v="1013"/>
    <x v="330"/>
    <x v="9"/>
    <x v="8"/>
    <x v="1"/>
    <x v="1"/>
    <n v="1"/>
    <n v="13047"/>
    <x v="1"/>
    <n v="13047"/>
    <x v="1"/>
    <x v="2"/>
    <x v="5"/>
    <x v="2"/>
    <x v="8"/>
    <x v="0"/>
    <x v="1"/>
    <x v="924"/>
  </r>
  <r>
    <x v="1014"/>
    <x v="338"/>
    <x v="11"/>
    <x v="10"/>
    <x v="1"/>
    <x v="1"/>
    <n v="1"/>
    <n v="3579"/>
    <x v="2"/>
    <n v="2386"/>
    <x v="0"/>
    <x v="0"/>
    <x v="3"/>
    <x v="1"/>
    <x v="7"/>
    <x v="1"/>
    <x v="641"/>
    <x v="666"/>
  </r>
  <r>
    <x v="1015"/>
    <x v="105"/>
    <x v="4"/>
    <x v="4"/>
    <x v="0"/>
    <x v="0"/>
    <n v="1"/>
    <n v="6101"/>
    <x v="0"/>
    <n v="2033"/>
    <x v="0"/>
    <x v="1"/>
    <x v="5"/>
    <x v="11"/>
    <x v="1"/>
    <x v="1"/>
    <x v="322"/>
    <x v="925"/>
  </r>
  <r>
    <x v="1016"/>
    <x v="133"/>
    <x v="7"/>
    <x v="6"/>
    <x v="0"/>
    <x v="0"/>
    <n v="1"/>
    <n v="8292"/>
    <x v="0"/>
    <n v="2764"/>
    <x v="0"/>
    <x v="1"/>
    <x v="2"/>
    <x v="3"/>
    <x v="1"/>
    <x v="1"/>
    <x v="642"/>
    <x v="926"/>
  </r>
  <r>
    <x v="1017"/>
    <x v="293"/>
    <x v="7"/>
    <x v="6"/>
    <x v="0"/>
    <x v="0"/>
    <n v="1"/>
    <n v="10538"/>
    <x v="2"/>
    <n v="7024"/>
    <x v="0"/>
    <x v="0"/>
    <x v="2"/>
    <x v="1"/>
    <x v="1"/>
    <x v="0"/>
    <x v="643"/>
    <x v="927"/>
  </r>
  <r>
    <x v="1018"/>
    <x v="344"/>
    <x v="2"/>
    <x v="2"/>
    <x v="0"/>
    <x v="0"/>
    <n v="1"/>
    <n v="5183"/>
    <x v="1"/>
    <n v="5181"/>
    <x v="0"/>
    <x v="1"/>
    <x v="5"/>
    <x v="12"/>
    <x v="9"/>
    <x v="0"/>
    <x v="4"/>
    <x v="928"/>
  </r>
  <r>
    <x v="1019"/>
    <x v="333"/>
    <x v="9"/>
    <x v="8"/>
    <x v="0"/>
    <x v="0"/>
    <n v="1"/>
    <n v="12759"/>
    <x v="0"/>
    <n v="4253"/>
    <x v="0"/>
    <x v="1"/>
    <x v="4"/>
    <x v="12"/>
    <x v="9"/>
    <x v="1"/>
    <x v="644"/>
    <x v="929"/>
  </r>
  <r>
    <x v="1020"/>
    <x v="167"/>
    <x v="10"/>
    <x v="9"/>
    <x v="0"/>
    <x v="0"/>
    <n v="1"/>
    <n v="6778"/>
    <x v="1"/>
    <n v="6777"/>
    <x v="0"/>
    <x v="0"/>
    <x v="2"/>
    <x v="11"/>
    <x v="3"/>
    <x v="1"/>
    <x v="2"/>
    <x v="930"/>
  </r>
  <r>
    <x v="1021"/>
    <x v="31"/>
    <x v="2"/>
    <x v="2"/>
    <x v="1"/>
    <x v="1"/>
    <n v="1"/>
    <n v="7196"/>
    <x v="0"/>
    <n v="2398"/>
    <x v="0"/>
    <x v="0"/>
    <x v="1"/>
    <x v="8"/>
    <x v="4"/>
    <x v="1"/>
    <x v="645"/>
    <x v="931"/>
  </r>
  <r>
    <x v="1022"/>
    <x v="117"/>
    <x v="8"/>
    <x v="7"/>
    <x v="1"/>
    <x v="1"/>
    <n v="1"/>
    <n v="11507"/>
    <x v="0"/>
    <n v="3835"/>
    <x v="0"/>
    <x v="1"/>
    <x v="0"/>
    <x v="8"/>
    <x v="3"/>
    <x v="1"/>
    <x v="646"/>
    <x v="932"/>
  </r>
  <r>
    <x v="1023"/>
    <x v="197"/>
    <x v="12"/>
    <x v="11"/>
    <x v="0"/>
    <x v="0"/>
    <n v="1"/>
    <n v="7491"/>
    <x v="2"/>
    <n v="4994"/>
    <x v="0"/>
    <x v="1"/>
    <x v="2"/>
    <x v="9"/>
    <x v="6"/>
    <x v="1"/>
    <x v="647"/>
    <x v="933"/>
  </r>
  <r>
    <x v="1024"/>
    <x v="243"/>
    <x v="0"/>
    <x v="0"/>
    <x v="1"/>
    <x v="1"/>
    <n v="1"/>
    <n v="4482"/>
    <x v="2"/>
    <n v="2988"/>
    <x v="0"/>
    <x v="0"/>
    <x v="5"/>
    <x v="8"/>
    <x v="1"/>
    <x v="1"/>
    <x v="648"/>
    <x v="934"/>
  </r>
  <r>
    <x v="1025"/>
    <x v="62"/>
    <x v="13"/>
    <x v="9"/>
    <x v="0"/>
    <x v="0"/>
    <n v="1"/>
    <n v="3073"/>
    <x v="0"/>
    <n v="1024"/>
    <x v="0"/>
    <x v="0"/>
    <x v="2"/>
    <x v="1"/>
    <x v="0"/>
    <x v="0"/>
    <x v="125"/>
    <x v="935"/>
  </r>
  <r>
    <x v="1026"/>
    <x v="198"/>
    <x v="9"/>
    <x v="8"/>
    <x v="0"/>
    <x v="0"/>
    <n v="1"/>
    <n v="8688"/>
    <x v="1"/>
    <n v="8688"/>
    <x v="1"/>
    <x v="2"/>
    <x v="0"/>
    <x v="0"/>
    <x v="1"/>
    <x v="1"/>
    <x v="1"/>
    <x v="936"/>
  </r>
  <r>
    <x v="1027"/>
    <x v="176"/>
    <x v="8"/>
    <x v="7"/>
    <x v="1"/>
    <x v="1"/>
    <n v="1"/>
    <n v="9534"/>
    <x v="1"/>
    <n v="9534"/>
    <x v="1"/>
    <x v="0"/>
    <x v="5"/>
    <x v="4"/>
    <x v="1"/>
    <x v="0"/>
    <x v="1"/>
    <x v="618"/>
  </r>
  <r>
    <x v="1028"/>
    <x v="144"/>
    <x v="3"/>
    <x v="3"/>
    <x v="0"/>
    <x v="0"/>
    <n v="1"/>
    <n v="4412"/>
    <x v="2"/>
    <n v="2940"/>
    <x v="0"/>
    <x v="0"/>
    <x v="4"/>
    <x v="6"/>
    <x v="6"/>
    <x v="0"/>
    <x v="649"/>
    <x v="937"/>
  </r>
  <r>
    <x v="1029"/>
    <x v="42"/>
    <x v="2"/>
    <x v="2"/>
    <x v="0"/>
    <x v="0"/>
    <n v="1"/>
    <n v="7914"/>
    <x v="1"/>
    <n v="7914"/>
    <x v="1"/>
    <x v="0"/>
    <x v="4"/>
    <x v="8"/>
    <x v="3"/>
    <x v="1"/>
    <x v="1"/>
    <x v="938"/>
  </r>
  <r>
    <x v="1030"/>
    <x v="95"/>
    <x v="8"/>
    <x v="7"/>
    <x v="1"/>
    <x v="1"/>
    <n v="1"/>
    <n v="11732"/>
    <x v="0"/>
    <n v="3910"/>
    <x v="0"/>
    <x v="1"/>
    <x v="2"/>
    <x v="7"/>
    <x v="7"/>
    <x v="0"/>
    <x v="650"/>
    <x v="939"/>
  </r>
  <r>
    <x v="1031"/>
    <x v="173"/>
    <x v="13"/>
    <x v="9"/>
    <x v="0"/>
    <x v="0"/>
    <n v="1"/>
    <n v="4880"/>
    <x v="0"/>
    <n v="1626"/>
    <x v="0"/>
    <x v="2"/>
    <x v="1"/>
    <x v="10"/>
    <x v="9"/>
    <x v="0"/>
    <x v="651"/>
    <x v="940"/>
  </r>
  <r>
    <x v="1032"/>
    <x v="321"/>
    <x v="8"/>
    <x v="7"/>
    <x v="1"/>
    <x v="1"/>
    <n v="1"/>
    <n v="7344"/>
    <x v="0"/>
    <n v="2448"/>
    <x v="0"/>
    <x v="2"/>
    <x v="3"/>
    <x v="2"/>
    <x v="3"/>
    <x v="1"/>
    <x v="652"/>
    <x v="941"/>
  </r>
  <r>
    <x v="1033"/>
    <x v="278"/>
    <x v="3"/>
    <x v="3"/>
    <x v="1"/>
    <x v="1"/>
    <n v="1"/>
    <n v="5357"/>
    <x v="2"/>
    <n v="3570"/>
    <x v="0"/>
    <x v="0"/>
    <x v="3"/>
    <x v="11"/>
    <x v="1"/>
    <x v="1"/>
    <x v="653"/>
    <x v="942"/>
  </r>
  <r>
    <x v="1034"/>
    <x v="202"/>
    <x v="9"/>
    <x v="8"/>
    <x v="0"/>
    <x v="0"/>
    <n v="1"/>
    <n v="11867"/>
    <x v="0"/>
    <n v="3955"/>
    <x v="0"/>
    <x v="2"/>
    <x v="2"/>
    <x v="6"/>
    <x v="1"/>
    <x v="0"/>
    <x v="654"/>
    <x v="943"/>
  </r>
  <r>
    <x v="1035"/>
    <x v="322"/>
    <x v="11"/>
    <x v="10"/>
    <x v="1"/>
    <x v="1"/>
    <n v="1"/>
    <n v="4328"/>
    <x v="1"/>
    <n v="4326"/>
    <x v="0"/>
    <x v="0"/>
    <x v="5"/>
    <x v="3"/>
    <x v="1"/>
    <x v="1"/>
    <x v="4"/>
    <x v="717"/>
  </r>
  <r>
    <x v="1036"/>
    <x v="16"/>
    <x v="9"/>
    <x v="8"/>
    <x v="1"/>
    <x v="1"/>
    <n v="1"/>
    <n v="10287"/>
    <x v="0"/>
    <n v="3429"/>
    <x v="0"/>
    <x v="1"/>
    <x v="4"/>
    <x v="11"/>
    <x v="5"/>
    <x v="0"/>
    <x v="655"/>
    <x v="944"/>
  </r>
  <r>
    <x v="1037"/>
    <x v="286"/>
    <x v="11"/>
    <x v="10"/>
    <x v="0"/>
    <x v="0"/>
    <n v="1"/>
    <n v="3819"/>
    <x v="2"/>
    <n v="2546"/>
    <x v="0"/>
    <x v="1"/>
    <x v="5"/>
    <x v="13"/>
    <x v="6"/>
    <x v="0"/>
    <x v="656"/>
    <x v="945"/>
  </r>
  <r>
    <x v="1038"/>
    <x v="159"/>
    <x v="0"/>
    <x v="0"/>
    <x v="0"/>
    <x v="0"/>
    <n v="1"/>
    <n v="5190"/>
    <x v="2"/>
    <n v="3460"/>
    <x v="0"/>
    <x v="1"/>
    <x v="5"/>
    <x v="3"/>
    <x v="5"/>
    <x v="0"/>
    <x v="285"/>
    <x v="946"/>
  </r>
  <r>
    <x v="1039"/>
    <x v="156"/>
    <x v="5"/>
    <x v="5"/>
    <x v="0"/>
    <x v="0"/>
    <n v="1"/>
    <n v="5698"/>
    <x v="1"/>
    <n v="5697"/>
    <x v="0"/>
    <x v="0"/>
    <x v="4"/>
    <x v="11"/>
    <x v="4"/>
    <x v="1"/>
    <x v="2"/>
    <x v="947"/>
  </r>
  <r>
    <x v="1040"/>
    <x v="255"/>
    <x v="1"/>
    <x v="1"/>
    <x v="1"/>
    <x v="1"/>
    <n v="1"/>
    <n v="4995"/>
    <x v="1"/>
    <n v="4995"/>
    <x v="1"/>
    <x v="0"/>
    <x v="0"/>
    <x v="1"/>
    <x v="8"/>
    <x v="1"/>
    <x v="1"/>
    <x v="948"/>
  </r>
  <r>
    <x v="1041"/>
    <x v="304"/>
    <x v="8"/>
    <x v="7"/>
    <x v="1"/>
    <x v="1"/>
    <n v="1"/>
    <n v="10054"/>
    <x v="0"/>
    <n v="3351"/>
    <x v="0"/>
    <x v="0"/>
    <x v="0"/>
    <x v="14"/>
    <x v="5"/>
    <x v="1"/>
    <x v="657"/>
    <x v="949"/>
  </r>
  <r>
    <x v="1042"/>
    <x v="33"/>
    <x v="3"/>
    <x v="3"/>
    <x v="1"/>
    <x v="1"/>
    <n v="1"/>
    <n v="6715"/>
    <x v="2"/>
    <n v="4476"/>
    <x v="0"/>
    <x v="0"/>
    <x v="4"/>
    <x v="5"/>
    <x v="0"/>
    <x v="0"/>
    <x v="658"/>
    <x v="950"/>
  </r>
  <r>
    <x v="1043"/>
    <x v="345"/>
    <x v="11"/>
    <x v="10"/>
    <x v="1"/>
    <x v="1"/>
    <n v="1"/>
    <n v="5425"/>
    <x v="1"/>
    <n v="5424"/>
    <x v="0"/>
    <x v="2"/>
    <x v="4"/>
    <x v="5"/>
    <x v="0"/>
    <x v="1"/>
    <x v="2"/>
    <x v="375"/>
  </r>
  <r>
    <x v="1044"/>
    <x v="266"/>
    <x v="3"/>
    <x v="3"/>
    <x v="0"/>
    <x v="0"/>
    <n v="1"/>
    <n v="4114"/>
    <x v="1"/>
    <n v="4113"/>
    <x v="0"/>
    <x v="2"/>
    <x v="3"/>
    <x v="10"/>
    <x v="8"/>
    <x v="1"/>
    <x v="2"/>
    <x v="951"/>
  </r>
  <r>
    <x v="1045"/>
    <x v="39"/>
    <x v="10"/>
    <x v="9"/>
    <x v="1"/>
    <x v="1"/>
    <n v="1"/>
    <n v="6093"/>
    <x v="0"/>
    <n v="2031"/>
    <x v="0"/>
    <x v="1"/>
    <x v="1"/>
    <x v="13"/>
    <x v="1"/>
    <x v="0"/>
    <x v="659"/>
    <x v="952"/>
  </r>
  <r>
    <x v="1046"/>
    <x v="103"/>
    <x v="13"/>
    <x v="9"/>
    <x v="1"/>
    <x v="1"/>
    <n v="1"/>
    <n v="4958"/>
    <x v="2"/>
    <n v="3304"/>
    <x v="0"/>
    <x v="2"/>
    <x v="2"/>
    <x v="3"/>
    <x v="5"/>
    <x v="0"/>
    <x v="660"/>
    <x v="953"/>
  </r>
  <r>
    <x v="1047"/>
    <x v="311"/>
    <x v="11"/>
    <x v="10"/>
    <x v="0"/>
    <x v="0"/>
    <n v="1"/>
    <n v="4257"/>
    <x v="1"/>
    <n v="4257"/>
    <x v="1"/>
    <x v="1"/>
    <x v="3"/>
    <x v="10"/>
    <x v="0"/>
    <x v="1"/>
    <x v="1"/>
    <x v="74"/>
  </r>
  <r>
    <x v="1048"/>
    <x v="190"/>
    <x v="1"/>
    <x v="1"/>
    <x v="0"/>
    <x v="0"/>
    <n v="1"/>
    <n v="6231"/>
    <x v="2"/>
    <n v="4154"/>
    <x v="0"/>
    <x v="2"/>
    <x v="4"/>
    <x v="5"/>
    <x v="7"/>
    <x v="1"/>
    <x v="661"/>
    <x v="954"/>
  </r>
  <r>
    <x v="1049"/>
    <x v="40"/>
    <x v="2"/>
    <x v="2"/>
    <x v="1"/>
    <x v="1"/>
    <n v="1"/>
    <n v="5886"/>
    <x v="1"/>
    <n v="5886"/>
    <x v="1"/>
    <x v="0"/>
    <x v="5"/>
    <x v="11"/>
    <x v="6"/>
    <x v="1"/>
    <x v="1"/>
    <x v="955"/>
  </r>
  <r>
    <x v="1050"/>
    <x v="225"/>
    <x v="5"/>
    <x v="5"/>
    <x v="0"/>
    <x v="0"/>
    <n v="1"/>
    <n v="4735"/>
    <x v="2"/>
    <n v="3156"/>
    <x v="0"/>
    <x v="2"/>
    <x v="3"/>
    <x v="7"/>
    <x v="6"/>
    <x v="0"/>
    <x v="77"/>
    <x v="956"/>
  </r>
  <r>
    <x v="1051"/>
    <x v="246"/>
    <x v="7"/>
    <x v="6"/>
    <x v="0"/>
    <x v="0"/>
    <n v="1"/>
    <n v="10600"/>
    <x v="2"/>
    <n v="7066"/>
    <x v="0"/>
    <x v="1"/>
    <x v="4"/>
    <x v="4"/>
    <x v="1"/>
    <x v="0"/>
    <x v="662"/>
    <x v="957"/>
  </r>
  <r>
    <x v="1052"/>
    <x v="245"/>
    <x v="11"/>
    <x v="10"/>
    <x v="1"/>
    <x v="1"/>
    <n v="1"/>
    <n v="5718"/>
    <x v="2"/>
    <n v="3812"/>
    <x v="0"/>
    <x v="0"/>
    <x v="0"/>
    <x v="11"/>
    <x v="6"/>
    <x v="1"/>
    <x v="15"/>
    <x v="626"/>
  </r>
  <r>
    <x v="1053"/>
    <x v="202"/>
    <x v="8"/>
    <x v="7"/>
    <x v="1"/>
    <x v="1"/>
    <n v="1"/>
    <n v="10179"/>
    <x v="2"/>
    <n v="6786"/>
    <x v="0"/>
    <x v="0"/>
    <x v="5"/>
    <x v="5"/>
    <x v="4"/>
    <x v="0"/>
    <x v="663"/>
    <x v="490"/>
  </r>
  <r>
    <x v="1054"/>
    <x v="165"/>
    <x v="11"/>
    <x v="10"/>
    <x v="0"/>
    <x v="0"/>
    <n v="1"/>
    <n v="5371"/>
    <x v="1"/>
    <n v="5370"/>
    <x v="0"/>
    <x v="2"/>
    <x v="1"/>
    <x v="7"/>
    <x v="7"/>
    <x v="0"/>
    <x v="2"/>
    <x v="770"/>
  </r>
  <r>
    <x v="1055"/>
    <x v="143"/>
    <x v="4"/>
    <x v="4"/>
    <x v="0"/>
    <x v="0"/>
    <n v="1"/>
    <n v="4622"/>
    <x v="1"/>
    <n v="4620"/>
    <x v="0"/>
    <x v="2"/>
    <x v="1"/>
    <x v="4"/>
    <x v="6"/>
    <x v="1"/>
    <x v="4"/>
    <x v="958"/>
  </r>
  <r>
    <x v="1056"/>
    <x v="168"/>
    <x v="6"/>
    <x v="6"/>
    <x v="0"/>
    <x v="0"/>
    <n v="1"/>
    <n v="9279"/>
    <x v="2"/>
    <n v="6186"/>
    <x v="0"/>
    <x v="2"/>
    <x v="4"/>
    <x v="8"/>
    <x v="7"/>
    <x v="0"/>
    <x v="664"/>
    <x v="224"/>
  </r>
  <r>
    <x v="1057"/>
    <x v="290"/>
    <x v="5"/>
    <x v="5"/>
    <x v="0"/>
    <x v="0"/>
    <n v="1"/>
    <n v="4058"/>
    <x v="0"/>
    <n v="1352"/>
    <x v="0"/>
    <x v="1"/>
    <x v="0"/>
    <x v="4"/>
    <x v="4"/>
    <x v="1"/>
    <x v="665"/>
    <x v="959"/>
  </r>
  <r>
    <x v="1058"/>
    <x v="86"/>
    <x v="1"/>
    <x v="1"/>
    <x v="0"/>
    <x v="0"/>
    <n v="1"/>
    <n v="6466"/>
    <x v="0"/>
    <n v="2155"/>
    <x v="0"/>
    <x v="1"/>
    <x v="2"/>
    <x v="13"/>
    <x v="7"/>
    <x v="1"/>
    <x v="666"/>
    <x v="960"/>
  </r>
  <r>
    <x v="1059"/>
    <x v="185"/>
    <x v="6"/>
    <x v="6"/>
    <x v="1"/>
    <x v="1"/>
    <n v="1"/>
    <n v="9251"/>
    <x v="2"/>
    <n v="6166"/>
    <x v="0"/>
    <x v="2"/>
    <x v="1"/>
    <x v="12"/>
    <x v="5"/>
    <x v="1"/>
    <x v="667"/>
    <x v="961"/>
  </r>
  <r>
    <x v="1060"/>
    <x v="204"/>
    <x v="13"/>
    <x v="9"/>
    <x v="0"/>
    <x v="0"/>
    <n v="1"/>
    <n v="4637"/>
    <x v="0"/>
    <n v="1545"/>
    <x v="0"/>
    <x v="2"/>
    <x v="1"/>
    <x v="0"/>
    <x v="8"/>
    <x v="1"/>
    <x v="668"/>
    <x v="962"/>
  </r>
  <r>
    <x v="1061"/>
    <x v="142"/>
    <x v="5"/>
    <x v="5"/>
    <x v="1"/>
    <x v="1"/>
    <n v="1"/>
    <n v="3840"/>
    <x v="1"/>
    <n v="3840"/>
    <x v="1"/>
    <x v="0"/>
    <x v="2"/>
    <x v="12"/>
    <x v="3"/>
    <x v="0"/>
    <x v="1"/>
    <x v="438"/>
  </r>
  <r>
    <x v="1062"/>
    <x v="68"/>
    <x v="6"/>
    <x v="6"/>
    <x v="1"/>
    <x v="1"/>
    <n v="1"/>
    <n v="8580"/>
    <x v="0"/>
    <n v="2860"/>
    <x v="0"/>
    <x v="0"/>
    <x v="5"/>
    <x v="11"/>
    <x v="3"/>
    <x v="0"/>
    <x v="669"/>
    <x v="963"/>
  </r>
  <r>
    <x v="1063"/>
    <x v="242"/>
    <x v="5"/>
    <x v="5"/>
    <x v="1"/>
    <x v="1"/>
    <n v="1"/>
    <n v="4723"/>
    <x v="2"/>
    <n v="3148"/>
    <x v="0"/>
    <x v="1"/>
    <x v="1"/>
    <x v="14"/>
    <x v="9"/>
    <x v="1"/>
    <x v="262"/>
    <x v="964"/>
  </r>
  <r>
    <x v="1064"/>
    <x v="223"/>
    <x v="2"/>
    <x v="2"/>
    <x v="0"/>
    <x v="0"/>
    <n v="1"/>
    <n v="5849"/>
    <x v="2"/>
    <n v="3898"/>
    <x v="0"/>
    <x v="0"/>
    <x v="0"/>
    <x v="7"/>
    <x v="9"/>
    <x v="1"/>
    <x v="670"/>
    <x v="965"/>
  </r>
  <r>
    <x v="1065"/>
    <x v="324"/>
    <x v="4"/>
    <x v="4"/>
    <x v="0"/>
    <x v="0"/>
    <n v="1"/>
    <n v="4395"/>
    <x v="0"/>
    <n v="1465"/>
    <x v="0"/>
    <x v="0"/>
    <x v="1"/>
    <x v="7"/>
    <x v="0"/>
    <x v="0"/>
    <x v="671"/>
    <x v="966"/>
  </r>
  <r>
    <x v="1066"/>
    <x v="225"/>
    <x v="10"/>
    <x v="9"/>
    <x v="1"/>
    <x v="1"/>
    <n v="1"/>
    <n v="5153"/>
    <x v="0"/>
    <n v="1717"/>
    <x v="0"/>
    <x v="1"/>
    <x v="0"/>
    <x v="14"/>
    <x v="8"/>
    <x v="1"/>
    <x v="672"/>
    <x v="967"/>
  </r>
  <r>
    <x v="1067"/>
    <x v="223"/>
    <x v="2"/>
    <x v="2"/>
    <x v="0"/>
    <x v="0"/>
    <n v="1"/>
    <n v="6579"/>
    <x v="1"/>
    <n v="6579"/>
    <x v="1"/>
    <x v="2"/>
    <x v="3"/>
    <x v="0"/>
    <x v="2"/>
    <x v="0"/>
    <x v="1"/>
    <x v="968"/>
  </r>
  <r>
    <x v="1068"/>
    <x v="234"/>
    <x v="6"/>
    <x v="6"/>
    <x v="1"/>
    <x v="1"/>
    <n v="1"/>
    <n v="10009"/>
    <x v="2"/>
    <n v="6672"/>
    <x v="0"/>
    <x v="0"/>
    <x v="0"/>
    <x v="7"/>
    <x v="6"/>
    <x v="0"/>
    <x v="673"/>
    <x v="969"/>
  </r>
  <r>
    <x v="1069"/>
    <x v="265"/>
    <x v="13"/>
    <x v="9"/>
    <x v="0"/>
    <x v="0"/>
    <n v="1"/>
    <n v="4405"/>
    <x v="2"/>
    <n v="2936"/>
    <x v="0"/>
    <x v="1"/>
    <x v="5"/>
    <x v="8"/>
    <x v="2"/>
    <x v="1"/>
    <x v="674"/>
    <x v="970"/>
  </r>
  <r>
    <x v="1070"/>
    <x v="117"/>
    <x v="2"/>
    <x v="2"/>
    <x v="0"/>
    <x v="0"/>
    <n v="1"/>
    <n v="6292"/>
    <x v="1"/>
    <n v="6291"/>
    <x v="0"/>
    <x v="1"/>
    <x v="4"/>
    <x v="0"/>
    <x v="1"/>
    <x v="0"/>
    <x v="2"/>
    <x v="971"/>
  </r>
  <r>
    <x v="1071"/>
    <x v="107"/>
    <x v="0"/>
    <x v="0"/>
    <x v="1"/>
    <x v="1"/>
    <n v="1"/>
    <n v="5550"/>
    <x v="1"/>
    <n v="5550"/>
    <x v="1"/>
    <x v="0"/>
    <x v="0"/>
    <x v="4"/>
    <x v="2"/>
    <x v="0"/>
    <x v="1"/>
    <x v="324"/>
  </r>
  <r>
    <x v="1072"/>
    <x v="218"/>
    <x v="6"/>
    <x v="6"/>
    <x v="1"/>
    <x v="1"/>
    <n v="1"/>
    <n v="11900"/>
    <x v="0"/>
    <n v="3966"/>
    <x v="0"/>
    <x v="2"/>
    <x v="2"/>
    <x v="3"/>
    <x v="9"/>
    <x v="0"/>
    <x v="675"/>
    <x v="972"/>
  </r>
  <r>
    <x v="1073"/>
    <x v="122"/>
    <x v="6"/>
    <x v="6"/>
    <x v="1"/>
    <x v="1"/>
    <n v="1"/>
    <n v="7722"/>
    <x v="1"/>
    <n v="7722"/>
    <x v="1"/>
    <x v="0"/>
    <x v="1"/>
    <x v="0"/>
    <x v="2"/>
    <x v="1"/>
    <x v="1"/>
    <x v="973"/>
  </r>
  <r>
    <x v="1074"/>
    <x v="16"/>
    <x v="4"/>
    <x v="4"/>
    <x v="1"/>
    <x v="1"/>
    <n v="1"/>
    <n v="4073"/>
    <x v="2"/>
    <n v="2714"/>
    <x v="0"/>
    <x v="0"/>
    <x v="3"/>
    <x v="9"/>
    <x v="5"/>
    <x v="1"/>
    <x v="676"/>
    <x v="974"/>
  </r>
  <r>
    <x v="1075"/>
    <x v="278"/>
    <x v="4"/>
    <x v="4"/>
    <x v="1"/>
    <x v="1"/>
    <n v="1"/>
    <n v="6886"/>
    <x v="0"/>
    <n v="2295"/>
    <x v="0"/>
    <x v="2"/>
    <x v="5"/>
    <x v="0"/>
    <x v="0"/>
    <x v="0"/>
    <x v="677"/>
    <x v="152"/>
  </r>
  <r>
    <x v="1076"/>
    <x v="166"/>
    <x v="3"/>
    <x v="3"/>
    <x v="1"/>
    <x v="1"/>
    <n v="1"/>
    <n v="4123"/>
    <x v="1"/>
    <n v="4122"/>
    <x v="0"/>
    <x v="1"/>
    <x v="4"/>
    <x v="7"/>
    <x v="4"/>
    <x v="1"/>
    <x v="2"/>
    <x v="975"/>
  </r>
  <r>
    <x v="1077"/>
    <x v="240"/>
    <x v="13"/>
    <x v="9"/>
    <x v="1"/>
    <x v="1"/>
    <n v="1"/>
    <n v="3109"/>
    <x v="0"/>
    <n v="1036"/>
    <x v="0"/>
    <x v="1"/>
    <x v="3"/>
    <x v="1"/>
    <x v="2"/>
    <x v="0"/>
    <x v="626"/>
    <x v="976"/>
  </r>
  <r>
    <x v="1078"/>
    <x v="118"/>
    <x v="13"/>
    <x v="9"/>
    <x v="1"/>
    <x v="1"/>
    <n v="1"/>
    <n v="4212"/>
    <x v="1"/>
    <n v="4212"/>
    <x v="1"/>
    <x v="0"/>
    <x v="4"/>
    <x v="5"/>
    <x v="2"/>
    <x v="0"/>
    <x v="1"/>
    <x v="379"/>
  </r>
  <r>
    <x v="1079"/>
    <x v="237"/>
    <x v="8"/>
    <x v="7"/>
    <x v="1"/>
    <x v="1"/>
    <n v="1"/>
    <n v="8362"/>
    <x v="2"/>
    <n v="5574"/>
    <x v="0"/>
    <x v="2"/>
    <x v="1"/>
    <x v="6"/>
    <x v="7"/>
    <x v="1"/>
    <x v="678"/>
    <x v="977"/>
  </r>
  <r>
    <x v="1080"/>
    <x v="135"/>
    <x v="3"/>
    <x v="3"/>
    <x v="1"/>
    <x v="1"/>
    <n v="1"/>
    <n v="6093"/>
    <x v="1"/>
    <n v="6093"/>
    <x v="1"/>
    <x v="2"/>
    <x v="3"/>
    <x v="14"/>
    <x v="7"/>
    <x v="0"/>
    <x v="1"/>
    <x v="978"/>
  </r>
  <r>
    <x v="1081"/>
    <x v="203"/>
    <x v="11"/>
    <x v="10"/>
    <x v="1"/>
    <x v="1"/>
    <n v="1"/>
    <n v="5772"/>
    <x v="2"/>
    <n v="3848"/>
    <x v="0"/>
    <x v="0"/>
    <x v="0"/>
    <x v="10"/>
    <x v="9"/>
    <x v="0"/>
    <x v="679"/>
    <x v="979"/>
  </r>
  <r>
    <x v="1082"/>
    <x v="346"/>
    <x v="1"/>
    <x v="1"/>
    <x v="1"/>
    <x v="1"/>
    <n v="1"/>
    <n v="5682"/>
    <x v="2"/>
    <n v="3788"/>
    <x v="0"/>
    <x v="0"/>
    <x v="1"/>
    <x v="2"/>
    <x v="2"/>
    <x v="0"/>
    <x v="680"/>
    <x v="980"/>
  </r>
  <r>
    <x v="1083"/>
    <x v="45"/>
    <x v="4"/>
    <x v="4"/>
    <x v="0"/>
    <x v="0"/>
    <n v="1"/>
    <n v="5336"/>
    <x v="0"/>
    <n v="1778"/>
    <x v="0"/>
    <x v="0"/>
    <x v="2"/>
    <x v="9"/>
    <x v="5"/>
    <x v="1"/>
    <x v="681"/>
    <x v="981"/>
  </r>
  <r>
    <x v="1084"/>
    <x v="201"/>
    <x v="3"/>
    <x v="3"/>
    <x v="1"/>
    <x v="1"/>
    <n v="1"/>
    <n v="5139"/>
    <x v="1"/>
    <n v="5139"/>
    <x v="1"/>
    <x v="1"/>
    <x v="4"/>
    <x v="4"/>
    <x v="8"/>
    <x v="0"/>
    <x v="1"/>
    <x v="982"/>
  </r>
  <r>
    <x v="1085"/>
    <x v="321"/>
    <x v="6"/>
    <x v="6"/>
    <x v="1"/>
    <x v="1"/>
    <n v="1"/>
    <n v="9871"/>
    <x v="1"/>
    <n v="9870"/>
    <x v="0"/>
    <x v="1"/>
    <x v="1"/>
    <x v="7"/>
    <x v="5"/>
    <x v="1"/>
    <x v="2"/>
    <x v="983"/>
  </r>
  <r>
    <x v="1086"/>
    <x v="100"/>
    <x v="11"/>
    <x v="10"/>
    <x v="0"/>
    <x v="0"/>
    <n v="1"/>
    <n v="5377"/>
    <x v="0"/>
    <n v="1792"/>
    <x v="0"/>
    <x v="1"/>
    <x v="2"/>
    <x v="11"/>
    <x v="8"/>
    <x v="0"/>
    <x v="397"/>
    <x v="593"/>
  </r>
  <r>
    <x v="1087"/>
    <x v="111"/>
    <x v="12"/>
    <x v="11"/>
    <x v="0"/>
    <x v="0"/>
    <n v="1"/>
    <n v="5269"/>
    <x v="1"/>
    <n v="5268"/>
    <x v="0"/>
    <x v="0"/>
    <x v="5"/>
    <x v="11"/>
    <x v="5"/>
    <x v="1"/>
    <x v="2"/>
    <x v="158"/>
  </r>
  <r>
    <x v="1088"/>
    <x v="71"/>
    <x v="8"/>
    <x v="7"/>
    <x v="1"/>
    <x v="1"/>
    <n v="1"/>
    <n v="13424"/>
    <x v="1"/>
    <n v="13422"/>
    <x v="0"/>
    <x v="1"/>
    <x v="4"/>
    <x v="10"/>
    <x v="6"/>
    <x v="1"/>
    <x v="4"/>
    <x v="984"/>
  </r>
  <r>
    <x v="1089"/>
    <x v="8"/>
    <x v="2"/>
    <x v="2"/>
    <x v="0"/>
    <x v="0"/>
    <n v="1"/>
    <n v="5353"/>
    <x v="2"/>
    <n v="3568"/>
    <x v="0"/>
    <x v="2"/>
    <x v="0"/>
    <x v="14"/>
    <x v="1"/>
    <x v="1"/>
    <x v="682"/>
    <x v="19"/>
  </r>
  <r>
    <x v="1090"/>
    <x v="298"/>
    <x v="11"/>
    <x v="10"/>
    <x v="0"/>
    <x v="0"/>
    <n v="1"/>
    <n v="4913"/>
    <x v="2"/>
    <n v="3274"/>
    <x v="0"/>
    <x v="1"/>
    <x v="1"/>
    <x v="12"/>
    <x v="5"/>
    <x v="0"/>
    <x v="683"/>
    <x v="42"/>
  </r>
  <r>
    <x v="1091"/>
    <x v="163"/>
    <x v="8"/>
    <x v="7"/>
    <x v="1"/>
    <x v="1"/>
    <n v="1"/>
    <n v="7044"/>
    <x v="0"/>
    <n v="2348"/>
    <x v="0"/>
    <x v="0"/>
    <x v="1"/>
    <x v="1"/>
    <x v="3"/>
    <x v="0"/>
    <x v="684"/>
    <x v="985"/>
  </r>
  <r>
    <x v="1092"/>
    <x v="342"/>
    <x v="1"/>
    <x v="1"/>
    <x v="1"/>
    <x v="1"/>
    <n v="1"/>
    <n v="5531"/>
    <x v="0"/>
    <n v="1843"/>
    <x v="0"/>
    <x v="1"/>
    <x v="4"/>
    <x v="7"/>
    <x v="1"/>
    <x v="1"/>
    <x v="165"/>
    <x v="246"/>
  </r>
  <r>
    <x v="1093"/>
    <x v="246"/>
    <x v="7"/>
    <x v="6"/>
    <x v="1"/>
    <x v="1"/>
    <n v="1"/>
    <n v="11557"/>
    <x v="2"/>
    <n v="7704"/>
    <x v="0"/>
    <x v="2"/>
    <x v="1"/>
    <x v="12"/>
    <x v="0"/>
    <x v="1"/>
    <x v="685"/>
    <x v="986"/>
  </r>
  <r>
    <x v="1094"/>
    <x v="190"/>
    <x v="6"/>
    <x v="6"/>
    <x v="0"/>
    <x v="0"/>
    <n v="1"/>
    <n v="8017"/>
    <x v="0"/>
    <n v="2672"/>
    <x v="0"/>
    <x v="1"/>
    <x v="0"/>
    <x v="13"/>
    <x v="2"/>
    <x v="1"/>
    <x v="686"/>
    <x v="987"/>
  </r>
  <r>
    <x v="1095"/>
    <x v="71"/>
    <x v="2"/>
    <x v="2"/>
    <x v="1"/>
    <x v="1"/>
    <n v="1"/>
    <n v="6694"/>
    <x v="1"/>
    <n v="6693"/>
    <x v="0"/>
    <x v="0"/>
    <x v="1"/>
    <x v="3"/>
    <x v="3"/>
    <x v="0"/>
    <x v="2"/>
    <x v="988"/>
  </r>
  <r>
    <x v="1096"/>
    <x v="104"/>
    <x v="0"/>
    <x v="0"/>
    <x v="1"/>
    <x v="1"/>
    <n v="1"/>
    <n v="5823"/>
    <x v="2"/>
    <n v="3882"/>
    <x v="0"/>
    <x v="2"/>
    <x v="5"/>
    <x v="8"/>
    <x v="3"/>
    <x v="1"/>
    <x v="687"/>
    <x v="989"/>
  </r>
  <r>
    <x v="1097"/>
    <x v="16"/>
    <x v="0"/>
    <x v="0"/>
    <x v="0"/>
    <x v="0"/>
    <n v="1"/>
    <n v="6728"/>
    <x v="0"/>
    <n v="2242"/>
    <x v="0"/>
    <x v="0"/>
    <x v="0"/>
    <x v="4"/>
    <x v="6"/>
    <x v="1"/>
    <x v="688"/>
    <x v="990"/>
  </r>
  <r>
    <x v="1098"/>
    <x v="62"/>
    <x v="8"/>
    <x v="7"/>
    <x v="0"/>
    <x v="0"/>
    <n v="1"/>
    <n v="8497"/>
    <x v="2"/>
    <n v="5664"/>
    <x v="0"/>
    <x v="0"/>
    <x v="3"/>
    <x v="11"/>
    <x v="2"/>
    <x v="0"/>
    <x v="689"/>
    <x v="658"/>
  </r>
  <r>
    <x v="1099"/>
    <x v="258"/>
    <x v="5"/>
    <x v="5"/>
    <x v="1"/>
    <x v="1"/>
    <n v="1"/>
    <n v="5465"/>
    <x v="2"/>
    <n v="3642"/>
    <x v="0"/>
    <x v="1"/>
    <x v="4"/>
    <x v="13"/>
    <x v="1"/>
    <x v="0"/>
    <x v="442"/>
    <x v="663"/>
  </r>
  <r>
    <x v="1100"/>
    <x v="287"/>
    <x v="8"/>
    <x v="7"/>
    <x v="0"/>
    <x v="0"/>
    <n v="1"/>
    <n v="10919"/>
    <x v="2"/>
    <n v="7278"/>
    <x v="0"/>
    <x v="0"/>
    <x v="0"/>
    <x v="6"/>
    <x v="0"/>
    <x v="0"/>
    <x v="690"/>
    <x v="991"/>
  </r>
  <r>
    <x v="1101"/>
    <x v="120"/>
    <x v="2"/>
    <x v="2"/>
    <x v="0"/>
    <x v="0"/>
    <n v="1"/>
    <n v="6835"/>
    <x v="0"/>
    <n v="2278"/>
    <x v="0"/>
    <x v="2"/>
    <x v="0"/>
    <x v="1"/>
    <x v="5"/>
    <x v="0"/>
    <x v="691"/>
    <x v="992"/>
  </r>
  <r>
    <x v="1102"/>
    <x v="284"/>
    <x v="13"/>
    <x v="9"/>
    <x v="1"/>
    <x v="1"/>
    <n v="1"/>
    <n v="4792"/>
    <x v="0"/>
    <n v="1597"/>
    <x v="0"/>
    <x v="2"/>
    <x v="1"/>
    <x v="14"/>
    <x v="7"/>
    <x v="1"/>
    <x v="692"/>
    <x v="993"/>
  </r>
  <r>
    <x v="1103"/>
    <x v="29"/>
    <x v="8"/>
    <x v="7"/>
    <x v="0"/>
    <x v="0"/>
    <n v="1"/>
    <n v="7574"/>
    <x v="2"/>
    <n v="5048"/>
    <x v="0"/>
    <x v="1"/>
    <x v="1"/>
    <x v="10"/>
    <x v="2"/>
    <x v="1"/>
    <x v="693"/>
    <x v="994"/>
  </r>
  <r>
    <x v="1104"/>
    <x v="85"/>
    <x v="1"/>
    <x v="1"/>
    <x v="0"/>
    <x v="0"/>
    <n v="1"/>
    <n v="6492"/>
    <x v="2"/>
    <n v="4328"/>
    <x v="0"/>
    <x v="1"/>
    <x v="1"/>
    <x v="0"/>
    <x v="8"/>
    <x v="1"/>
    <x v="694"/>
    <x v="995"/>
  </r>
  <r>
    <x v="1105"/>
    <x v="25"/>
    <x v="0"/>
    <x v="0"/>
    <x v="1"/>
    <x v="1"/>
    <n v="1"/>
    <n v="4924"/>
    <x v="0"/>
    <n v="1641"/>
    <x v="0"/>
    <x v="2"/>
    <x v="4"/>
    <x v="2"/>
    <x v="3"/>
    <x v="0"/>
    <x v="695"/>
    <x v="996"/>
  </r>
  <r>
    <x v="1106"/>
    <x v="268"/>
    <x v="9"/>
    <x v="8"/>
    <x v="1"/>
    <x v="1"/>
    <n v="1"/>
    <n v="13990"/>
    <x v="1"/>
    <n v="13989"/>
    <x v="0"/>
    <x v="0"/>
    <x v="1"/>
    <x v="12"/>
    <x v="4"/>
    <x v="0"/>
    <x v="2"/>
    <x v="997"/>
  </r>
  <r>
    <x v="1107"/>
    <x v="319"/>
    <x v="6"/>
    <x v="6"/>
    <x v="1"/>
    <x v="1"/>
    <n v="1"/>
    <n v="7913"/>
    <x v="0"/>
    <n v="2637"/>
    <x v="0"/>
    <x v="1"/>
    <x v="4"/>
    <x v="1"/>
    <x v="1"/>
    <x v="0"/>
    <x v="189"/>
    <x v="283"/>
  </r>
  <r>
    <x v="1108"/>
    <x v="30"/>
    <x v="8"/>
    <x v="7"/>
    <x v="1"/>
    <x v="1"/>
    <n v="1"/>
    <n v="7231"/>
    <x v="0"/>
    <n v="2410"/>
    <x v="0"/>
    <x v="2"/>
    <x v="5"/>
    <x v="10"/>
    <x v="2"/>
    <x v="0"/>
    <x v="696"/>
    <x v="998"/>
  </r>
  <r>
    <x v="1109"/>
    <x v="347"/>
    <x v="13"/>
    <x v="9"/>
    <x v="0"/>
    <x v="0"/>
    <n v="1"/>
    <n v="4235"/>
    <x v="2"/>
    <n v="2822"/>
    <x v="0"/>
    <x v="0"/>
    <x v="4"/>
    <x v="14"/>
    <x v="4"/>
    <x v="0"/>
    <x v="697"/>
    <x v="999"/>
  </r>
  <r>
    <x v="1110"/>
    <x v="155"/>
    <x v="5"/>
    <x v="5"/>
    <x v="0"/>
    <x v="0"/>
    <n v="1"/>
    <n v="4946"/>
    <x v="2"/>
    <n v="3296"/>
    <x v="0"/>
    <x v="0"/>
    <x v="0"/>
    <x v="0"/>
    <x v="4"/>
    <x v="1"/>
    <x v="698"/>
    <x v="1000"/>
  </r>
  <r>
    <x v="1111"/>
    <x v="339"/>
    <x v="0"/>
    <x v="0"/>
    <x v="0"/>
    <x v="0"/>
    <n v="1"/>
    <n v="5667"/>
    <x v="2"/>
    <n v="3778"/>
    <x v="0"/>
    <x v="2"/>
    <x v="5"/>
    <x v="11"/>
    <x v="4"/>
    <x v="1"/>
    <x v="454"/>
    <x v="1001"/>
  </r>
  <r>
    <x v="1112"/>
    <x v="348"/>
    <x v="4"/>
    <x v="4"/>
    <x v="1"/>
    <x v="1"/>
    <n v="1"/>
    <n v="4513"/>
    <x v="2"/>
    <n v="3008"/>
    <x v="0"/>
    <x v="1"/>
    <x v="2"/>
    <x v="5"/>
    <x v="3"/>
    <x v="1"/>
    <x v="313"/>
    <x v="1002"/>
  </r>
  <r>
    <x v="1113"/>
    <x v="131"/>
    <x v="11"/>
    <x v="10"/>
    <x v="0"/>
    <x v="0"/>
    <n v="1"/>
    <n v="4088"/>
    <x v="2"/>
    <n v="2724"/>
    <x v="0"/>
    <x v="2"/>
    <x v="5"/>
    <x v="4"/>
    <x v="2"/>
    <x v="0"/>
    <x v="127"/>
    <x v="1003"/>
  </r>
  <r>
    <x v="1114"/>
    <x v="205"/>
    <x v="3"/>
    <x v="3"/>
    <x v="0"/>
    <x v="0"/>
    <n v="1"/>
    <n v="6770"/>
    <x v="2"/>
    <n v="4512"/>
    <x v="0"/>
    <x v="2"/>
    <x v="0"/>
    <x v="13"/>
    <x v="7"/>
    <x v="1"/>
    <x v="699"/>
    <x v="67"/>
  </r>
  <r>
    <x v="1115"/>
    <x v="197"/>
    <x v="3"/>
    <x v="3"/>
    <x v="1"/>
    <x v="1"/>
    <n v="1"/>
    <n v="7448"/>
    <x v="0"/>
    <n v="2482"/>
    <x v="0"/>
    <x v="2"/>
    <x v="4"/>
    <x v="12"/>
    <x v="2"/>
    <x v="1"/>
    <x v="700"/>
    <x v="157"/>
  </r>
  <r>
    <x v="1116"/>
    <x v="127"/>
    <x v="12"/>
    <x v="11"/>
    <x v="1"/>
    <x v="1"/>
    <n v="1"/>
    <n v="6396"/>
    <x v="0"/>
    <n v="2132"/>
    <x v="0"/>
    <x v="2"/>
    <x v="0"/>
    <x v="3"/>
    <x v="5"/>
    <x v="1"/>
    <x v="701"/>
    <x v="1004"/>
  </r>
  <r>
    <x v="1117"/>
    <x v="18"/>
    <x v="12"/>
    <x v="11"/>
    <x v="1"/>
    <x v="1"/>
    <n v="1"/>
    <n v="5541"/>
    <x v="0"/>
    <n v="1847"/>
    <x v="0"/>
    <x v="2"/>
    <x v="1"/>
    <x v="7"/>
    <x v="2"/>
    <x v="0"/>
    <x v="702"/>
    <x v="1005"/>
  </r>
  <r>
    <x v="1118"/>
    <x v="150"/>
    <x v="12"/>
    <x v="11"/>
    <x v="1"/>
    <x v="1"/>
    <n v="1"/>
    <n v="5780"/>
    <x v="2"/>
    <n v="3852"/>
    <x v="0"/>
    <x v="0"/>
    <x v="4"/>
    <x v="8"/>
    <x v="5"/>
    <x v="1"/>
    <x v="703"/>
    <x v="155"/>
  </r>
  <r>
    <x v="1119"/>
    <x v="87"/>
    <x v="12"/>
    <x v="11"/>
    <x v="1"/>
    <x v="1"/>
    <n v="1"/>
    <n v="8235"/>
    <x v="0"/>
    <n v="2745"/>
    <x v="0"/>
    <x v="1"/>
    <x v="0"/>
    <x v="12"/>
    <x v="3"/>
    <x v="0"/>
    <x v="704"/>
    <x v="1006"/>
  </r>
  <r>
    <x v="1120"/>
    <x v="239"/>
    <x v="1"/>
    <x v="1"/>
    <x v="1"/>
    <x v="1"/>
    <n v="1"/>
    <n v="6282"/>
    <x v="0"/>
    <n v="2094"/>
    <x v="0"/>
    <x v="2"/>
    <x v="1"/>
    <x v="3"/>
    <x v="7"/>
    <x v="0"/>
    <x v="705"/>
    <x v="1007"/>
  </r>
  <r>
    <x v="1121"/>
    <x v="178"/>
    <x v="13"/>
    <x v="9"/>
    <x v="0"/>
    <x v="0"/>
    <n v="1"/>
    <n v="3472"/>
    <x v="1"/>
    <n v="3471"/>
    <x v="0"/>
    <x v="1"/>
    <x v="5"/>
    <x v="11"/>
    <x v="4"/>
    <x v="0"/>
    <x v="2"/>
    <x v="1008"/>
  </r>
  <r>
    <x v="1122"/>
    <x v="19"/>
    <x v="8"/>
    <x v="7"/>
    <x v="1"/>
    <x v="1"/>
    <n v="1"/>
    <n v="9854"/>
    <x v="0"/>
    <n v="3284"/>
    <x v="0"/>
    <x v="0"/>
    <x v="2"/>
    <x v="10"/>
    <x v="1"/>
    <x v="0"/>
    <x v="706"/>
    <x v="1009"/>
  </r>
  <r>
    <x v="1123"/>
    <x v="349"/>
    <x v="12"/>
    <x v="11"/>
    <x v="1"/>
    <x v="1"/>
    <n v="1"/>
    <n v="7242"/>
    <x v="0"/>
    <n v="2414"/>
    <x v="0"/>
    <x v="0"/>
    <x v="3"/>
    <x v="3"/>
    <x v="7"/>
    <x v="0"/>
    <x v="707"/>
    <x v="120"/>
  </r>
  <r>
    <x v="1124"/>
    <x v="240"/>
    <x v="1"/>
    <x v="1"/>
    <x v="0"/>
    <x v="0"/>
    <n v="1"/>
    <n v="4522"/>
    <x v="1"/>
    <n v="4521"/>
    <x v="0"/>
    <x v="2"/>
    <x v="3"/>
    <x v="10"/>
    <x v="0"/>
    <x v="0"/>
    <x v="2"/>
    <x v="1"/>
  </r>
  <r>
    <x v="1125"/>
    <x v="212"/>
    <x v="13"/>
    <x v="9"/>
    <x v="1"/>
    <x v="1"/>
    <n v="1"/>
    <n v="3308"/>
    <x v="2"/>
    <n v="2204"/>
    <x v="0"/>
    <x v="0"/>
    <x v="1"/>
    <x v="9"/>
    <x v="2"/>
    <x v="0"/>
    <x v="708"/>
    <x v="1010"/>
  </r>
  <r>
    <x v="1126"/>
    <x v="256"/>
    <x v="3"/>
    <x v="3"/>
    <x v="1"/>
    <x v="1"/>
    <n v="1"/>
    <n v="6607"/>
    <x v="0"/>
    <n v="2202"/>
    <x v="0"/>
    <x v="2"/>
    <x v="3"/>
    <x v="4"/>
    <x v="6"/>
    <x v="0"/>
    <x v="709"/>
    <x v="1011"/>
  </r>
  <r>
    <x v="1127"/>
    <x v="85"/>
    <x v="10"/>
    <x v="9"/>
    <x v="0"/>
    <x v="0"/>
    <n v="1"/>
    <n v="7356"/>
    <x v="1"/>
    <n v="7356"/>
    <x v="1"/>
    <x v="2"/>
    <x v="1"/>
    <x v="4"/>
    <x v="1"/>
    <x v="0"/>
    <x v="1"/>
    <x v="1012"/>
  </r>
  <r>
    <x v="1128"/>
    <x v="329"/>
    <x v="1"/>
    <x v="1"/>
    <x v="0"/>
    <x v="0"/>
    <n v="1"/>
    <n v="5638"/>
    <x v="2"/>
    <n v="3758"/>
    <x v="0"/>
    <x v="1"/>
    <x v="1"/>
    <x v="10"/>
    <x v="2"/>
    <x v="0"/>
    <x v="710"/>
    <x v="1013"/>
  </r>
  <r>
    <x v="1129"/>
    <x v="350"/>
    <x v="8"/>
    <x v="7"/>
    <x v="1"/>
    <x v="1"/>
    <n v="1"/>
    <n v="9006"/>
    <x v="1"/>
    <n v="9006"/>
    <x v="1"/>
    <x v="0"/>
    <x v="1"/>
    <x v="12"/>
    <x v="3"/>
    <x v="1"/>
    <x v="1"/>
    <x v="458"/>
  </r>
  <r>
    <x v="1130"/>
    <x v="136"/>
    <x v="1"/>
    <x v="1"/>
    <x v="0"/>
    <x v="0"/>
    <n v="1"/>
    <n v="6753"/>
    <x v="2"/>
    <n v="4502"/>
    <x v="0"/>
    <x v="2"/>
    <x v="3"/>
    <x v="9"/>
    <x v="2"/>
    <x v="1"/>
    <x v="711"/>
    <x v="1014"/>
  </r>
  <r>
    <x v="1131"/>
    <x v="153"/>
    <x v="7"/>
    <x v="6"/>
    <x v="0"/>
    <x v="0"/>
    <n v="1"/>
    <n v="7380"/>
    <x v="2"/>
    <n v="4920"/>
    <x v="0"/>
    <x v="1"/>
    <x v="4"/>
    <x v="11"/>
    <x v="8"/>
    <x v="1"/>
    <x v="712"/>
    <x v="1015"/>
  </r>
  <r>
    <x v="1132"/>
    <x v="204"/>
    <x v="9"/>
    <x v="8"/>
    <x v="1"/>
    <x v="1"/>
    <n v="1"/>
    <n v="14903"/>
    <x v="0"/>
    <n v="4967"/>
    <x v="0"/>
    <x v="1"/>
    <x v="1"/>
    <x v="14"/>
    <x v="0"/>
    <x v="0"/>
    <x v="713"/>
    <x v="1016"/>
  </r>
  <r>
    <x v="1133"/>
    <x v="46"/>
    <x v="7"/>
    <x v="6"/>
    <x v="1"/>
    <x v="1"/>
    <n v="1"/>
    <n v="11745"/>
    <x v="1"/>
    <n v="11745"/>
    <x v="1"/>
    <x v="0"/>
    <x v="2"/>
    <x v="12"/>
    <x v="7"/>
    <x v="1"/>
    <x v="1"/>
    <x v="1017"/>
  </r>
  <r>
    <x v="1134"/>
    <x v="2"/>
    <x v="2"/>
    <x v="2"/>
    <x v="1"/>
    <x v="1"/>
    <n v="1"/>
    <n v="7080"/>
    <x v="2"/>
    <n v="4720"/>
    <x v="0"/>
    <x v="2"/>
    <x v="5"/>
    <x v="3"/>
    <x v="1"/>
    <x v="0"/>
    <x v="714"/>
    <x v="29"/>
  </r>
  <r>
    <x v="1135"/>
    <x v="228"/>
    <x v="7"/>
    <x v="6"/>
    <x v="0"/>
    <x v="0"/>
    <n v="1"/>
    <n v="10384"/>
    <x v="0"/>
    <n v="3461"/>
    <x v="0"/>
    <x v="2"/>
    <x v="4"/>
    <x v="1"/>
    <x v="5"/>
    <x v="1"/>
    <x v="715"/>
    <x v="1018"/>
  </r>
  <r>
    <x v="1136"/>
    <x v="141"/>
    <x v="4"/>
    <x v="4"/>
    <x v="1"/>
    <x v="1"/>
    <n v="1"/>
    <n v="4271"/>
    <x v="2"/>
    <n v="2846"/>
    <x v="0"/>
    <x v="1"/>
    <x v="4"/>
    <x v="3"/>
    <x v="4"/>
    <x v="0"/>
    <x v="716"/>
    <x v="1019"/>
  </r>
  <r>
    <x v="1137"/>
    <x v="152"/>
    <x v="12"/>
    <x v="11"/>
    <x v="1"/>
    <x v="1"/>
    <n v="1"/>
    <n v="5806"/>
    <x v="1"/>
    <n v="5805"/>
    <x v="0"/>
    <x v="1"/>
    <x v="3"/>
    <x v="9"/>
    <x v="2"/>
    <x v="1"/>
    <x v="2"/>
    <x v="1020"/>
  </r>
  <r>
    <x v="1138"/>
    <x v="127"/>
    <x v="12"/>
    <x v="11"/>
    <x v="1"/>
    <x v="1"/>
    <n v="1"/>
    <n v="6964"/>
    <x v="1"/>
    <n v="6963"/>
    <x v="0"/>
    <x v="0"/>
    <x v="3"/>
    <x v="14"/>
    <x v="2"/>
    <x v="0"/>
    <x v="2"/>
    <x v="1021"/>
  </r>
  <r>
    <x v="1139"/>
    <x v="65"/>
    <x v="5"/>
    <x v="5"/>
    <x v="0"/>
    <x v="0"/>
    <n v="1"/>
    <n v="4256"/>
    <x v="1"/>
    <n v="4254"/>
    <x v="0"/>
    <x v="0"/>
    <x v="5"/>
    <x v="1"/>
    <x v="5"/>
    <x v="1"/>
    <x v="4"/>
    <x v="1022"/>
  </r>
  <r>
    <x v="1140"/>
    <x v="113"/>
    <x v="10"/>
    <x v="9"/>
    <x v="0"/>
    <x v="0"/>
    <n v="1"/>
    <n v="5785"/>
    <x v="1"/>
    <n v="5784"/>
    <x v="0"/>
    <x v="0"/>
    <x v="3"/>
    <x v="12"/>
    <x v="9"/>
    <x v="0"/>
    <x v="2"/>
    <x v="1023"/>
  </r>
  <r>
    <x v="1141"/>
    <x v="48"/>
    <x v="10"/>
    <x v="9"/>
    <x v="1"/>
    <x v="1"/>
    <n v="1"/>
    <n v="6249"/>
    <x v="0"/>
    <n v="2083"/>
    <x v="0"/>
    <x v="2"/>
    <x v="1"/>
    <x v="2"/>
    <x v="1"/>
    <x v="0"/>
    <x v="717"/>
    <x v="1024"/>
  </r>
  <r>
    <x v="1142"/>
    <x v="180"/>
    <x v="0"/>
    <x v="0"/>
    <x v="0"/>
    <x v="0"/>
    <n v="1"/>
    <n v="7024"/>
    <x v="1"/>
    <n v="7023"/>
    <x v="0"/>
    <x v="0"/>
    <x v="1"/>
    <x v="6"/>
    <x v="3"/>
    <x v="1"/>
    <x v="2"/>
    <x v="1025"/>
  </r>
  <r>
    <x v="1143"/>
    <x v="225"/>
    <x v="13"/>
    <x v="9"/>
    <x v="1"/>
    <x v="1"/>
    <n v="1"/>
    <n v="4172"/>
    <x v="2"/>
    <n v="2780"/>
    <x v="0"/>
    <x v="0"/>
    <x v="3"/>
    <x v="9"/>
    <x v="8"/>
    <x v="0"/>
    <x v="216"/>
    <x v="1026"/>
  </r>
  <r>
    <x v="1144"/>
    <x v="308"/>
    <x v="12"/>
    <x v="11"/>
    <x v="0"/>
    <x v="0"/>
    <n v="1"/>
    <n v="5093"/>
    <x v="2"/>
    <n v="3394"/>
    <x v="0"/>
    <x v="1"/>
    <x v="0"/>
    <x v="3"/>
    <x v="9"/>
    <x v="1"/>
    <x v="478"/>
    <x v="1027"/>
  </r>
  <r>
    <x v="1145"/>
    <x v="236"/>
    <x v="10"/>
    <x v="9"/>
    <x v="0"/>
    <x v="0"/>
    <n v="1"/>
    <n v="6844"/>
    <x v="0"/>
    <n v="2281"/>
    <x v="0"/>
    <x v="2"/>
    <x v="3"/>
    <x v="6"/>
    <x v="1"/>
    <x v="0"/>
    <x v="718"/>
    <x v="700"/>
  </r>
  <r>
    <x v="1146"/>
    <x v="3"/>
    <x v="7"/>
    <x v="6"/>
    <x v="1"/>
    <x v="1"/>
    <n v="1"/>
    <n v="9686"/>
    <x v="2"/>
    <n v="6456"/>
    <x v="0"/>
    <x v="2"/>
    <x v="3"/>
    <x v="4"/>
    <x v="3"/>
    <x v="0"/>
    <x v="719"/>
    <x v="1028"/>
  </r>
  <r>
    <x v="1147"/>
    <x v="97"/>
    <x v="0"/>
    <x v="0"/>
    <x v="0"/>
    <x v="0"/>
    <n v="1"/>
    <n v="5899"/>
    <x v="0"/>
    <n v="1966"/>
    <x v="0"/>
    <x v="0"/>
    <x v="2"/>
    <x v="14"/>
    <x v="6"/>
    <x v="0"/>
    <x v="720"/>
    <x v="1029"/>
  </r>
  <r>
    <x v="1148"/>
    <x v="312"/>
    <x v="1"/>
    <x v="1"/>
    <x v="1"/>
    <x v="1"/>
    <n v="1"/>
    <n v="5975"/>
    <x v="1"/>
    <n v="5973"/>
    <x v="0"/>
    <x v="1"/>
    <x v="4"/>
    <x v="12"/>
    <x v="1"/>
    <x v="0"/>
    <x v="4"/>
    <x v="1030"/>
  </r>
  <r>
    <x v="1149"/>
    <x v="350"/>
    <x v="12"/>
    <x v="11"/>
    <x v="0"/>
    <x v="0"/>
    <n v="1"/>
    <n v="6838"/>
    <x v="1"/>
    <n v="6837"/>
    <x v="0"/>
    <x v="1"/>
    <x v="1"/>
    <x v="14"/>
    <x v="5"/>
    <x v="0"/>
    <x v="2"/>
    <x v="1031"/>
  </r>
  <r>
    <x v="1150"/>
    <x v="43"/>
    <x v="8"/>
    <x v="7"/>
    <x v="0"/>
    <x v="0"/>
    <n v="1"/>
    <n v="12990"/>
    <x v="0"/>
    <n v="4330"/>
    <x v="0"/>
    <x v="1"/>
    <x v="1"/>
    <x v="3"/>
    <x v="2"/>
    <x v="0"/>
    <x v="721"/>
    <x v="1032"/>
  </r>
  <r>
    <x v="1151"/>
    <x v="226"/>
    <x v="5"/>
    <x v="5"/>
    <x v="0"/>
    <x v="0"/>
    <n v="1"/>
    <n v="4831"/>
    <x v="0"/>
    <n v="1610"/>
    <x v="0"/>
    <x v="2"/>
    <x v="0"/>
    <x v="9"/>
    <x v="2"/>
    <x v="1"/>
    <x v="722"/>
    <x v="1033"/>
  </r>
  <r>
    <x v="1152"/>
    <x v="145"/>
    <x v="1"/>
    <x v="1"/>
    <x v="1"/>
    <x v="1"/>
    <n v="1"/>
    <n v="6355"/>
    <x v="2"/>
    <n v="4236"/>
    <x v="0"/>
    <x v="1"/>
    <x v="0"/>
    <x v="13"/>
    <x v="8"/>
    <x v="0"/>
    <x v="723"/>
    <x v="1034"/>
  </r>
  <r>
    <x v="1153"/>
    <x v="249"/>
    <x v="11"/>
    <x v="10"/>
    <x v="1"/>
    <x v="1"/>
    <n v="1"/>
    <n v="3720"/>
    <x v="0"/>
    <n v="1240"/>
    <x v="0"/>
    <x v="0"/>
    <x v="5"/>
    <x v="8"/>
    <x v="8"/>
    <x v="1"/>
    <x v="724"/>
    <x v="128"/>
  </r>
  <r>
    <x v="1154"/>
    <x v="167"/>
    <x v="10"/>
    <x v="9"/>
    <x v="1"/>
    <x v="1"/>
    <n v="1"/>
    <n v="5530"/>
    <x v="2"/>
    <n v="3686"/>
    <x v="0"/>
    <x v="1"/>
    <x v="4"/>
    <x v="4"/>
    <x v="2"/>
    <x v="1"/>
    <x v="725"/>
    <x v="1035"/>
  </r>
  <r>
    <x v="1155"/>
    <x v="105"/>
    <x v="5"/>
    <x v="5"/>
    <x v="1"/>
    <x v="1"/>
    <n v="1"/>
    <n v="3939"/>
    <x v="0"/>
    <n v="1313"/>
    <x v="0"/>
    <x v="2"/>
    <x v="5"/>
    <x v="3"/>
    <x v="8"/>
    <x v="0"/>
    <x v="726"/>
    <x v="1036"/>
  </r>
  <r>
    <x v="1156"/>
    <x v="315"/>
    <x v="2"/>
    <x v="2"/>
    <x v="0"/>
    <x v="0"/>
    <n v="1"/>
    <n v="4640"/>
    <x v="1"/>
    <n v="4638"/>
    <x v="0"/>
    <x v="1"/>
    <x v="2"/>
    <x v="3"/>
    <x v="6"/>
    <x v="0"/>
    <x v="4"/>
    <x v="210"/>
  </r>
  <r>
    <x v="1157"/>
    <x v="65"/>
    <x v="3"/>
    <x v="3"/>
    <x v="1"/>
    <x v="1"/>
    <n v="1"/>
    <n v="5946"/>
    <x v="0"/>
    <n v="1982"/>
    <x v="0"/>
    <x v="2"/>
    <x v="2"/>
    <x v="4"/>
    <x v="8"/>
    <x v="0"/>
    <x v="727"/>
    <x v="1037"/>
  </r>
  <r>
    <x v="1158"/>
    <x v="263"/>
    <x v="10"/>
    <x v="9"/>
    <x v="0"/>
    <x v="0"/>
    <n v="1"/>
    <n v="6565"/>
    <x v="0"/>
    <n v="2188"/>
    <x v="0"/>
    <x v="0"/>
    <x v="1"/>
    <x v="0"/>
    <x v="3"/>
    <x v="1"/>
    <x v="728"/>
    <x v="1038"/>
  </r>
  <r>
    <x v="1159"/>
    <x v="124"/>
    <x v="3"/>
    <x v="3"/>
    <x v="1"/>
    <x v="1"/>
    <n v="1"/>
    <n v="6411"/>
    <x v="1"/>
    <n v="6411"/>
    <x v="1"/>
    <x v="0"/>
    <x v="3"/>
    <x v="3"/>
    <x v="5"/>
    <x v="1"/>
    <x v="1"/>
    <x v="1039"/>
  </r>
  <r>
    <x v="1160"/>
    <x v="248"/>
    <x v="0"/>
    <x v="0"/>
    <x v="1"/>
    <x v="1"/>
    <n v="1"/>
    <n v="6611"/>
    <x v="0"/>
    <n v="2203"/>
    <x v="0"/>
    <x v="2"/>
    <x v="0"/>
    <x v="4"/>
    <x v="2"/>
    <x v="1"/>
    <x v="729"/>
    <x v="1040"/>
  </r>
  <r>
    <x v="1161"/>
    <x v="182"/>
    <x v="5"/>
    <x v="5"/>
    <x v="0"/>
    <x v="0"/>
    <n v="1"/>
    <n v="4056"/>
    <x v="2"/>
    <n v="2704"/>
    <x v="0"/>
    <x v="2"/>
    <x v="1"/>
    <x v="3"/>
    <x v="0"/>
    <x v="1"/>
    <x v="730"/>
    <x v="1041"/>
  </r>
  <r>
    <x v="1162"/>
    <x v="189"/>
    <x v="1"/>
    <x v="1"/>
    <x v="0"/>
    <x v="0"/>
    <n v="1"/>
    <n v="4846"/>
    <x v="1"/>
    <n v="4845"/>
    <x v="0"/>
    <x v="2"/>
    <x v="1"/>
    <x v="9"/>
    <x v="0"/>
    <x v="0"/>
    <x v="2"/>
    <x v="1042"/>
  </r>
  <r>
    <x v="1163"/>
    <x v="351"/>
    <x v="7"/>
    <x v="6"/>
    <x v="1"/>
    <x v="1"/>
    <n v="1"/>
    <n v="7176"/>
    <x v="0"/>
    <n v="2392"/>
    <x v="0"/>
    <x v="1"/>
    <x v="3"/>
    <x v="4"/>
    <x v="9"/>
    <x v="0"/>
    <x v="731"/>
    <x v="1043"/>
  </r>
  <r>
    <x v="1164"/>
    <x v="212"/>
    <x v="1"/>
    <x v="1"/>
    <x v="1"/>
    <x v="1"/>
    <n v="1"/>
    <n v="5639"/>
    <x v="0"/>
    <n v="1879"/>
    <x v="0"/>
    <x v="1"/>
    <x v="5"/>
    <x v="5"/>
    <x v="2"/>
    <x v="1"/>
    <x v="732"/>
    <x v="1044"/>
  </r>
  <r>
    <x v="1165"/>
    <x v="132"/>
    <x v="1"/>
    <x v="1"/>
    <x v="1"/>
    <x v="1"/>
    <n v="1"/>
    <n v="6992"/>
    <x v="1"/>
    <n v="6990"/>
    <x v="0"/>
    <x v="2"/>
    <x v="0"/>
    <x v="13"/>
    <x v="3"/>
    <x v="1"/>
    <x v="4"/>
    <x v="1045"/>
  </r>
  <r>
    <x v="1166"/>
    <x v="269"/>
    <x v="12"/>
    <x v="11"/>
    <x v="1"/>
    <x v="1"/>
    <n v="1"/>
    <n v="5849"/>
    <x v="1"/>
    <n v="5847"/>
    <x v="0"/>
    <x v="0"/>
    <x v="5"/>
    <x v="4"/>
    <x v="0"/>
    <x v="0"/>
    <x v="4"/>
    <x v="1046"/>
  </r>
  <r>
    <x v="1167"/>
    <x v="175"/>
    <x v="11"/>
    <x v="10"/>
    <x v="1"/>
    <x v="1"/>
    <n v="1"/>
    <n v="3819"/>
    <x v="0"/>
    <n v="1273"/>
    <x v="0"/>
    <x v="0"/>
    <x v="3"/>
    <x v="0"/>
    <x v="0"/>
    <x v="1"/>
    <x v="733"/>
    <x v="1047"/>
  </r>
  <r>
    <x v="1168"/>
    <x v="76"/>
    <x v="4"/>
    <x v="4"/>
    <x v="0"/>
    <x v="0"/>
    <n v="1"/>
    <n v="4512"/>
    <x v="2"/>
    <n v="3008"/>
    <x v="0"/>
    <x v="2"/>
    <x v="3"/>
    <x v="6"/>
    <x v="7"/>
    <x v="1"/>
    <x v="734"/>
    <x v="1002"/>
  </r>
  <r>
    <x v="1169"/>
    <x v="322"/>
    <x v="10"/>
    <x v="9"/>
    <x v="0"/>
    <x v="0"/>
    <n v="1"/>
    <n v="5311"/>
    <x v="2"/>
    <n v="3540"/>
    <x v="0"/>
    <x v="2"/>
    <x v="0"/>
    <x v="0"/>
    <x v="8"/>
    <x v="1"/>
    <x v="735"/>
    <x v="1048"/>
  </r>
  <r>
    <x v="1170"/>
    <x v="201"/>
    <x v="3"/>
    <x v="3"/>
    <x v="1"/>
    <x v="1"/>
    <n v="1"/>
    <n v="6856"/>
    <x v="1"/>
    <n v="6855"/>
    <x v="0"/>
    <x v="2"/>
    <x v="1"/>
    <x v="3"/>
    <x v="1"/>
    <x v="0"/>
    <x v="2"/>
    <x v="1049"/>
  </r>
  <r>
    <x v="1171"/>
    <x v="158"/>
    <x v="6"/>
    <x v="6"/>
    <x v="1"/>
    <x v="1"/>
    <n v="1"/>
    <n v="9179"/>
    <x v="0"/>
    <n v="3059"/>
    <x v="0"/>
    <x v="2"/>
    <x v="1"/>
    <x v="6"/>
    <x v="7"/>
    <x v="1"/>
    <x v="736"/>
    <x v="1050"/>
  </r>
  <r>
    <x v="1172"/>
    <x v="352"/>
    <x v="9"/>
    <x v="8"/>
    <x v="0"/>
    <x v="0"/>
    <n v="1"/>
    <n v="14084"/>
    <x v="2"/>
    <n v="9388"/>
    <x v="0"/>
    <x v="1"/>
    <x v="5"/>
    <x v="7"/>
    <x v="0"/>
    <x v="1"/>
    <x v="684"/>
    <x v="1051"/>
  </r>
  <r>
    <x v="1173"/>
    <x v="266"/>
    <x v="1"/>
    <x v="1"/>
    <x v="1"/>
    <x v="1"/>
    <n v="1"/>
    <n v="4650"/>
    <x v="0"/>
    <n v="1550"/>
    <x v="0"/>
    <x v="0"/>
    <x v="0"/>
    <x v="11"/>
    <x v="0"/>
    <x v="1"/>
    <x v="737"/>
    <x v="521"/>
  </r>
  <r>
    <x v="1174"/>
    <x v="82"/>
    <x v="2"/>
    <x v="2"/>
    <x v="1"/>
    <x v="1"/>
    <n v="1"/>
    <n v="6046"/>
    <x v="0"/>
    <n v="2015"/>
    <x v="0"/>
    <x v="2"/>
    <x v="3"/>
    <x v="5"/>
    <x v="7"/>
    <x v="1"/>
    <x v="738"/>
    <x v="1052"/>
  </r>
  <r>
    <x v="1175"/>
    <x v="122"/>
    <x v="0"/>
    <x v="0"/>
    <x v="1"/>
    <x v="1"/>
    <n v="1"/>
    <n v="4518"/>
    <x v="0"/>
    <n v="1506"/>
    <x v="0"/>
    <x v="1"/>
    <x v="1"/>
    <x v="13"/>
    <x v="5"/>
    <x v="1"/>
    <x v="519"/>
    <x v="1053"/>
  </r>
  <r>
    <x v="1176"/>
    <x v="188"/>
    <x v="11"/>
    <x v="10"/>
    <x v="1"/>
    <x v="1"/>
    <n v="1"/>
    <n v="4801"/>
    <x v="0"/>
    <n v="1600"/>
    <x v="0"/>
    <x v="2"/>
    <x v="3"/>
    <x v="8"/>
    <x v="7"/>
    <x v="0"/>
    <x v="739"/>
    <x v="1054"/>
  </r>
  <r>
    <x v="1177"/>
    <x v="17"/>
    <x v="5"/>
    <x v="5"/>
    <x v="0"/>
    <x v="0"/>
    <n v="1"/>
    <n v="5983"/>
    <x v="1"/>
    <n v="5982"/>
    <x v="0"/>
    <x v="1"/>
    <x v="0"/>
    <x v="3"/>
    <x v="8"/>
    <x v="0"/>
    <x v="2"/>
    <x v="1055"/>
  </r>
  <r>
    <x v="1178"/>
    <x v="160"/>
    <x v="4"/>
    <x v="4"/>
    <x v="1"/>
    <x v="1"/>
    <n v="1"/>
    <n v="4703"/>
    <x v="0"/>
    <n v="1567"/>
    <x v="0"/>
    <x v="2"/>
    <x v="2"/>
    <x v="4"/>
    <x v="2"/>
    <x v="1"/>
    <x v="740"/>
    <x v="1056"/>
  </r>
  <r>
    <x v="1179"/>
    <x v="282"/>
    <x v="11"/>
    <x v="10"/>
    <x v="1"/>
    <x v="1"/>
    <n v="1"/>
    <n v="4943"/>
    <x v="0"/>
    <n v="1647"/>
    <x v="0"/>
    <x v="1"/>
    <x v="3"/>
    <x v="2"/>
    <x v="8"/>
    <x v="1"/>
    <x v="741"/>
    <x v="1057"/>
  </r>
  <r>
    <x v="1180"/>
    <x v="84"/>
    <x v="11"/>
    <x v="10"/>
    <x v="0"/>
    <x v="0"/>
    <n v="1"/>
    <n v="3622"/>
    <x v="0"/>
    <n v="1207"/>
    <x v="0"/>
    <x v="0"/>
    <x v="3"/>
    <x v="0"/>
    <x v="0"/>
    <x v="1"/>
    <x v="742"/>
    <x v="1058"/>
  </r>
  <r>
    <x v="1181"/>
    <x v="352"/>
    <x v="12"/>
    <x v="11"/>
    <x v="0"/>
    <x v="0"/>
    <n v="1"/>
    <n v="7928"/>
    <x v="0"/>
    <n v="2642"/>
    <x v="0"/>
    <x v="1"/>
    <x v="4"/>
    <x v="3"/>
    <x v="9"/>
    <x v="1"/>
    <x v="743"/>
    <x v="1059"/>
  </r>
  <r>
    <x v="1182"/>
    <x v="5"/>
    <x v="4"/>
    <x v="4"/>
    <x v="0"/>
    <x v="0"/>
    <n v="1"/>
    <n v="4327"/>
    <x v="1"/>
    <n v="4326"/>
    <x v="0"/>
    <x v="0"/>
    <x v="3"/>
    <x v="0"/>
    <x v="6"/>
    <x v="1"/>
    <x v="2"/>
    <x v="717"/>
  </r>
  <r>
    <x v="1183"/>
    <x v="127"/>
    <x v="2"/>
    <x v="2"/>
    <x v="1"/>
    <x v="1"/>
    <n v="1"/>
    <n v="6585"/>
    <x v="1"/>
    <n v="6585"/>
    <x v="1"/>
    <x v="0"/>
    <x v="1"/>
    <x v="4"/>
    <x v="4"/>
    <x v="1"/>
    <x v="1"/>
    <x v="1060"/>
  </r>
  <r>
    <x v="1184"/>
    <x v="247"/>
    <x v="10"/>
    <x v="9"/>
    <x v="1"/>
    <x v="1"/>
    <n v="1"/>
    <n v="5820"/>
    <x v="0"/>
    <n v="1940"/>
    <x v="0"/>
    <x v="2"/>
    <x v="1"/>
    <x v="12"/>
    <x v="4"/>
    <x v="0"/>
    <x v="744"/>
    <x v="1061"/>
  </r>
  <r>
    <x v="1185"/>
    <x v="287"/>
    <x v="9"/>
    <x v="8"/>
    <x v="0"/>
    <x v="0"/>
    <n v="1"/>
    <n v="8827"/>
    <x v="2"/>
    <n v="5884"/>
    <x v="0"/>
    <x v="1"/>
    <x v="1"/>
    <x v="1"/>
    <x v="1"/>
    <x v="1"/>
    <x v="405"/>
    <x v="1062"/>
  </r>
  <r>
    <x v="1186"/>
    <x v="212"/>
    <x v="1"/>
    <x v="1"/>
    <x v="1"/>
    <x v="1"/>
    <n v="1"/>
    <n v="6802"/>
    <x v="1"/>
    <n v="6801"/>
    <x v="0"/>
    <x v="0"/>
    <x v="0"/>
    <x v="10"/>
    <x v="8"/>
    <x v="1"/>
    <x v="2"/>
    <x v="1063"/>
  </r>
  <r>
    <x v="1187"/>
    <x v="301"/>
    <x v="5"/>
    <x v="5"/>
    <x v="0"/>
    <x v="0"/>
    <n v="1"/>
    <n v="4005"/>
    <x v="1"/>
    <n v="4005"/>
    <x v="1"/>
    <x v="1"/>
    <x v="2"/>
    <x v="14"/>
    <x v="6"/>
    <x v="1"/>
    <x v="1"/>
    <x v="1064"/>
  </r>
  <r>
    <x v="1188"/>
    <x v="255"/>
    <x v="9"/>
    <x v="8"/>
    <x v="1"/>
    <x v="1"/>
    <n v="1"/>
    <n v="11247"/>
    <x v="1"/>
    <n v="11247"/>
    <x v="1"/>
    <x v="0"/>
    <x v="3"/>
    <x v="3"/>
    <x v="6"/>
    <x v="0"/>
    <x v="1"/>
    <x v="1065"/>
  </r>
  <r>
    <x v="1189"/>
    <x v="171"/>
    <x v="13"/>
    <x v="9"/>
    <x v="0"/>
    <x v="0"/>
    <n v="1"/>
    <n v="4656"/>
    <x v="1"/>
    <n v="4656"/>
    <x v="1"/>
    <x v="2"/>
    <x v="4"/>
    <x v="11"/>
    <x v="2"/>
    <x v="0"/>
    <x v="1"/>
    <x v="106"/>
  </r>
  <r>
    <x v="1190"/>
    <x v="331"/>
    <x v="13"/>
    <x v="9"/>
    <x v="1"/>
    <x v="1"/>
    <n v="1"/>
    <n v="4618"/>
    <x v="1"/>
    <n v="4617"/>
    <x v="0"/>
    <x v="1"/>
    <x v="1"/>
    <x v="3"/>
    <x v="3"/>
    <x v="0"/>
    <x v="2"/>
    <x v="1066"/>
  </r>
  <r>
    <x v="1191"/>
    <x v="2"/>
    <x v="6"/>
    <x v="6"/>
    <x v="1"/>
    <x v="1"/>
    <n v="1"/>
    <n v="9767"/>
    <x v="2"/>
    <n v="6510"/>
    <x v="0"/>
    <x v="1"/>
    <x v="0"/>
    <x v="4"/>
    <x v="2"/>
    <x v="1"/>
    <x v="745"/>
    <x v="1067"/>
  </r>
  <r>
    <x v="1192"/>
    <x v="270"/>
    <x v="10"/>
    <x v="9"/>
    <x v="1"/>
    <x v="1"/>
    <n v="1"/>
    <n v="6464"/>
    <x v="2"/>
    <n v="4308"/>
    <x v="0"/>
    <x v="0"/>
    <x v="4"/>
    <x v="7"/>
    <x v="4"/>
    <x v="0"/>
    <x v="746"/>
    <x v="1068"/>
  </r>
  <r>
    <x v="1193"/>
    <x v="144"/>
    <x v="3"/>
    <x v="3"/>
    <x v="1"/>
    <x v="1"/>
    <n v="1"/>
    <n v="5557"/>
    <x v="1"/>
    <n v="5556"/>
    <x v="0"/>
    <x v="0"/>
    <x v="5"/>
    <x v="0"/>
    <x v="4"/>
    <x v="1"/>
    <x v="2"/>
    <x v="653"/>
  </r>
  <r>
    <x v="1194"/>
    <x v="260"/>
    <x v="1"/>
    <x v="1"/>
    <x v="0"/>
    <x v="0"/>
    <n v="1"/>
    <n v="5712"/>
    <x v="1"/>
    <n v="5712"/>
    <x v="1"/>
    <x v="0"/>
    <x v="0"/>
    <x v="13"/>
    <x v="5"/>
    <x v="0"/>
    <x v="1"/>
    <x v="1069"/>
  </r>
  <r>
    <x v="1195"/>
    <x v="244"/>
    <x v="11"/>
    <x v="10"/>
    <x v="1"/>
    <x v="1"/>
    <n v="1"/>
    <n v="5489"/>
    <x v="0"/>
    <n v="1829"/>
    <x v="0"/>
    <x v="2"/>
    <x v="3"/>
    <x v="9"/>
    <x v="5"/>
    <x v="0"/>
    <x v="747"/>
    <x v="1070"/>
  </r>
  <r>
    <x v="1196"/>
    <x v="116"/>
    <x v="13"/>
    <x v="9"/>
    <x v="1"/>
    <x v="1"/>
    <n v="1"/>
    <n v="3006"/>
    <x v="0"/>
    <n v="1002"/>
    <x v="0"/>
    <x v="2"/>
    <x v="4"/>
    <x v="7"/>
    <x v="6"/>
    <x v="1"/>
    <x v="369"/>
    <x v="547"/>
  </r>
  <r>
    <x v="1197"/>
    <x v="53"/>
    <x v="13"/>
    <x v="9"/>
    <x v="1"/>
    <x v="1"/>
    <n v="1"/>
    <n v="4096"/>
    <x v="1"/>
    <n v="4095"/>
    <x v="0"/>
    <x v="0"/>
    <x v="3"/>
    <x v="4"/>
    <x v="0"/>
    <x v="1"/>
    <x v="2"/>
    <x v="1071"/>
  </r>
  <r>
    <x v="1198"/>
    <x v="185"/>
    <x v="7"/>
    <x v="6"/>
    <x v="0"/>
    <x v="0"/>
    <n v="1"/>
    <n v="7954"/>
    <x v="2"/>
    <n v="5302"/>
    <x v="0"/>
    <x v="2"/>
    <x v="0"/>
    <x v="14"/>
    <x v="7"/>
    <x v="0"/>
    <x v="748"/>
    <x v="1072"/>
  </r>
  <r>
    <x v="1199"/>
    <x v="269"/>
    <x v="3"/>
    <x v="3"/>
    <x v="0"/>
    <x v="0"/>
    <n v="1"/>
    <n v="7410"/>
    <x v="2"/>
    <n v="4940"/>
    <x v="0"/>
    <x v="1"/>
    <x v="1"/>
    <x v="3"/>
    <x v="3"/>
    <x v="1"/>
    <x v="749"/>
    <x v="1073"/>
  </r>
  <r>
    <x v="1200"/>
    <x v="289"/>
    <x v="3"/>
    <x v="3"/>
    <x v="1"/>
    <x v="1"/>
    <n v="1"/>
    <n v="6743"/>
    <x v="1"/>
    <n v="6741"/>
    <x v="0"/>
    <x v="1"/>
    <x v="5"/>
    <x v="1"/>
    <x v="5"/>
    <x v="1"/>
    <x v="4"/>
    <x v="1074"/>
  </r>
  <r>
    <x v="1201"/>
    <x v="71"/>
    <x v="6"/>
    <x v="6"/>
    <x v="0"/>
    <x v="0"/>
    <n v="1"/>
    <n v="8054"/>
    <x v="0"/>
    <n v="2684"/>
    <x v="0"/>
    <x v="2"/>
    <x v="5"/>
    <x v="14"/>
    <x v="8"/>
    <x v="1"/>
    <x v="750"/>
    <x v="799"/>
  </r>
  <r>
    <x v="1202"/>
    <x v="147"/>
    <x v="11"/>
    <x v="10"/>
    <x v="0"/>
    <x v="0"/>
    <n v="1"/>
    <n v="3635"/>
    <x v="0"/>
    <n v="1211"/>
    <x v="0"/>
    <x v="1"/>
    <x v="5"/>
    <x v="2"/>
    <x v="7"/>
    <x v="1"/>
    <x v="751"/>
    <x v="1075"/>
  </r>
  <r>
    <x v="1203"/>
    <x v="328"/>
    <x v="9"/>
    <x v="8"/>
    <x v="1"/>
    <x v="1"/>
    <n v="1"/>
    <n v="9512"/>
    <x v="1"/>
    <n v="9510"/>
    <x v="0"/>
    <x v="0"/>
    <x v="2"/>
    <x v="6"/>
    <x v="8"/>
    <x v="1"/>
    <x v="4"/>
    <x v="1076"/>
  </r>
  <r>
    <x v="1204"/>
    <x v="100"/>
    <x v="5"/>
    <x v="5"/>
    <x v="1"/>
    <x v="1"/>
    <n v="1"/>
    <n v="3782"/>
    <x v="0"/>
    <n v="1260"/>
    <x v="0"/>
    <x v="2"/>
    <x v="1"/>
    <x v="7"/>
    <x v="5"/>
    <x v="0"/>
    <x v="414"/>
    <x v="1077"/>
  </r>
  <r>
    <x v="1205"/>
    <x v="73"/>
    <x v="2"/>
    <x v="2"/>
    <x v="1"/>
    <x v="1"/>
    <n v="1"/>
    <n v="7299"/>
    <x v="0"/>
    <n v="2433"/>
    <x v="0"/>
    <x v="0"/>
    <x v="3"/>
    <x v="1"/>
    <x v="2"/>
    <x v="0"/>
    <x v="752"/>
    <x v="1078"/>
  </r>
  <r>
    <x v="1206"/>
    <x v="10"/>
    <x v="7"/>
    <x v="6"/>
    <x v="0"/>
    <x v="0"/>
    <n v="1"/>
    <n v="11404"/>
    <x v="2"/>
    <n v="7602"/>
    <x v="0"/>
    <x v="2"/>
    <x v="4"/>
    <x v="10"/>
    <x v="9"/>
    <x v="1"/>
    <x v="257"/>
    <x v="1079"/>
  </r>
  <r>
    <x v="1207"/>
    <x v="6"/>
    <x v="2"/>
    <x v="2"/>
    <x v="0"/>
    <x v="0"/>
    <n v="1"/>
    <n v="5841"/>
    <x v="2"/>
    <n v="3894"/>
    <x v="0"/>
    <x v="0"/>
    <x v="0"/>
    <x v="4"/>
    <x v="0"/>
    <x v="1"/>
    <x v="753"/>
    <x v="1080"/>
  </r>
  <r>
    <x v="1208"/>
    <x v="54"/>
    <x v="10"/>
    <x v="9"/>
    <x v="0"/>
    <x v="0"/>
    <n v="1"/>
    <n v="6052"/>
    <x v="1"/>
    <n v="6051"/>
    <x v="0"/>
    <x v="2"/>
    <x v="3"/>
    <x v="8"/>
    <x v="7"/>
    <x v="1"/>
    <x v="2"/>
    <x v="1081"/>
  </r>
  <r>
    <x v="1209"/>
    <x v="353"/>
    <x v="0"/>
    <x v="0"/>
    <x v="1"/>
    <x v="1"/>
    <n v="1"/>
    <n v="6942"/>
    <x v="2"/>
    <n v="4628"/>
    <x v="0"/>
    <x v="2"/>
    <x v="3"/>
    <x v="6"/>
    <x v="1"/>
    <x v="0"/>
    <x v="754"/>
    <x v="526"/>
  </r>
  <r>
    <x v="1210"/>
    <x v="330"/>
    <x v="10"/>
    <x v="9"/>
    <x v="0"/>
    <x v="0"/>
    <n v="1"/>
    <n v="6011"/>
    <x v="0"/>
    <n v="2003"/>
    <x v="0"/>
    <x v="0"/>
    <x v="5"/>
    <x v="1"/>
    <x v="0"/>
    <x v="0"/>
    <x v="755"/>
    <x v="1082"/>
  </r>
  <r>
    <x v="1211"/>
    <x v="76"/>
    <x v="0"/>
    <x v="0"/>
    <x v="0"/>
    <x v="0"/>
    <n v="1"/>
    <n v="7341"/>
    <x v="0"/>
    <n v="2447"/>
    <x v="0"/>
    <x v="0"/>
    <x v="0"/>
    <x v="1"/>
    <x v="2"/>
    <x v="0"/>
    <x v="756"/>
    <x v="1083"/>
  </r>
  <r>
    <x v="1212"/>
    <x v="282"/>
    <x v="4"/>
    <x v="4"/>
    <x v="1"/>
    <x v="1"/>
    <n v="1"/>
    <n v="6345"/>
    <x v="2"/>
    <n v="4230"/>
    <x v="0"/>
    <x v="0"/>
    <x v="5"/>
    <x v="3"/>
    <x v="1"/>
    <x v="1"/>
    <x v="757"/>
    <x v="1084"/>
  </r>
  <r>
    <x v="1213"/>
    <x v="211"/>
    <x v="6"/>
    <x v="6"/>
    <x v="0"/>
    <x v="0"/>
    <n v="1"/>
    <n v="10114"/>
    <x v="0"/>
    <n v="3371"/>
    <x v="0"/>
    <x v="0"/>
    <x v="4"/>
    <x v="10"/>
    <x v="5"/>
    <x v="0"/>
    <x v="758"/>
    <x v="1085"/>
  </r>
  <r>
    <x v="1214"/>
    <x v="1"/>
    <x v="3"/>
    <x v="3"/>
    <x v="0"/>
    <x v="0"/>
    <n v="1"/>
    <n v="4909"/>
    <x v="0"/>
    <n v="1636"/>
    <x v="0"/>
    <x v="2"/>
    <x v="4"/>
    <x v="0"/>
    <x v="8"/>
    <x v="1"/>
    <x v="759"/>
    <x v="1086"/>
  </r>
  <r>
    <x v="1215"/>
    <x v="2"/>
    <x v="10"/>
    <x v="9"/>
    <x v="1"/>
    <x v="1"/>
    <n v="1"/>
    <n v="7859"/>
    <x v="0"/>
    <n v="2619"/>
    <x v="0"/>
    <x v="1"/>
    <x v="1"/>
    <x v="10"/>
    <x v="7"/>
    <x v="1"/>
    <x v="760"/>
    <x v="1087"/>
  </r>
  <r>
    <x v="1216"/>
    <x v="32"/>
    <x v="0"/>
    <x v="0"/>
    <x v="1"/>
    <x v="1"/>
    <n v="1"/>
    <n v="6612"/>
    <x v="1"/>
    <n v="6612"/>
    <x v="1"/>
    <x v="0"/>
    <x v="3"/>
    <x v="11"/>
    <x v="8"/>
    <x v="0"/>
    <x v="1"/>
    <x v="1088"/>
  </r>
  <r>
    <x v="1217"/>
    <x v="197"/>
    <x v="8"/>
    <x v="7"/>
    <x v="1"/>
    <x v="1"/>
    <n v="1"/>
    <n v="14837"/>
    <x v="0"/>
    <n v="4945"/>
    <x v="0"/>
    <x v="0"/>
    <x v="4"/>
    <x v="13"/>
    <x v="4"/>
    <x v="0"/>
    <x v="761"/>
    <x v="1089"/>
  </r>
  <r>
    <x v="1218"/>
    <x v="42"/>
    <x v="5"/>
    <x v="5"/>
    <x v="1"/>
    <x v="1"/>
    <n v="1"/>
    <n v="3767"/>
    <x v="2"/>
    <n v="2510"/>
    <x v="0"/>
    <x v="2"/>
    <x v="0"/>
    <x v="3"/>
    <x v="3"/>
    <x v="0"/>
    <x v="762"/>
    <x v="756"/>
  </r>
  <r>
    <x v="1219"/>
    <x v="341"/>
    <x v="11"/>
    <x v="10"/>
    <x v="0"/>
    <x v="0"/>
    <n v="1"/>
    <n v="3829"/>
    <x v="0"/>
    <n v="1276"/>
    <x v="0"/>
    <x v="1"/>
    <x v="0"/>
    <x v="6"/>
    <x v="0"/>
    <x v="1"/>
    <x v="763"/>
    <x v="144"/>
  </r>
  <r>
    <x v="1220"/>
    <x v="78"/>
    <x v="4"/>
    <x v="4"/>
    <x v="1"/>
    <x v="1"/>
    <n v="1"/>
    <n v="5821"/>
    <x v="0"/>
    <n v="1940"/>
    <x v="0"/>
    <x v="2"/>
    <x v="2"/>
    <x v="14"/>
    <x v="7"/>
    <x v="0"/>
    <x v="764"/>
    <x v="1061"/>
  </r>
  <r>
    <x v="1221"/>
    <x v="179"/>
    <x v="8"/>
    <x v="7"/>
    <x v="1"/>
    <x v="1"/>
    <n v="1"/>
    <n v="10862"/>
    <x v="2"/>
    <n v="7240"/>
    <x v="0"/>
    <x v="1"/>
    <x v="0"/>
    <x v="10"/>
    <x v="5"/>
    <x v="1"/>
    <x v="499"/>
    <x v="1090"/>
  </r>
  <r>
    <x v="1222"/>
    <x v="239"/>
    <x v="11"/>
    <x v="10"/>
    <x v="1"/>
    <x v="1"/>
    <n v="1"/>
    <n v="4342"/>
    <x v="1"/>
    <n v="4341"/>
    <x v="0"/>
    <x v="1"/>
    <x v="1"/>
    <x v="3"/>
    <x v="8"/>
    <x v="0"/>
    <x v="2"/>
    <x v="1091"/>
  </r>
  <r>
    <x v="1223"/>
    <x v="326"/>
    <x v="7"/>
    <x v="6"/>
    <x v="1"/>
    <x v="1"/>
    <n v="1"/>
    <n v="9766"/>
    <x v="2"/>
    <n v="6510"/>
    <x v="0"/>
    <x v="0"/>
    <x v="3"/>
    <x v="9"/>
    <x v="3"/>
    <x v="0"/>
    <x v="765"/>
    <x v="1067"/>
  </r>
  <r>
    <x v="1224"/>
    <x v="335"/>
    <x v="9"/>
    <x v="8"/>
    <x v="0"/>
    <x v="0"/>
    <n v="1"/>
    <n v="11179"/>
    <x v="0"/>
    <n v="3726"/>
    <x v="0"/>
    <x v="0"/>
    <x v="1"/>
    <x v="11"/>
    <x v="3"/>
    <x v="0"/>
    <x v="766"/>
    <x v="1092"/>
  </r>
  <r>
    <x v="1225"/>
    <x v="47"/>
    <x v="1"/>
    <x v="1"/>
    <x v="0"/>
    <x v="0"/>
    <n v="1"/>
    <n v="4711"/>
    <x v="0"/>
    <n v="1570"/>
    <x v="0"/>
    <x v="1"/>
    <x v="0"/>
    <x v="0"/>
    <x v="6"/>
    <x v="0"/>
    <x v="767"/>
    <x v="1093"/>
  </r>
  <r>
    <x v="1226"/>
    <x v="285"/>
    <x v="4"/>
    <x v="4"/>
    <x v="0"/>
    <x v="0"/>
    <n v="1"/>
    <n v="5678"/>
    <x v="1"/>
    <n v="5676"/>
    <x v="0"/>
    <x v="0"/>
    <x v="4"/>
    <x v="3"/>
    <x v="8"/>
    <x v="0"/>
    <x v="4"/>
    <x v="1094"/>
  </r>
  <r>
    <x v="1227"/>
    <x v="322"/>
    <x v="13"/>
    <x v="9"/>
    <x v="1"/>
    <x v="1"/>
    <n v="1"/>
    <n v="4247"/>
    <x v="1"/>
    <n v="4245"/>
    <x v="0"/>
    <x v="2"/>
    <x v="0"/>
    <x v="0"/>
    <x v="1"/>
    <x v="0"/>
    <x v="4"/>
    <x v="1095"/>
  </r>
  <r>
    <x v="1228"/>
    <x v="298"/>
    <x v="6"/>
    <x v="6"/>
    <x v="0"/>
    <x v="0"/>
    <n v="1"/>
    <n v="10016"/>
    <x v="0"/>
    <n v="3338"/>
    <x v="0"/>
    <x v="2"/>
    <x v="4"/>
    <x v="8"/>
    <x v="9"/>
    <x v="1"/>
    <x v="768"/>
    <x v="1096"/>
  </r>
  <r>
    <x v="1229"/>
    <x v="352"/>
    <x v="8"/>
    <x v="7"/>
    <x v="0"/>
    <x v="0"/>
    <n v="1"/>
    <n v="12232"/>
    <x v="0"/>
    <n v="4077"/>
    <x v="0"/>
    <x v="1"/>
    <x v="1"/>
    <x v="13"/>
    <x v="8"/>
    <x v="1"/>
    <x v="769"/>
    <x v="1097"/>
  </r>
  <r>
    <x v="1230"/>
    <x v="35"/>
    <x v="2"/>
    <x v="2"/>
    <x v="0"/>
    <x v="0"/>
    <n v="1"/>
    <n v="6487"/>
    <x v="2"/>
    <n v="4324"/>
    <x v="0"/>
    <x v="0"/>
    <x v="3"/>
    <x v="4"/>
    <x v="2"/>
    <x v="1"/>
    <x v="770"/>
    <x v="1098"/>
  </r>
  <r>
    <x v="1231"/>
    <x v="304"/>
    <x v="11"/>
    <x v="10"/>
    <x v="0"/>
    <x v="0"/>
    <n v="1"/>
    <n v="5147"/>
    <x v="0"/>
    <n v="1715"/>
    <x v="0"/>
    <x v="1"/>
    <x v="2"/>
    <x v="14"/>
    <x v="9"/>
    <x v="1"/>
    <x v="771"/>
    <x v="1099"/>
  </r>
  <r>
    <x v="1232"/>
    <x v="354"/>
    <x v="2"/>
    <x v="2"/>
    <x v="1"/>
    <x v="1"/>
    <n v="1"/>
    <n v="4751"/>
    <x v="2"/>
    <n v="3166"/>
    <x v="0"/>
    <x v="2"/>
    <x v="2"/>
    <x v="2"/>
    <x v="5"/>
    <x v="0"/>
    <x v="772"/>
    <x v="787"/>
  </r>
  <r>
    <x v="1233"/>
    <x v="82"/>
    <x v="2"/>
    <x v="2"/>
    <x v="0"/>
    <x v="0"/>
    <n v="1"/>
    <n v="4701"/>
    <x v="1"/>
    <n v="4701"/>
    <x v="1"/>
    <x v="2"/>
    <x v="1"/>
    <x v="8"/>
    <x v="0"/>
    <x v="0"/>
    <x v="1"/>
    <x v="1100"/>
  </r>
  <r>
    <x v="1234"/>
    <x v="287"/>
    <x v="9"/>
    <x v="8"/>
    <x v="1"/>
    <x v="1"/>
    <n v="1"/>
    <n v="8684"/>
    <x v="2"/>
    <n v="5788"/>
    <x v="0"/>
    <x v="2"/>
    <x v="0"/>
    <x v="9"/>
    <x v="8"/>
    <x v="0"/>
    <x v="773"/>
    <x v="1101"/>
  </r>
  <r>
    <x v="1235"/>
    <x v="142"/>
    <x v="6"/>
    <x v="6"/>
    <x v="1"/>
    <x v="1"/>
    <n v="1"/>
    <n v="11769"/>
    <x v="0"/>
    <n v="3923"/>
    <x v="0"/>
    <x v="1"/>
    <x v="3"/>
    <x v="13"/>
    <x v="1"/>
    <x v="1"/>
    <x v="774"/>
    <x v="1102"/>
  </r>
  <r>
    <x v="1236"/>
    <x v="240"/>
    <x v="8"/>
    <x v="7"/>
    <x v="1"/>
    <x v="1"/>
    <n v="1"/>
    <n v="13348"/>
    <x v="2"/>
    <n v="8898"/>
    <x v="0"/>
    <x v="1"/>
    <x v="0"/>
    <x v="0"/>
    <x v="2"/>
    <x v="1"/>
    <x v="775"/>
    <x v="1103"/>
  </r>
  <r>
    <x v="1237"/>
    <x v="48"/>
    <x v="5"/>
    <x v="5"/>
    <x v="1"/>
    <x v="1"/>
    <n v="1"/>
    <n v="5601"/>
    <x v="0"/>
    <n v="1867"/>
    <x v="0"/>
    <x v="2"/>
    <x v="3"/>
    <x v="11"/>
    <x v="0"/>
    <x v="0"/>
    <x v="776"/>
    <x v="1104"/>
  </r>
  <r>
    <x v="1238"/>
    <x v="246"/>
    <x v="8"/>
    <x v="7"/>
    <x v="0"/>
    <x v="0"/>
    <n v="1"/>
    <n v="13001"/>
    <x v="1"/>
    <n v="12999"/>
    <x v="0"/>
    <x v="2"/>
    <x v="3"/>
    <x v="7"/>
    <x v="9"/>
    <x v="0"/>
    <x v="4"/>
    <x v="1105"/>
  </r>
  <r>
    <x v="1239"/>
    <x v="35"/>
    <x v="3"/>
    <x v="3"/>
    <x v="1"/>
    <x v="1"/>
    <n v="1"/>
    <n v="5482"/>
    <x v="0"/>
    <n v="1827"/>
    <x v="0"/>
    <x v="1"/>
    <x v="1"/>
    <x v="14"/>
    <x v="8"/>
    <x v="0"/>
    <x v="777"/>
    <x v="1106"/>
  </r>
  <r>
    <x v="1240"/>
    <x v="331"/>
    <x v="3"/>
    <x v="3"/>
    <x v="1"/>
    <x v="1"/>
    <n v="1"/>
    <n v="4019"/>
    <x v="1"/>
    <n v="4017"/>
    <x v="0"/>
    <x v="2"/>
    <x v="1"/>
    <x v="8"/>
    <x v="7"/>
    <x v="1"/>
    <x v="4"/>
    <x v="1107"/>
  </r>
  <r>
    <x v="1241"/>
    <x v="145"/>
    <x v="11"/>
    <x v="10"/>
    <x v="0"/>
    <x v="0"/>
    <n v="1"/>
    <n v="5984"/>
    <x v="2"/>
    <n v="3988"/>
    <x v="0"/>
    <x v="1"/>
    <x v="1"/>
    <x v="2"/>
    <x v="7"/>
    <x v="1"/>
    <x v="778"/>
    <x v="1108"/>
  </r>
  <r>
    <x v="1242"/>
    <x v="227"/>
    <x v="1"/>
    <x v="1"/>
    <x v="0"/>
    <x v="0"/>
    <n v="1"/>
    <n v="6324"/>
    <x v="0"/>
    <n v="2108"/>
    <x v="0"/>
    <x v="0"/>
    <x v="2"/>
    <x v="2"/>
    <x v="6"/>
    <x v="1"/>
    <x v="779"/>
    <x v="1109"/>
  </r>
  <r>
    <x v="1243"/>
    <x v="349"/>
    <x v="10"/>
    <x v="9"/>
    <x v="1"/>
    <x v="1"/>
    <n v="1"/>
    <n v="7023"/>
    <x v="1"/>
    <n v="7023"/>
    <x v="1"/>
    <x v="0"/>
    <x v="1"/>
    <x v="8"/>
    <x v="2"/>
    <x v="1"/>
    <x v="1"/>
    <x v="1025"/>
  </r>
  <r>
    <x v="1244"/>
    <x v="99"/>
    <x v="3"/>
    <x v="3"/>
    <x v="0"/>
    <x v="0"/>
    <n v="1"/>
    <n v="4736"/>
    <x v="0"/>
    <n v="1578"/>
    <x v="0"/>
    <x v="2"/>
    <x v="5"/>
    <x v="0"/>
    <x v="3"/>
    <x v="0"/>
    <x v="780"/>
    <x v="1110"/>
  </r>
  <r>
    <x v="1245"/>
    <x v="60"/>
    <x v="11"/>
    <x v="10"/>
    <x v="0"/>
    <x v="0"/>
    <n v="1"/>
    <n v="4996"/>
    <x v="0"/>
    <n v="1665"/>
    <x v="0"/>
    <x v="1"/>
    <x v="3"/>
    <x v="3"/>
    <x v="2"/>
    <x v="1"/>
    <x v="781"/>
    <x v="1111"/>
  </r>
  <r>
    <x v="1246"/>
    <x v="216"/>
    <x v="11"/>
    <x v="10"/>
    <x v="1"/>
    <x v="1"/>
    <n v="1"/>
    <n v="5354"/>
    <x v="1"/>
    <n v="5352"/>
    <x v="0"/>
    <x v="0"/>
    <x v="0"/>
    <x v="4"/>
    <x v="1"/>
    <x v="0"/>
    <x v="4"/>
    <x v="1112"/>
  </r>
  <r>
    <x v="1247"/>
    <x v="127"/>
    <x v="3"/>
    <x v="3"/>
    <x v="0"/>
    <x v="0"/>
    <n v="1"/>
    <n v="6439"/>
    <x v="2"/>
    <n v="4292"/>
    <x v="0"/>
    <x v="2"/>
    <x v="2"/>
    <x v="4"/>
    <x v="2"/>
    <x v="1"/>
    <x v="782"/>
    <x v="479"/>
  </r>
  <r>
    <x v="1248"/>
    <x v="130"/>
    <x v="9"/>
    <x v="8"/>
    <x v="0"/>
    <x v="0"/>
    <n v="1"/>
    <n v="13830"/>
    <x v="2"/>
    <n v="9220"/>
    <x v="0"/>
    <x v="0"/>
    <x v="5"/>
    <x v="10"/>
    <x v="9"/>
    <x v="1"/>
    <x v="783"/>
    <x v="1113"/>
  </r>
  <r>
    <x v="1249"/>
    <x v="84"/>
    <x v="8"/>
    <x v="7"/>
    <x v="1"/>
    <x v="1"/>
    <n v="1"/>
    <n v="13265"/>
    <x v="1"/>
    <n v="13263"/>
    <x v="0"/>
    <x v="2"/>
    <x v="1"/>
    <x v="9"/>
    <x v="5"/>
    <x v="0"/>
    <x v="4"/>
    <x v="1114"/>
  </r>
  <r>
    <x v="1250"/>
    <x v="203"/>
    <x v="0"/>
    <x v="0"/>
    <x v="1"/>
    <x v="1"/>
    <n v="1"/>
    <n v="5891"/>
    <x v="2"/>
    <n v="3926"/>
    <x v="0"/>
    <x v="1"/>
    <x v="5"/>
    <x v="1"/>
    <x v="7"/>
    <x v="1"/>
    <x v="784"/>
    <x v="341"/>
  </r>
  <r>
    <x v="1251"/>
    <x v="182"/>
    <x v="4"/>
    <x v="4"/>
    <x v="0"/>
    <x v="0"/>
    <n v="1"/>
    <n v="5398"/>
    <x v="1"/>
    <n v="5397"/>
    <x v="0"/>
    <x v="1"/>
    <x v="1"/>
    <x v="14"/>
    <x v="2"/>
    <x v="1"/>
    <x v="2"/>
    <x v="1115"/>
  </r>
  <r>
    <x v="1252"/>
    <x v="88"/>
    <x v="4"/>
    <x v="4"/>
    <x v="1"/>
    <x v="1"/>
    <n v="1"/>
    <n v="6122"/>
    <x v="1"/>
    <n v="6120"/>
    <x v="0"/>
    <x v="2"/>
    <x v="4"/>
    <x v="12"/>
    <x v="8"/>
    <x v="1"/>
    <x v="4"/>
    <x v="1116"/>
  </r>
  <r>
    <x v="1253"/>
    <x v="272"/>
    <x v="11"/>
    <x v="10"/>
    <x v="0"/>
    <x v="0"/>
    <n v="1"/>
    <n v="4273"/>
    <x v="0"/>
    <n v="1424"/>
    <x v="0"/>
    <x v="1"/>
    <x v="0"/>
    <x v="12"/>
    <x v="4"/>
    <x v="0"/>
    <x v="785"/>
    <x v="1117"/>
  </r>
  <r>
    <x v="1254"/>
    <x v="340"/>
    <x v="1"/>
    <x v="1"/>
    <x v="0"/>
    <x v="0"/>
    <n v="1"/>
    <n v="4752"/>
    <x v="1"/>
    <n v="4752"/>
    <x v="1"/>
    <x v="1"/>
    <x v="2"/>
    <x v="8"/>
    <x v="3"/>
    <x v="1"/>
    <x v="1"/>
    <x v="545"/>
  </r>
  <r>
    <x v="1255"/>
    <x v="200"/>
    <x v="0"/>
    <x v="0"/>
    <x v="0"/>
    <x v="0"/>
    <n v="1"/>
    <n v="6301"/>
    <x v="1"/>
    <n v="6300"/>
    <x v="0"/>
    <x v="0"/>
    <x v="3"/>
    <x v="11"/>
    <x v="8"/>
    <x v="1"/>
    <x v="2"/>
    <x v="1118"/>
  </r>
  <r>
    <x v="1256"/>
    <x v="352"/>
    <x v="5"/>
    <x v="5"/>
    <x v="0"/>
    <x v="0"/>
    <n v="1"/>
    <n v="4337"/>
    <x v="1"/>
    <n v="4335"/>
    <x v="0"/>
    <x v="1"/>
    <x v="0"/>
    <x v="8"/>
    <x v="0"/>
    <x v="0"/>
    <x v="4"/>
    <x v="1119"/>
  </r>
  <r>
    <x v="1257"/>
    <x v="264"/>
    <x v="1"/>
    <x v="1"/>
    <x v="0"/>
    <x v="0"/>
    <n v="1"/>
    <n v="5166"/>
    <x v="0"/>
    <n v="1722"/>
    <x v="0"/>
    <x v="1"/>
    <x v="1"/>
    <x v="0"/>
    <x v="6"/>
    <x v="1"/>
    <x v="786"/>
    <x v="1120"/>
  </r>
  <r>
    <x v="1258"/>
    <x v="58"/>
    <x v="8"/>
    <x v="7"/>
    <x v="1"/>
    <x v="1"/>
    <n v="1"/>
    <n v="14021"/>
    <x v="0"/>
    <n v="4673"/>
    <x v="0"/>
    <x v="0"/>
    <x v="2"/>
    <x v="14"/>
    <x v="9"/>
    <x v="1"/>
    <x v="787"/>
    <x v="1121"/>
  </r>
  <r>
    <x v="1259"/>
    <x v="319"/>
    <x v="4"/>
    <x v="4"/>
    <x v="0"/>
    <x v="0"/>
    <n v="1"/>
    <n v="5906"/>
    <x v="2"/>
    <n v="3936"/>
    <x v="0"/>
    <x v="1"/>
    <x v="0"/>
    <x v="0"/>
    <x v="9"/>
    <x v="1"/>
    <x v="23"/>
    <x v="1122"/>
  </r>
  <r>
    <x v="1260"/>
    <x v="96"/>
    <x v="8"/>
    <x v="7"/>
    <x v="1"/>
    <x v="1"/>
    <n v="1"/>
    <n v="8228"/>
    <x v="0"/>
    <n v="2742"/>
    <x v="0"/>
    <x v="1"/>
    <x v="4"/>
    <x v="9"/>
    <x v="7"/>
    <x v="0"/>
    <x v="788"/>
    <x v="1123"/>
  </r>
  <r>
    <x v="1261"/>
    <x v="19"/>
    <x v="7"/>
    <x v="6"/>
    <x v="1"/>
    <x v="1"/>
    <n v="1"/>
    <n v="8907"/>
    <x v="2"/>
    <n v="5938"/>
    <x v="0"/>
    <x v="2"/>
    <x v="1"/>
    <x v="6"/>
    <x v="4"/>
    <x v="0"/>
    <x v="789"/>
    <x v="589"/>
  </r>
  <r>
    <x v="1262"/>
    <x v="355"/>
    <x v="0"/>
    <x v="0"/>
    <x v="1"/>
    <x v="1"/>
    <n v="1"/>
    <n v="5090"/>
    <x v="0"/>
    <n v="1696"/>
    <x v="0"/>
    <x v="2"/>
    <x v="3"/>
    <x v="6"/>
    <x v="4"/>
    <x v="1"/>
    <x v="790"/>
    <x v="1124"/>
  </r>
  <r>
    <x v="1263"/>
    <x v="84"/>
    <x v="12"/>
    <x v="11"/>
    <x v="0"/>
    <x v="0"/>
    <n v="1"/>
    <n v="5635"/>
    <x v="0"/>
    <n v="1878"/>
    <x v="0"/>
    <x v="2"/>
    <x v="4"/>
    <x v="10"/>
    <x v="7"/>
    <x v="0"/>
    <x v="791"/>
    <x v="1125"/>
  </r>
  <r>
    <x v="1264"/>
    <x v="165"/>
    <x v="4"/>
    <x v="4"/>
    <x v="1"/>
    <x v="1"/>
    <n v="1"/>
    <n v="4053"/>
    <x v="1"/>
    <n v="4053"/>
    <x v="1"/>
    <x v="0"/>
    <x v="1"/>
    <x v="14"/>
    <x v="3"/>
    <x v="0"/>
    <x v="1"/>
    <x v="1126"/>
  </r>
  <r>
    <x v="1265"/>
    <x v="137"/>
    <x v="1"/>
    <x v="1"/>
    <x v="1"/>
    <x v="1"/>
    <n v="1"/>
    <n v="4925"/>
    <x v="1"/>
    <n v="4923"/>
    <x v="0"/>
    <x v="0"/>
    <x v="1"/>
    <x v="3"/>
    <x v="0"/>
    <x v="0"/>
    <x v="4"/>
    <x v="1127"/>
  </r>
  <r>
    <x v="1266"/>
    <x v="345"/>
    <x v="2"/>
    <x v="2"/>
    <x v="1"/>
    <x v="1"/>
    <n v="1"/>
    <n v="6865"/>
    <x v="2"/>
    <n v="4576"/>
    <x v="0"/>
    <x v="1"/>
    <x v="0"/>
    <x v="8"/>
    <x v="2"/>
    <x v="0"/>
    <x v="792"/>
    <x v="1128"/>
  </r>
  <r>
    <x v="1267"/>
    <x v="334"/>
    <x v="9"/>
    <x v="8"/>
    <x v="1"/>
    <x v="1"/>
    <n v="1"/>
    <n v="13940"/>
    <x v="0"/>
    <n v="4646"/>
    <x v="0"/>
    <x v="1"/>
    <x v="1"/>
    <x v="3"/>
    <x v="8"/>
    <x v="0"/>
    <x v="793"/>
    <x v="615"/>
  </r>
  <r>
    <x v="1268"/>
    <x v="278"/>
    <x v="5"/>
    <x v="5"/>
    <x v="1"/>
    <x v="1"/>
    <n v="1"/>
    <n v="3559"/>
    <x v="2"/>
    <n v="2372"/>
    <x v="0"/>
    <x v="0"/>
    <x v="1"/>
    <x v="13"/>
    <x v="4"/>
    <x v="0"/>
    <x v="794"/>
    <x v="1129"/>
  </r>
  <r>
    <x v="1269"/>
    <x v="196"/>
    <x v="9"/>
    <x v="8"/>
    <x v="0"/>
    <x v="0"/>
    <n v="1"/>
    <n v="13800"/>
    <x v="0"/>
    <n v="4600"/>
    <x v="0"/>
    <x v="0"/>
    <x v="4"/>
    <x v="13"/>
    <x v="9"/>
    <x v="1"/>
    <x v="795"/>
    <x v="1130"/>
  </r>
  <r>
    <x v="1270"/>
    <x v="252"/>
    <x v="2"/>
    <x v="2"/>
    <x v="1"/>
    <x v="1"/>
    <n v="1"/>
    <n v="5158"/>
    <x v="1"/>
    <n v="5157"/>
    <x v="0"/>
    <x v="0"/>
    <x v="2"/>
    <x v="4"/>
    <x v="4"/>
    <x v="0"/>
    <x v="2"/>
    <x v="1131"/>
  </r>
  <r>
    <x v="1271"/>
    <x v="33"/>
    <x v="13"/>
    <x v="9"/>
    <x v="1"/>
    <x v="1"/>
    <n v="1"/>
    <n v="3588"/>
    <x v="0"/>
    <n v="1196"/>
    <x v="0"/>
    <x v="1"/>
    <x v="5"/>
    <x v="14"/>
    <x v="3"/>
    <x v="1"/>
    <x v="44"/>
    <x v="1132"/>
  </r>
  <r>
    <x v="1272"/>
    <x v="70"/>
    <x v="10"/>
    <x v="9"/>
    <x v="1"/>
    <x v="1"/>
    <n v="1"/>
    <n v="7390"/>
    <x v="0"/>
    <n v="2463"/>
    <x v="0"/>
    <x v="1"/>
    <x v="2"/>
    <x v="8"/>
    <x v="2"/>
    <x v="0"/>
    <x v="796"/>
    <x v="1133"/>
  </r>
  <r>
    <x v="1273"/>
    <x v="342"/>
    <x v="9"/>
    <x v="8"/>
    <x v="1"/>
    <x v="1"/>
    <n v="1"/>
    <n v="13050"/>
    <x v="1"/>
    <n v="13050"/>
    <x v="1"/>
    <x v="0"/>
    <x v="3"/>
    <x v="10"/>
    <x v="2"/>
    <x v="0"/>
    <x v="1"/>
    <x v="1134"/>
  </r>
  <r>
    <x v="1274"/>
    <x v="45"/>
    <x v="11"/>
    <x v="10"/>
    <x v="1"/>
    <x v="1"/>
    <n v="1"/>
    <n v="4116"/>
    <x v="1"/>
    <n v="4116"/>
    <x v="1"/>
    <x v="1"/>
    <x v="1"/>
    <x v="8"/>
    <x v="6"/>
    <x v="1"/>
    <x v="1"/>
    <x v="1135"/>
  </r>
  <r>
    <x v="1275"/>
    <x v="89"/>
    <x v="3"/>
    <x v="3"/>
    <x v="0"/>
    <x v="0"/>
    <n v="1"/>
    <n v="5476"/>
    <x v="0"/>
    <n v="1825"/>
    <x v="0"/>
    <x v="0"/>
    <x v="1"/>
    <x v="6"/>
    <x v="0"/>
    <x v="1"/>
    <x v="797"/>
    <x v="1136"/>
  </r>
  <r>
    <x v="1276"/>
    <x v="125"/>
    <x v="0"/>
    <x v="0"/>
    <x v="1"/>
    <x v="1"/>
    <n v="1"/>
    <n v="4731"/>
    <x v="1"/>
    <n v="4731"/>
    <x v="1"/>
    <x v="0"/>
    <x v="5"/>
    <x v="0"/>
    <x v="6"/>
    <x v="0"/>
    <x v="1"/>
    <x v="1137"/>
  </r>
  <r>
    <x v="1277"/>
    <x v="65"/>
    <x v="0"/>
    <x v="0"/>
    <x v="1"/>
    <x v="1"/>
    <n v="1"/>
    <n v="4634"/>
    <x v="1"/>
    <n v="4632"/>
    <x v="0"/>
    <x v="1"/>
    <x v="5"/>
    <x v="11"/>
    <x v="0"/>
    <x v="1"/>
    <x v="4"/>
    <x v="1138"/>
  </r>
  <r>
    <x v="1278"/>
    <x v="240"/>
    <x v="11"/>
    <x v="10"/>
    <x v="1"/>
    <x v="1"/>
    <n v="1"/>
    <n v="5597"/>
    <x v="2"/>
    <n v="3730"/>
    <x v="0"/>
    <x v="0"/>
    <x v="3"/>
    <x v="13"/>
    <x v="2"/>
    <x v="1"/>
    <x v="798"/>
    <x v="1139"/>
  </r>
  <r>
    <x v="1279"/>
    <x v="267"/>
    <x v="2"/>
    <x v="2"/>
    <x v="0"/>
    <x v="0"/>
    <n v="1"/>
    <n v="7381"/>
    <x v="1"/>
    <n v="7380"/>
    <x v="0"/>
    <x v="1"/>
    <x v="3"/>
    <x v="6"/>
    <x v="0"/>
    <x v="1"/>
    <x v="2"/>
    <x v="1140"/>
  </r>
  <r>
    <x v="1280"/>
    <x v="289"/>
    <x v="9"/>
    <x v="8"/>
    <x v="0"/>
    <x v="0"/>
    <n v="1"/>
    <n v="11178"/>
    <x v="0"/>
    <n v="3726"/>
    <x v="0"/>
    <x v="1"/>
    <x v="4"/>
    <x v="12"/>
    <x v="1"/>
    <x v="1"/>
    <x v="799"/>
    <x v="1092"/>
  </r>
  <r>
    <x v="1281"/>
    <x v="356"/>
    <x v="2"/>
    <x v="2"/>
    <x v="1"/>
    <x v="1"/>
    <n v="1"/>
    <n v="7124"/>
    <x v="2"/>
    <n v="4748"/>
    <x v="0"/>
    <x v="2"/>
    <x v="3"/>
    <x v="3"/>
    <x v="5"/>
    <x v="0"/>
    <x v="800"/>
    <x v="1141"/>
  </r>
  <r>
    <x v="1282"/>
    <x v="228"/>
    <x v="9"/>
    <x v="8"/>
    <x v="1"/>
    <x v="1"/>
    <n v="1"/>
    <n v="11741"/>
    <x v="1"/>
    <n v="11739"/>
    <x v="0"/>
    <x v="0"/>
    <x v="1"/>
    <x v="9"/>
    <x v="9"/>
    <x v="0"/>
    <x v="4"/>
    <x v="1142"/>
  </r>
  <r>
    <x v="1283"/>
    <x v="60"/>
    <x v="9"/>
    <x v="8"/>
    <x v="0"/>
    <x v="0"/>
    <n v="1"/>
    <n v="9471"/>
    <x v="0"/>
    <n v="3157"/>
    <x v="0"/>
    <x v="2"/>
    <x v="4"/>
    <x v="13"/>
    <x v="3"/>
    <x v="0"/>
    <x v="801"/>
    <x v="1143"/>
  </r>
  <r>
    <x v="1284"/>
    <x v="79"/>
    <x v="2"/>
    <x v="2"/>
    <x v="0"/>
    <x v="0"/>
    <n v="1"/>
    <n v="5805"/>
    <x v="0"/>
    <n v="1935"/>
    <x v="0"/>
    <x v="0"/>
    <x v="0"/>
    <x v="8"/>
    <x v="2"/>
    <x v="1"/>
    <x v="802"/>
    <x v="1144"/>
  </r>
  <r>
    <x v="1285"/>
    <x v="6"/>
    <x v="6"/>
    <x v="6"/>
    <x v="0"/>
    <x v="0"/>
    <n v="1"/>
    <n v="8242"/>
    <x v="0"/>
    <n v="2747"/>
    <x v="0"/>
    <x v="1"/>
    <x v="2"/>
    <x v="3"/>
    <x v="1"/>
    <x v="0"/>
    <x v="803"/>
    <x v="1145"/>
  </r>
  <r>
    <x v="1286"/>
    <x v="192"/>
    <x v="2"/>
    <x v="2"/>
    <x v="1"/>
    <x v="1"/>
    <n v="1"/>
    <n v="7246"/>
    <x v="0"/>
    <n v="2415"/>
    <x v="0"/>
    <x v="0"/>
    <x v="0"/>
    <x v="7"/>
    <x v="4"/>
    <x v="1"/>
    <x v="275"/>
    <x v="406"/>
  </r>
  <r>
    <x v="1287"/>
    <x v="295"/>
    <x v="5"/>
    <x v="5"/>
    <x v="1"/>
    <x v="1"/>
    <n v="1"/>
    <n v="4902"/>
    <x v="1"/>
    <n v="4902"/>
    <x v="1"/>
    <x v="2"/>
    <x v="5"/>
    <x v="12"/>
    <x v="8"/>
    <x v="1"/>
    <x v="1"/>
    <x v="5"/>
  </r>
  <r>
    <x v="1288"/>
    <x v="248"/>
    <x v="1"/>
    <x v="1"/>
    <x v="1"/>
    <x v="1"/>
    <n v="1"/>
    <n v="5630"/>
    <x v="0"/>
    <n v="1876"/>
    <x v="0"/>
    <x v="2"/>
    <x v="4"/>
    <x v="2"/>
    <x v="9"/>
    <x v="0"/>
    <x v="804"/>
    <x v="1146"/>
  </r>
  <r>
    <x v="1289"/>
    <x v="54"/>
    <x v="3"/>
    <x v="3"/>
    <x v="0"/>
    <x v="0"/>
    <n v="1"/>
    <n v="6551"/>
    <x v="2"/>
    <n v="4366"/>
    <x v="0"/>
    <x v="0"/>
    <x v="3"/>
    <x v="12"/>
    <x v="4"/>
    <x v="0"/>
    <x v="805"/>
    <x v="1147"/>
  </r>
  <r>
    <x v="1290"/>
    <x v="185"/>
    <x v="8"/>
    <x v="7"/>
    <x v="1"/>
    <x v="1"/>
    <n v="1"/>
    <n v="9973"/>
    <x v="2"/>
    <n v="6648"/>
    <x v="0"/>
    <x v="2"/>
    <x v="1"/>
    <x v="2"/>
    <x v="5"/>
    <x v="1"/>
    <x v="806"/>
    <x v="1148"/>
  </r>
  <r>
    <x v="1291"/>
    <x v="271"/>
    <x v="10"/>
    <x v="9"/>
    <x v="1"/>
    <x v="1"/>
    <n v="1"/>
    <n v="6718"/>
    <x v="2"/>
    <n v="4478"/>
    <x v="0"/>
    <x v="2"/>
    <x v="2"/>
    <x v="3"/>
    <x v="4"/>
    <x v="0"/>
    <x v="807"/>
    <x v="1149"/>
  </r>
  <r>
    <x v="1292"/>
    <x v="357"/>
    <x v="5"/>
    <x v="5"/>
    <x v="1"/>
    <x v="1"/>
    <n v="1"/>
    <n v="4591"/>
    <x v="2"/>
    <n v="3060"/>
    <x v="0"/>
    <x v="0"/>
    <x v="2"/>
    <x v="11"/>
    <x v="2"/>
    <x v="1"/>
    <x v="808"/>
    <x v="1150"/>
  </r>
  <r>
    <x v="1293"/>
    <x v="309"/>
    <x v="10"/>
    <x v="9"/>
    <x v="0"/>
    <x v="0"/>
    <n v="1"/>
    <n v="5304"/>
    <x v="0"/>
    <n v="1768"/>
    <x v="0"/>
    <x v="2"/>
    <x v="4"/>
    <x v="11"/>
    <x v="1"/>
    <x v="1"/>
    <x v="809"/>
    <x v="1151"/>
  </r>
  <r>
    <x v="1294"/>
    <x v="65"/>
    <x v="9"/>
    <x v="8"/>
    <x v="1"/>
    <x v="1"/>
    <n v="1"/>
    <n v="12778"/>
    <x v="2"/>
    <n v="8518"/>
    <x v="0"/>
    <x v="1"/>
    <x v="4"/>
    <x v="10"/>
    <x v="7"/>
    <x v="1"/>
    <x v="810"/>
    <x v="1152"/>
  </r>
  <r>
    <x v="1295"/>
    <x v="70"/>
    <x v="9"/>
    <x v="8"/>
    <x v="1"/>
    <x v="1"/>
    <n v="1"/>
    <n v="14482"/>
    <x v="2"/>
    <n v="9654"/>
    <x v="0"/>
    <x v="0"/>
    <x v="4"/>
    <x v="6"/>
    <x v="5"/>
    <x v="0"/>
    <x v="707"/>
    <x v="1153"/>
  </r>
  <r>
    <x v="1296"/>
    <x v="322"/>
    <x v="9"/>
    <x v="8"/>
    <x v="1"/>
    <x v="1"/>
    <n v="1"/>
    <n v="9444"/>
    <x v="1"/>
    <n v="9444"/>
    <x v="1"/>
    <x v="0"/>
    <x v="4"/>
    <x v="6"/>
    <x v="2"/>
    <x v="1"/>
    <x v="1"/>
    <x v="1154"/>
  </r>
  <r>
    <x v="1297"/>
    <x v="130"/>
    <x v="13"/>
    <x v="9"/>
    <x v="1"/>
    <x v="1"/>
    <n v="1"/>
    <n v="4141"/>
    <x v="2"/>
    <n v="2760"/>
    <x v="0"/>
    <x v="0"/>
    <x v="5"/>
    <x v="10"/>
    <x v="8"/>
    <x v="0"/>
    <x v="811"/>
    <x v="1155"/>
  </r>
  <r>
    <x v="1298"/>
    <x v="86"/>
    <x v="5"/>
    <x v="5"/>
    <x v="0"/>
    <x v="0"/>
    <n v="1"/>
    <n v="5819"/>
    <x v="2"/>
    <n v="3878"/>
    <x v="0"/>
    <x v="2"/>
    <x v="0"/>
    <x v="6"/>
    <x v="1"/>
    <x v="0"/>
    <x v="687"/>
    <x v="1156"/>
  </r>
  <r>
    <x v="1299"/>
    <x v="76"/>
    <x v="13"/>
    <x v="9"/>
    <x v="0"/>
    <x v="0"/>
    <n v="1"/>
    <n v="3270"/>
    <x v="0"/>
    <n v="1090"/>
    <x v="0"/>
    <x v="2"/>
    <x v="4"/>
    <x v="4"/>
    <x v="7"/>
    <x v="0"/>
    <x v="812"/>
    <x v="1157"/>
  </r>
  <r>
    <x v="1300"/>
    <x v="327"/>
    <x v="1"/>
    <x v="1"/>
    <x v="1"/>
    <x v="1"/>
    <n v="1"/>
    <n v="6648"/>
    <x v="2"/>
    <n v="4432"/>
    <x v="0"/>
    <x v="0"/>
    <x v="5"/>
    <x v="7"/>
    <x v="1"/>
    <x v="1"/>
    <x v="70"/>
    <x v="110"/>
  </r>
  <r>
    <x v="1301"/>
    <x v="107"/>
    <x v="12"/>
    <x v="11"/>
    <x v="0"/>
    <x v="0"/>
    <n v="1"/>
    <n v="5486"/>
    <x v="0"/>
    <n v="1828"/>
    <x v="0"/>
    <x v="0"/>
    <x v="5"/>
    <x v="1"/>
    <x v="2"/>
    <x v="0"/>
    <x v="813"/>
    <x v="1158"/>
  </r>
  <r>
    <x v="1302"/>
    <x v="201"/>
    <x v="1"/>
    <x v="1"/>
    <x v="1"/>
    <x v="1"/>
    <n v="1"/>
    <n v="5044"/>
    <x v="2"/>
    <n v="3362"/>
    <x v="0"/>
    <x v="1"/>
    <x v="5"/>
    <x v="2"/>
    <x v="1"/>
    <x v="0"/>
    <x v="814"/>
    <x v="1159"/>
  </r>
  <r>
    <x v="1303"/>
    <x v="92"/>
    <x v="4"/>
    <x v="4"/>
    <x v="1"/>
    <x v="1"/>
    <n v="1"/>
    <n v="6532"/>
    <x v="0"/>
    <n v="2177"/>
    <x v="0"/>
    <x v="1"/>
    <x v="1"/>
    <x v="14"/>
    <x v="7"/>
    <x v="1"/>
    <x v="815"/>
    <x v="1160"/>
  </r>
  <r>
    <x v="1304"/>
    <x v="316"/>
    <x v="9"/>
    <x v="8"/>
    <x v="1"/>
    <x v="1"/>
    <n v="1"/>
    <n v="12168"/>
    <x v="0"/>
    <n v="4056"/>
    <x v="0"/>
    <x v="2"/>
    <x v="2"/>
    <x v="7"/>
    <x v="2"/>
    <x v="0"/>
    <x v="816"/>
    <x v="860"/>
  </r>
  <r>
    <x v="1305"/>
    <x v="341"/>
    <x v="11"/>
    <x v="10"/>
    <x v="1"/>
    <x v="1"/>
    <n v="1"/>
    <n v="4469"/>
    <x v="1"/>
    <n v="4467"/>
    <x v="0"/>
    <x v="2"/>
    <x v="1"/>
    <x v="13"/>
    <x v="0"/>
    <x v="1"/>
    <x v="4"/>
    <x v="1161"/>
  </r>
  <r>
    <x v="1306"/>
    <x v="213"/>
    <x v="13"/>
    <x v="9"/>
    <x v="1"/>
    <x v="1"/>
    <n v="1"/>
    <n v="4854"/>
    <x v="2"/>
    <n v="3236"/>
    <x v="0"/>
    <x v="2"/>
    <x v="2"/>
    <x v="13"/>
    <x v="8"/>
    <x v="0"/>
    <x v="817"/>
    <x v="1162"/>
  </r>
  <r>
    <x v="1307"/>
    <x v="120"/>
    <x v="4"/>
    <x v="4"/>
    <x v="1"/>
    <x v="1"/>
    <n v="1"/>
    <n v="6538"/>
    <x v="1"/>
    <n v="6537"/>
    <x v="0"/>
    <x v="0"/>
    <x v="0"/>
    <x v="12"/>
    <x v="7"/>
    <x v="1"/>
    <x v="2"/>
    <x v="1163"/>
  </r>
  <r>
    <x v="1308"/>
    <x v="234"/>
    <x v="3"/>
    <x v="3"/>
    <x v="0"/>
    <x v="0"/>
    <n v="1"/>
    <n v="6557"/>
    <x v="0"/>
    <n v="2185"/>
    <x v="0"/>
    <x v="1"/>
    <x v="4"/>
    <x v="1"/>
    <x v="7"/>
    <x v="0"/>
    <x v="818"/>
    <x v="1164"/>
  </r>
  <r>
    <x v="1309"/>
    <x v="358"/>
    <x v="5"/>
    <x v="5"/>
    <x v="0"/>
    <x v="0"/>
    <n v="1"/>
    <n v="5790"/>
    <x v="1"/>
    <n v="5790"/>
    <x v="1"/>
    <x v="0"/>
    <x v="2"/>
    <x v="2"/>
    <x v="3"/>
    <x v="0"/>
    <x v="1"/>
    <x v="413"/>
  </r>
  <r>
    <x v="1310"/>
    <x v="5"/>
    <x v="1"/>
    <x v="1"/>
    <x v="1"/>
    <x v="1"/>
    <n v="1"/>
    <n v="4893"/>
    <x v="0"/>
    <n v="1631"/>
    <x v="0"/>
    <x v="1"/>
    <x v="1"/>
    <x v="5"/>
    <x v="1"/>
    <x v="0"/>
    <x v="819"/>
    <x v="628"/>
  </r>
  <r>
    <x v="1311"/>
    <x v="162"/>
    <x v="6"/>
    <x v="6"/>
    <x v="1"/>
    <x v="1"/>
    <n v="1"/>
    <n v="8019"/>
    <x v="1"/>
    <n v="8019"/>
    <x v="1"/>
    <x v="0"/>
    <x v="2"/>
    <x v="6"/>
    <x v="6"/>
    <x v="0"/>
    <x v="1"/>
    <x v="1165"/>
  </r>
  <r>
    <x v="1312"/>
    <x v="209"/>
    <x v="8"/>
    <x v="7"/>
    <x v="1"/>
    <x v="1"/>
    <n v="1"/>
    <n v="7165"/>
    <x v="1"/>
    <n v="7164"/>
    <x v="0"/>
    <x v="2"/>
    <x v="0"/>
    <x v="13"/>
    <x v="6"/>
    <x v="1"/>
    <x v="2"/>
    <x v="124"/>
  </r>
  <r>
    <x v="1313"/>
    <x v="97"/>
    <x v="10"/>
    <x v="9"/>
    <x v="0"/>
    <x v="0"/>
    <n v="1"/>
    <n v="7819"/>
    <x v="1"/>
    <n v="7818"/>
    <x v="0"/>
    <x v="0"/>
    <x v="5"/>
    <x v="10"/>
    <x v="3"/>
    <x v="1"/>
    <x v="2"/>
    <x v="1166"/>
  </r>
  <r>
    <x v="1314"/>
    <x v="200"/>
    <x v="6"/>
    <x v="6"/>
    <x v="0"/>
    <x v="0"/>
    <n v="1"/>
    <n v="8361"/>
    <x v="1"/>
    <n v="8361"/>
    <x v="1"/>
    <x v="1"/>
    <x v="2"/>
    <x v="3"/>
    <x v="0"/>
    <x v="1"/>
    <x v="1"/>
    <x v="1167"/>
  </r>
  <r>
    <x v="1315"/>
    <x v="179"/>
    <x v="11"/>
    <x v="10"/>
    <x v="0"/>
    <x v="0"/>
    <n v="1"/>
    <n v="5559"/>
    <x v="1"/>
    <n v="5559"/>
    <x v="1"/>
    <x v="0"/>
    <x v="4"/>
    <x v="14"/>
    <x v="2"/>
    <x v="1"/>
    <x v="1"/>
    <x v="1168"/>
  </r>
  <r>
    <x v="1316"/>
    <x v="265"/>
    <x v="3"/>
    <x v="3"/>
    <x v="0"/>
    <x v="0"/>
    <n v="1"/>
    <n v="5811"/>
    <x v="2"/>
    <n v="3874"/>
    <x v="0"/>
    <x v="0"/>
    <x v="3"/>
    <x v="11"/>
    <x v="5"/>
    <x v="0"/>
    <x v="820"/>
    <x v="107"/>
  </r>
  <r>
    <x v="1317"/>
    <x v="191"/>
    <x v="3"/>
    <x v="3"/>
    <x v="0"/>
    <x v="0"/>
    <n v="1"/>
    <n v="7216"/>
    <x v="0"/>
    <n v="2405"/>
    <x v="0"/>
    <x v="1"/>
    <x v="2"/>
    <x v="5"/>
    <x v="5"/>
    <x v="0"/>
    <x v="821"/>
    <x v="1169"/>
  </r>
  <r>
    <x v="1318"/>
    <x v="85"/>
    <x v="3"/>
    <x v="3"/>
    <x v="0"/>
    <x v="0"/>
    <n v="1"/>
    <n v="5314"/>
    <x v="0"/>
    <n v="1771"/>
    <x v="0"/>
    <x v="1"/>
    <x v="3"/>
    <x v="14"/>
    <x v="5"/>
    <x v="0"/>
    <x v="822"/>
    <x v="1170"/>
  </r>
  <r>
    <x v="1319"/>
    <x v="112"/>
    <x v="8"/>
    <x v="7"/>
    <x v="1"/>
    <x v="1"/>
    <n v="1"/>
    <n v="13217"/>
    <x v="0"/>
    <n v="4405"/>
    <x v="0"/>
    <x v="1"/>
    <x v="3"/>
    <x v="1"/>
    <x v="5"/>
    <x v="1"/>
    <x v="823"/>
    <x v="1171"/>
  </r>
  <r>
    <x v="1320"/>
    <x v="131"/>
    <x v="8"/>
    <x v="7"/>
    <x v="0"/>
    <x v="0"/>
    <n v="1"/>
    <n v="12623"/>
    <x v="1"/>
    <n v="12621"/>
    <x v="0"/>
    <x v="0"/>
    <x v="0"/>
    <x v="9"/>
    <x v="3"/>
    <x v="0"/>
    <x v="4"/>
    <x v="1172"/>
  </r>
  <r>
    <x v="1321"/>
    <x v="101"/>
    <x v="9"/>
    <x v="8"/>
    <x v="1"/>
    <x v="1"/>
    <n v="1"/>
    <n v="9099"/>
    <x v="0"/>
    <n v="3033"/>
    <x v="0"/>
    <x v="0"/>
    <x v="5"/>
    <x v="3"/>
    <x v="7"/>
    <x v="0"/>
    <x v="824"/>
    <x v="1173"/>
  </r>
  <r>
    <x v="1322"/>
    <x v="308"/>
    <x v="9"/>
    <x v="8"/>
    <x v="0"/>
    <x v="0"/>
    <n v="1"/>
    <n v="13257"/>
    <x v="1"/>
    <n v="13257"/>
    <x v="1"/>
    <x v="1"/>
    <x v="2"/>
    <x v="14"/>
    <x v="7"/>
    <x v="1"/>
    <x v="1"/>
    <x v="1174"/>
  </r>
  <r>
    <x v="1323"/>
    <x v="289"/>
    <x v="2"/>
    <x v="2"/>
    <x v="1"/>
    <x v="1"/>
    <n v="1"/>
    <n v="4835"/>
    <x v="2"/>
    <n v="3222"/>
    <x v="0"/>
    <x v="0"/>
    <x v="1"/>
    <x v="0"/>
    <x v="9"/>
    <x v="1"/>
    <x v="178"/>
    <x v="1175"/>
  </r>
  <r>
    <x v="1324"/>
    <x v="337"/>
    <x v="10"/>
    <x v="9"/>
    <x v="0"/>
    <x v="0"/>
    <n v="1"/>
    <n v="5904"/>
    <x v="2"/>
    <n v="3936"/>
    <x v="0"/>
    <x v="0"/>
    <x v="5"/>
    <x v="13"/>
    <x v="0"/>
    <x v="1"/>
    <x v="825"/>
    <x v="1122"/>
  </r>
  <r>
    <x v="1325"/>
    <x v="197"/>
    <x v="5"/>
    <x v="5"/>
    <x v="1"/>
    <x v="1"/>
    <n v="1"/>
    <n v="4433"/>
    <x v="1"/>
    <n v="4431"/>
    <x v="0"/>
    <x v="0"/>
    <x v="0"/>
    <x v="8"/>
    <x v="0"/>
    <x v="0"/>
    <x v="4"/>
    <x v="1176"/>
  </r>
  <r>
    <x v="1326"/>
    <x v="146"/>
    <x v="7"/>
    <x v="6"/>
    <x v="1"/>
    <x v="1"/>
    <n v="1"/>
    <n v="9967"/>
    <x v="0"/>
    <n v="3322"/>
    <x v="0"/>
    <x v="0"/>
    <x v="1"/>
    <x v="1"/>
    <x v="8"/>
    <x v="0"/>
    <x v="826"/>
    <x v="652"/>
  </r>
  <r>
    <x v="1327"/>
    <x v="117"/>
    <x v="10"/>
    <x v="9"/>
    <x v="1"/>
    <x v="1"/>
    <n v="1"/>
    <n v="5155"/>
    <x v="1"/>
    <n v="5154"/>
    <x v="0"/>
    <x v="0"/>
    <x v="4"/>
    <x v="13"/>
    <x v="0"/>
    <x v="1"/>
    <x v="2"/>
    <x v="1177"/>
  </r>
  <r>
    <x v="1328"/>
    <x v="217"/>
    <x v="2"/>
    <x v="2"/>
    <x v="0"/>
    <x v="0"/>
    <n v="1"/>
    <n v="7712"/>
    <x v="2"/>
    <n v="5140"/>
    <x v="0"/>
    <x v="2"/>
    <x v="5"/>
    <x v="10"/>
    <x v="0"/>
    <x v="0"/>
    <x v="169"/>
    <x v="1178"/>
  </r>
  <r>
    <x v="1329"/>
    <x v="359"/>
    <x v="13"/>
    <x v="9"/>
    <x v="1"/>
    <x v="1"/>
    <n v="1"/>
    <n v="4248"/>
    <x v="1"/>
    <n v="4248"/>
    <x v="1"/>
    <x v="0"/>
    <x v="5"/>
    <x v="11"/>
    <x v="2"/>
    <x v="0"/>
    <x v="1"/>
    <x v="1179"/>
  </r>
  <r>
    <x v="1330"/>
    <x v="191"/>
    <x v="9"/>
    <x v="8"/>
    <x v="1"/>
    <x v="1"/>
    <n v="1"/>
    <n v="13071"/>
    <x v="2"/>
    <n v="8714"/>
    <x v="0"/>
    <x v="0"/>
    <x v="5"/>
    <x v="12"/>
    <x v="3"/>
    <x v="1"/>
    <x v="827"/>
    <x v="1180"/>
  </r>
  <r>
    <x v="1331"/>
    <x v="335"/>
    <x v="12"/>
    <x v="11"/>
    <x v="1"/>
    <x v="1"/>
    <n v="1"/>
    <n v="8665"/>
    <x v="2"/>
    <n v="5776"/>
    <x v="0"/>
    <x v="2"/>
    <x v="5"/>
    <x v="11"/>
    <x v="4"/>
    <x v="1"/>
    <x v="828"/>
    <x v="1181"/>
  </r>
  <r>
    <x v="1332"/>
    <x v="293"/>
    <x v="8"/>
    <x v="7"/>
    <x v="0"/>
    <x v="0"/>
    <n v="1"/>
    <n v="12196"/>
    <x v="0"/>
    <n v="4065"/>
    <x v="0"/>
    <x v="2"/>
    <x v="4"/>
    <x v="0"/>
    <x v="4"/>
    <x v="0"/>
    <x v="829"/>
    <x v="1182"/>
  </r>
  <r>
    <x v="1333"/>
    <x v="110"/>
    <x v="7"/>
    <x v="6"/>
    <x v="0"/>
    <x v="0"/>
    <n v="1"/>
    <n v="8591"/>
    <x v="2"/>
    <n v="5726"/>
    <x v="0"/>
    <x v="2"/>
    <x v="2"/>
    <x v="7"/>
    <x v="1"/>
    <x v="1"/>
    <x v="830"/>
    <x v="1183"/>
  </r>
  <r>
    <x v="1334"/>
    <x v="80"/>
    <x v="4"/>
    <x v="4"/>
    <x v="0"/>
    <x v="0"/>
    <n v="1"/>
    <n v="6133"/>
    <x v="0"/>
    <n v="2044"/>
    <x v="0"/>
    <x v="1"/>
    <x v="5"/>
    <x v="8"/>
    <x v="0"/>
    <x v="1"/>
    <x v="831"/>
    <x v="405"/>
  </r>
  <r>
    <x v="1335"/>
    <x v="148"/>
    <x v="0"/>
    <x v="0"/>
    <x v="1"/>
    <x v="1"/>
    <n v="1"/>
    <n v="6902"/>
    <x v="1"/>
    <n v="6900"/>
    <x v="0"/>
    <x v="0"/>
    <x v="1"/>
    <x v="7"/>
    <x v="2"/>
    <x v="0"/>
    <x v="4"/>
    <x v="1184"/>
  </r>
  <r>
    <x v="1336"/>
    <x v="148"/>
    <x v="6"/>
    <x v="6"/>
    <x v="1"/>
    <x v="1"/>
    <n v="1"/>
    <n v="8966"/>
    <x v="2"/>
    <n v="5976"/>
    <x v="0"/>
    <x v="2"/>
    <x v="4"/>
    <x v="6"/>
    <x v="4"/>
    <x v="0"/>
    <x v="58"/>
    <x v="1185"/>
  </r>
  <r>
    <x v="1337"/>
    <x v="158"/>
    <x v="13"/>
    <x v="9"/>
    <x v="0"/>
    <x v="0"/>
    <n v="1"/>
    <n v="3785"/>
    <x v="1"/>
    <n v="3783"/>
    <x v="0"/>
    <x v="2"/>
    <x v="5"/>
    <x v="10"/>
    <x v="4"/>
    <x v="0"/>
    <x v="4"/>
    <x v="1186"/>
  </r>
  <r>
    <x v="1338"/>
    <x v="356"/>
    <x v="6"/>
    <x v="6"/>
    <x v="0"/>
    <x v="0"/>
    <n v="1"/>
    <n v="10824"/>
    <x v="2"/>
    <n v="7216"/>
    <x v="0"/>
    <x v="0"/>
    <x v="3"/>
    <x v="8"/>
    <x v="2"/>
    <x v="1"/>
    <x v="832"/>
    <x v="1187"/>
  </r>
  <r>
    <x v="1339"/>
    <x v="291"/>
    <x v="5"/>
    <x v="5"/>
    <x v="1"/>
    <x v="1"/>
    <n v="1"/>
    <n v="3757"/>
    <x v="2"/>
    <n v="2504"/>
    <x v="0"/>
    <x v="1"/>
    <x v="5"/>
    <x v="0"/>
    <x v="4"/>
    <x v="0"/>
    <x v="833"/>
    <x v="1188"/>
  </r>
  <r>
    <x v="1340"/>
    <x v="150"/>
    <x v="9"/>
    <x v="8"/>
    <x v="0"/>
    <x v="0"/>
    <n v="1"/>
    <n v="14063"/>
    <x v="0"/>
    <n v="4687"/>
    <x v="0"/>
    <x v="2"/>
    <x v="5"/>
    <x v="5"/>
    <x v="6"/>
    <x v="0"/>
    <x v="834"/>
    <x v="1189"/>
  </r>
  <r>
    <x v="1341"/>
    <x v="236"/>
    <x v="13"/>
    <x v="9"/>
    <x v="1"/>
    <x v="1"/>
    <n v="1"/>
    <n v="3656"/>
    <x v="1"/>
    <n v="3654"/>
    <x v="0"/>
    <x v="1"/>
    <x v="4"/>
    <x v="4"/>
    <x v="8"/>
    <x v="1"/>
    <x v="4"/>
    <x v="1190"/>
  </r>
  <r>
    <x v="1342"/>
    <x v="147"/>
    <x v="1"/>
    <x v="1"/>
    <x v="0"/>
    <x v="0"/>
    <n v="1"/>
    <n v="5364"/>
    <x v="1"/>
    <n v="5364"/>
    <x v="1"/>
    <x v="0"/>
    <x v="0"/>
    <x v="3"/>
    <x v="3"/>
    <x v="0"/>
    <x v="1"/>
    <x v="918"/>
  </r>
  <r>
    <x v="1343"/>
    <x v="331"/>
    <x v="6"/>
    <x v="6"/>
    <x v="1"/>
    <x v="1"/>
    <n v="1"/>
    <n v="8456"/>
    <x v="0"/>
    <n v="2818"/>
    <x v="0"/>
    <x v="0"/>
    <x v="3"/>
    <x v="10"/>
    <x v="1"/>
    <x v="0"/>
    <x v="835"/>
    <x v="1191"/>
  </r>
  <r>
    <x v="1344"/>
    <x v="17"/>
    <x v="3"/>
    <x v="3"/>
    <x v="0"/>
    <x v="0"/>
    <n v="1"/>
    <n v="7034"/>
    <x v="2"/>
    <n v="4688"/>
    <x v="0"/>
    <x v="2"/>
    <x v="2"/>
    <x v="6"/>
    <x v="0"/>
    <x v="1"/>
    <x v="273"/>
    <x v="1192"/>
  </r>
  <r>
    <x v="1345"/>
    <x v="164"/>
    <x v="9"/>
    <x v="8"/>
    <x v="0"/>
    <x v="0"/>
    <n v="1"/>
    <n v="9782"/>
    <x v="2"/>
    <n v="6520"/>
    <x v="0"/>
    <x v="2"/>
    <x v="5"/>
    <x v="0"/>
    <x v="7"/>
    <x v="1"/>
    <x v="819"/>
    <x v="1193"/>
  </r>
  <r>
    <x v="1346"/>
    <x v="41"/>
    <x v="5"/>
    <x v="5"/>
    <x v="1"/>
    <x v="1"/>
    <n v="1"/>
    <n v="3559"/>
    <x v="0"/>
    <n v="1186"/>
    <x v="0"/>
    <x v="2"/>
    <x v="2"/>
    <x v="7"/>
    <x v="6"/>
    <x v="1"/>
    <x v="836"/>
    <x v="1194"/>
  </r>
  <r>
    <x v="1347"/>
    <x v="123"/>
    <x v="12"/>
    <x v="11"/>
    <x v="1"/>
    <x v="1"/>
    <n v="1"/>
    <n v="5148"/>
    <x v="0"/>
    <n v="1716"/>
    <x v="0"/>
    <x v="0"/>
    <x v="5"/>
    <x v="5"/>
    <x v="2"/>
    <x v="0"/>
    <x v="771"/>
    <x v="1195"/>
  </r>
  <r>
    <x v="1348"/>
    <x v="253"/>
    <x v="8"/>
    <x v="7"/>
    <x v="0"/>
    <x v="0"/>
    <n v="1"/>
    <n v="11812"/>
    <x v="0"/>
    <n v="3937"/>
    <x v="0"/>
    <x v="1"/>
    <x v="3"/>
    <x v="13"/>
    <x v="0"/>
    <x v="0"/>
    <x v="837"/>
    <x v="1196"/>
  </r>
  <r>
    <x v="1349"/>
    <x v="190"/>
    <x v="6"/>
    <x v="6"/>
    <x v="1"/>
    <x v="1"/>
    <n v="1"/>
    <n v="9544"/>
    <x v="2"/>
    <n v="6362"/>
    <x v="0"/>
    <x v="1"/>
    <x v="1"/>
    <x v="9"/>
    <x v="7"/>
    <x v="0"/>
    <x v="838"/>
    <x v="1197"/>
  </r>
  <r>
    <x v="1350"/>
    <x v="255"/>
    <x v="4"/>
    <x v="4"/>
    <x v="0"/>
    <x v="0"/>
    <n v="1"/>
    <n v="5397"/>
    <x v="2"/>
    <n v="3598"/>
    <x v="0"/>
    <x v="0"/>
    <x v="5"/>
    <x v="5"/>
    <x v="1"/>
    <x v="0"/>
    <x v="839"/>
    <x v="1198"/>
  </r>
  <r>
    <x v="1351"/>
    <x v="30"/>
    <x v="3"/>
    <x v="3"/>
    <x v="1"/>
    <x v="1"/>
    <n v="1"/>
    <n v="6075"/>
    <x v="0"/>
    <n v="2025"/>
    <x v="0"/>
    <x v="1"/>
    <x v="5"/>
    <x v="10"/>
    <x v="5"/>
    <x v="0"/>
    <x v="840"/>
    <x v="1199"/>
  </r>
  <r>
    <x v="1352"/>
    <x v="46"/>
    <x v="6"/>
    <x v="6"/>
    <x v="1"/>
    <x v="1"/>
    <n v="1"/>
    <n v="8867"/>
    <x v="0"/>
    <n v="2955"/>
    <x v="0"/>
    <x v="1"/>
    <x v="2"/>
    <x v="5"/>
    <x v="7"/>
    <x v="0"/>
    <x v="841"/>
    <x v="1200"/>
  </r>
  <r>
    <x v="1353"/>
    <x v="2"/>
    <x v="6"/>
    <x v="6"/>
    <x v="1"/>
    <x v="1"/>
    <n v="1"/>
    <n v="7198"/>
    <x v="1"/>
    <n v="7197"/>
    <x v="0"/>
    <x v="1"/>
    <x v="4"/>
    <x v="11"/>
    <x v="8"/>
    <x v="1"/>
    <x v="2"/>
    <x v="1201"/>
  </r>
  <r>
    <x v="1354"/>
    <x v="168"/>
    <x v="5"/>
    <x v="5"/>
    <x v="0"/>
    <x v="0"/>
    <n v="1"/>
    <n v="4117"/>
    <x v="1"/>
    <n v="4116"/>
    <x v="0"/>
    <x v="2"/>
    <x v="5"/>
    <x v="4"/>
    <x v="2"/>
    <x v="1"/>
    <x v="2"/>
    <x v="1135"/>
  </r>
  <r>
    <x v="1355"/>
    <x v="62"/>
    <x v="2"/>
    <x v="2"/>
    <x v="1"/>
    <x v="1"/>
    <n v="1"/>
    <n v="7936"/>
    <x v="2"/>
    <n v="5290"/>
    <x v="0"/>
    <x v="2"/>
    <x v="1"/>
    <x v="14"/>
    <x v="7"/>
    <x v="1"/>
    <x v="842"/>
    <x v="1202"/>
  </r>
  <r>
    <x v="1356"/>
    <x v="175"/>
    <x v="10"/>
    <x v="9"/>
    <x v="1"/>
    <x v="1"/>
    <n v="1"/>
    <n v="6783"/>
    <x v="2"/>
    <n v="4522"/>
    <x v="0"/>
    <x v="2"/>
    <x v="1"/>
    <x v="5"/>
    <x v="7"/>
    <x v="0"/>
    <x v="843"/>
    <x v="1203"/>
  </r>
  <r>
    <x v="1357"/>
    <x v="273"/>
    <x v="1"/>
    <x v="1"/>
    <x v="0"/>
    <x v="0"/>
    <n v="1"/>
    <n v="5610"/>
    <x v="2"/>
    <n v="3740"/>
    <x v="0"/>
    <x v="0"/>
    <x v="4"/>
    <x v="5"/>
    <x v="4"/>
    <x v="0"/>
    <x v="844"/>
    <x v="1204"/>
  </r>
  <r>
    <x v="1358"/>
    <x v="302"/>
    <x v="7"/>
    <x v="6"/>
    <x v="0"/>
    <x v="0"/>
    <n v="1"/>
    <n v="8558"/>
    <x v="0"/>
    <n v="2852"/>
    <x v="0"/>
    <x v="1"/>
    <x v="0"/>
    <x v="9"/>
    <x v="1"/>
    <x v="0"/>
    <x v="845"/>
    <x v="1205"/>
  </r>
  <r>
    <x v="1359"/>
    <x v="15"/>
    <x v="10"/>
    <x v="9"/>
    <x v="1"/>
    <x v="1"/>
    <n v="1"/>
    <n v="7155"/>
    <x v="2"/>
    <n v="4770"/>
    <x v="0"/>
    <x v="0"/>
    <x v="1"/>
    <x v="3"/>
    <x v="7"/>
    <x v="0"/>
    <x v="846"/>
    <x v="1206"/>
  </r>
  <r>
    <x v="1360"/>
    <x v="178"/>
    <x v="1"/>
    <x v="1"/>
    <x v="0"/>
    <x v="0"/>
    <n v="1"/>
    <n v="4670"/>
    <x v="2"/>
    <n v="3112"/>
    <x v="0"/>
    <x v="0"/>
    <x v="5"/>
    <x v="14"/>
    <x v="5"/>
    <x v="1"/>
    <x v="847"/>
    <x v="1207"/>
  </r>
  <r>
    <x v="1361"/>
    <x v="42"/>
    <x v="7"/>
    <x v="6"/>
    <x v="0"/>
    <x v="0"/>
    <n v="1"/>
    <n v="11501"/>
    <x v="1"/>
    <n v="11499"/>
    <x v="0"/>
    <x v="0"/>
    <x v="2"/>
    <x v="5"/>
    <x v="4"/>
    <x v="0"/>
    <x v="4"/>
    <x v="1208"/>
  </r>
  <r>
    <x v="1362"/>
    <x v="290"/>
    <x v="1"/>
    <x v="1"/>
    <x v="0"/>
    <x v="0"/>
    <n v="1"/>
    <n v="6075"/>
    <x v="2"/>
    <n v="4050"/>
    <x v="0"/>
    <x v="2"/>
    <x v="2"/>
    <x v="6"/>
    <x v="5"/>
    <x v="0"/>
    <x v="848"/>
    <x v="1209"/>
  </r>
  <r>
    <x v="1363"/>
    <x v="72"/>
    <x v="8"/>
    <x v="7"/>
    <x v="0"/>
    <x v="0"/>
    <n v="1"/>
    <n v="11354"/>
    <x v="0"/>
    <n v="3784"/>
    <x v="0"/>
    <x v="1"/>
    <x v="3"/>
    <x v="11"/>
    <x v="2"/>
    <x v="0"/>
    <x v="849"/>
    <x v="1210"/>
  </r>
  <r>
    <x v="1364"/>
    <x v="278"/>
    <x v="9"/>
    <x v="8"/>
    <x v="0"/>
    <x v="0"/>
    <n v="1"/>
    <n v="8248"/>
    <x v="2"/>
    <n v="5498"/>
    <x v="0"/>
    <x v="2"/>
    <x v="0"/>
    <x v="11"/>
    <x v="5"/>
    <x v="1"/>
    <x v="850"/>
    <x v="1211"/>
  </r>
  <r>
    <x v="1365"/>
    <x v="11"/>
    <x v="11"/>
    <x v="10"/>
    <x v="1"/>
    <x v="1"/>
    <n v="1"/>
    <n v="4570"/>
    <x v="1"/>
    <n v="4569"/>
    <x v="0"/>
    <x v="1"/>
    <x v="5"/>
    <x v="11"/>
    <x v="5"/>
    <x v="1"/>
    <x v="2"/>
    <x v="1212"/>
  </r>
  <r>
    <x v="1366"/>
    <x v="250"/>
    <x v="3"/>
    <x v="3"/>
    <x v="1"/>
    <x v="1"/>
    <n v="1"/>
    <n v="4514"/>
    <x v="0"/>
    <n v="1504"/>
    <x v="0"/>
    <x v="0"/>
    <x v="2"/>
    <x v="13"/>
    <x v="0"/>
    <x v="1"/>
    <x v="851"/>
    <x v="1213"/>
  </r>
  <r>
    <x v="1367"/>
    <x v="330"/>
    <x v="7"/>
    <x v="6"/>
    <x v="0"/>
    <x v="0"/>
    <n v="1"/>
    <n v="8717"/>
    <x v="2"/>
    <n v="5810"/>
    <x v="0"/>
    <x v="0"/>
    <x v="2"/>
    <x v="4"/>
    <x v="4"/>
    <x v="0"/>
    <x v="852"/>
    <x v="1214"/>
  </r>
  <r>
    <x v="1368"/>
    <x v="293"/>
    <x v="9"/>
    <x v="8"/>
    <x v="1"/>
    <x v="1"/>
    <n v="1"/>
    <n v="10056"/>
    <x v="0"/>
    <n v="3352"/>
    <x v="0"/>
    <x v="0"/>
    <x v="0"/>
    <x v="0"/>
    <x v="5"/>
    <x v="1"/>
    <x v="853"/>
    <x v="1215"/>
  </r>
  <r>
    <x v="1369"/>
    <x v="209"/>
    <x v="4"/>
    <x v="4"/>
    <x v="1"/>
    <x v="1"/>
    <n v="1"/>
    <n v="5640"/>
    <x v="1"/>
    <n v="5640"/>
    <x v="1"/>
    <x v="1"/>
    <x v="3"/>
    <x v="9"/>
    <x v="5"/>
    <x v="1"/>
    <x v="1"/>
    <x v="1216"/>
  </r>
  <r>
    <x v="1370"/>
    <x v="331"/>
    <x v="0"/>
    <x v="0"/>
    <x v="1"/>
    <x v="1"/>
    <n v="1"/>
    <n v="7760"/>
    <x v="1"/>
    <n v="7758"/>
    <x v="0"/>
    <x v="1"/>
    <x v="2"/>
    <x v="9"/>
    <x v="2"/>
    <x v="1"/>
    <x v="4"/>
    <x v="1217"/>
  </r>
  <r>
    <x v="1371"/>
    <x v="215"/>
    <x v="11"/>
    <x v="10"/>
    <x v="1"/>
    <x v="1"/>
    <n v="1"/>
    <n v="5962"/>
    <x v="1"/>
    <n v="5961"/>
    <x v="0"/>
    <x v="0"/>
    <x v="1"/>
    <x v="8"/>
    <x v="5"/>
    <x v="1"/>
    <x v="2"/>
    <x v="1218"/>
  </r>
  <r>
    <x v="1372"/>
    <x v="337"/>
    <x v="1"/>
    <x v="1"/>
    <x v="0"/>
    <x v="0"/>
    <n v="1"/>
    <n v="4513"/>
    <x v="1"/>
    <n v="4512"/>
    <x v="0"/>
    <x v="0"/>
    <x v="5"/>
    <x v="9"/>
    <x v="8"/>
    <x v="0"/>
    <x v="2"/>
    <x v="67"/>
  </r>
  <r>
    <x v="1373"/>
    <x v="210"/>
    <x v="8"/>
    <x v="7"/>
    <x v="1"/>
    <x v="1"/>
    <n v="1"/>
    <n v="14799"/>
    <x v="1"/>
    <n v="14799"/>
    <x v="1"/>
    <x v="1"/>
    <x v="2"/>
    <x v="13"/>
    <x v="4"/>
    <x v="1"/>
    <x v="1"/>
    <x v="1219"/>
  </r>
  <r>
    <x v="1374"/>
    <x v="132"/>
    <x v="7"/>
    <x v="6"/>
    <x v="0"/>
    <x v="0"/>
    <n v="1"/>
    <n v="8317"/>
    <x v="2"/>
    <n v="5544"/>
    <x v="0"/>
    <x v="0"/>
    <x v="1"/>
    <x v="8"/>
    <x v="7"/>
    <x v="1"/>
    <x v="854"/>
    <x v="1220"/>
  </r>
  <r>
    <x v="1375"/>
    <x v="138"/>
    <x v="10"/>
    <x v="9"/>
    <x v="0"/>
    <x v="0"/>
    <n v="1"/>
    <n v="7965"/>
    <x v="2"/>
    <n v="5310"/>
    <x v="0"/>
    <x v="1"/>
    <x v="1"/>
    <x v="8"/>
    <x v="9"/>
    <x v="0"/>
    <x v="855"/>
    <x v="1221"/>
  </r>
  <r>
    <x v="1376"/>
    <x v="270"/>
    <x v="6"/>
    <x v="6"/>
    <x v="1"/>
    <x v="1"/>
    <n v="1"/>
    <n v="9580"/>
    <x v="0"/>
    <n v="3193"/>
    <x v="0"/>
    <x v="0"/>
    <x v="0"/>
    <x v="3"/>
    <x v="6"/>
    <x v="0"/>
    <x v="856"/>
    <x v="1222"/>
  </r>
  <r>
    <x v="1377"/>
    <x v="260"/>
    <x v="12"/>
    <x v="11"/>
    <x v="1"/>
    <x v="1"/>
    <n v="1"/>
    <n v="5794"/>
    <x v="1"/>
    <n v="5793"/>
    <x v="0"/>
    <x v="1"/>
    <x v="5"/>
    <x v="11"/>
    <x v="0"/>
    <x v="1"/>
    <x v="2"/>
    <x v="1223"/>
  </r>
  <r>
    <x v="1378"/>
    <x v="152"/>
    <x v="8"/>
    <x v="7"/>
    <x v="1"/>
    <x v="1"/>
    <n v="1"/>
    <n v="11800"/>
    <x v="0"/>
    <n v="3933"/>
    <x v="0"/>
    <x v="1"/>
    <x v="4"/>
    <x v="0"/>
    <x v="0"/>
    <x v="1"/>
    <x v="857"/>
    <x v="1224"/>
  </r>
  <r>
    <x v="1379"/>
    <x v="357"/>
    <x v="13"/>
    <x v="9"/>
    <x v="1"/>
    <x v="1"/>
    <n v="1"/>
    <n v="3267"/>
    <x v="1"/>
    <n v="3267"/>
    <x v="1"/>
    <x v="0"/>
    <x v="3"/>
    <x v="13"/>
    <x v="9"/>
    <x v="0"/>
    <x v="1"/>
    <x v="1225"/>
  </r>
  <r>
    <x v="1380"/>
    <x v="164"/>
    <x v="7"/>
    <x v="6"/>
    <x v="1"/>
    <x v="1"/>
    <n v="1"/>
    <n v="11425"/>
    <x v="1"/>
    <n v="11424"/>
    <x v="0"/>
    <x v="1"/>
    <x v="3"/>
    <x v="4"/>
    <x v="3"/>
    <x v="0"/>
    <x v="2"/>
    <x v="1226"/>
  </r>
  <r>
    <x v="1381"/>
    <x v="223"/>
    <x v="3"/>
    <x v="3"/>
    <x v="0"/>
    <x v="0"/>
    <n v="1"/>
    <n v="7413"/>
    <x v="2"/>
    <n v="4942"/>
    <x v="0"/>
    <x v="0"/>
    <x v="1"/>
    <x v="5"/>
    <x v="0"/>
    <x v="1"/>
    <x v="858"/>
    <x v="1227"/>
  </r>
  <r>
    <x v="1382"/>
    <x v="214"/>
    <x v="10"/>
    <x v="9"/>
    <x v="1"/>
    <x v="1"/>
    <n v="1"/>
    <n v="7663"/>
    <x v="0"/>
    <n v="2554"/>
    <x v="0"/>
    <x v="2"/>
    <x v="0"/>
    <x v="14"/>
    <x v="7"/>
    <x v="0"/>
    <x v="859"/>
    <x v="1228"/>
  </r>
  <r>
    <x v="1383"/>
    <x v="116"/>
    <x v="5"/>
    <x v="5"/>
    <x v="0"/>
    <x v="0"/>
    <n v="1"/>
    <n v="5502"/>
    <x v="2"/>
    <n v="3668"/>
    <x v="0"/>
    <x v="2"/>
    <x v="0"/>
    <x v="9"/>
    <x v="3"/>
    <x v="0"/>
    <x v="860"/>
    <x v="689"/>
  </r>
  <r>
    <x v="1384"/>
    <x v="310"/>
    <x v="5"/>
    <x v="5"/>
    <x v="1"/>
    <x v="1"/>
    <n v="1"/>
    <n v="5051"/>
    <x v="2"/>
    <n v="3366"/>
    <x v="0"/>
    <x v="0"/>
    <x v="1"/>
    <x v="13"/>
    <x v="6"/>
    <x v="0"/>
    <x v="861"/>
    <x v="1229"/>
  </r>
  <r>
    <x v="1385"/>
    <x v="360"/>
    <x v="10"/>
    <x v="9"/>
    <x v="1"/>
    <x v="1"/>
    <n v="1"/>
    <n v="7560"/>
    <x v="1"/>
    <n v="7560"/>
    <x v="1"/>
    <x v="2"/>
    <x v="4"/>
    <x v="8"/>
    <x v="2"/>
    <x v="1"/>
    <x v="1"/>
    <x v="1230"/>
  </r>
  <r>
    <x v="1386"/>
    <x v="228"/>
    <x v="4"/>
    <x v="4"/>
    <x v="1"/>
    <x v="1"/>
    <n v="1"/>
    <n v="6968"/>
    <x v="0"/>
    <n v="2322"/>
    <x v="0"/>
    <x v="0"/>
    <x v="1"/>
    <x v="6"/>
    <x v="0"/>
    <x v="1"/>
    <x v="862"/>
    <x v="1231"/>
  </r>
  <r>
    <x v="1387"/>
    <x v="345"/>
    <x v="13"/>
    <x v="9"/>
    <x v="1"/>
    <x v="1"/>
    <n v="1"/>
    <n v="3644"/>
    <x v="0"/>
    <n v="1214"/>
    <x v="0"/>
    <x v="0"/>
    <x v="2"/>
    <x v="10"/>
    <x v="2"/>
    <x v="1"/>
    <x v="863"/>
    <x v="1232"/>
  </r>
  <r>
    <x v="1388"/>
    <x v="114"/>
    <x v="7"/>
    <x v="6"/>
    <x v="0"/>
    <x v="0"/>
    <n v="1"/>
    <n v="7156"/>
    <x v="0"/>
    <n v="2385"/>
    <x v="0"/>
    <x v="0"/>
    <x v="2"/>
    <x v="14"/>
    <x v="8"/>
    <x v="0"/>
    <x v="864"/>
    <x v="1233"/>
  </r>
  <r>
    <x v="1389"/>
    <x v="309"/>
    <x v="0"/>
    <x v="0"/>
    <x v="1"/>
    <x v="1"/>
    <n v="1"/>
    <n v="7043"/>
    <x v="2"/>
    <n v="4694"/>
    <x v="0"/>
    <x v="2"/>
    <x v="0"/>
    <x v="14"/>
    <x v="6"/>
    <x v="0"/>
    <x v="865"/>
    <x v="1234"/>
  </r>
  <r>
    <x v="1390"/>
    <x v="267"/>
    <x v="10"/>
    <x v="9"/>
    <x v="0"/>
    <x v="0"/>
    <n v="1"/>
    <n v="4917"/>
    <x v="2"/>
    <n v="3278"/>
    <x v="0"/>
    <x v="0"/>
    <x v="3"/>
    <x v="11"/>
    <x v="8"/>
    <x v="1"/>
    <x v="683"/>
    <x v="1235"/>
  </r>
  <r>
    <x v="1391"/>
    <x v="234"/>
    <x v="1"/>
    <x v="1"/>
    <x v="1"/>
    <x v="1"/>
    <n v="1"/>
    <n v="6291"/>
    <x v="2"/>
    <n v="4194"/>
    <x v="0"/>
    <x v="1"/>
    <x v="0"/>
    <x v="7"/>
    <x v="8"/>
    <x v="1"/>
    <x v="866"/>
    <x v="1236"/>
  </r>
  <r>
    <x v="1392"/>
    <x v="137"/>
    <x v="8"/>
    <x v="7"/>
    <x v="1"/>
    <x v="1"/>
    <n v="1"/>
    <n v="9689"/>
    <x v="0"/>
    <n v="3229"/>
    <x v="0"/>
    <x v="0"/>
    <x v="5"/>
    <x v="0"/>
    <x v="7"/>
    <x v="1"/>
    <x v="867"/>
    <x v="1237"/>
  </r>
  <r>
    <x v="1393"/>
    <x v="122"/>
    <x v="13"/>
    <x v="9"/>
    <x v="1"/>
    <x v="1"/>
    <n v="1"/>
    <n v="3759"/>
    <x v="2"/>
    <n v="2506"/>
    <x v="0"/>
    <x v="1"/>
    <x v="1"/>
    <x v="2"/>
    <x v="9"/>
    <x v="1"/>
    <x v="833"/>
    <x v="1238"/>
  </r>
  <r>
    <x v="1394"/>
    <x v="231"/>
    <x v="12"/>
    <x v="11"/>
    <x v="0"/>
    <x v="0"/>
    <n v="1"/>
    <n v="7296"/>
    <x v="0"/>
    <n v="2432"/>
    <x v="0"/>
    <x v="0"/>
    <x v="4"/>
    <x v="7"/>
    <x v="9"/>
    <x v="1"/>
    <x v="868"/>
    <x v="1239"/>
  </r>
  <r>
    <x v="1395"/>
    <x v="41"/>
    <x v="10"/>
    <x v="9"/>
    <x v="1"/>
    <x v="1"/>
    <n v="1"/>
    <n v="4986"/>
    <x v="2"/>
    <n v="3324"/>
    <x v="0"/>
    <x v="1"/>
    <x v="1"/>
    <x v="2"/>
    <x v="1"/>
    <x v="1"/>
    <x v="435"/>
    <x v="1240"/>
  </r>
  <r>
    <x v="1396"/>
    <x v="289"/>
    <x v="13"/>
    <x v="9"/>
    <x v="0"/>
    <x v="0"/>
    <n v="1"/>
    <n v="3343"/>
    <x v="2"/>
    <n v="2228"/>
    <x v="0"/>
    <x v="2"/>
    <x v="1"/>
    <x v="5"/>
    <x v="3"/>
    <x v="1"/>
    <x v="869"/>
    <x v="527"/>
  </r>
  <r>
    <x v="1397"/>
    <x v="113"/>
    <x v="7"/>
    <x v="6"/>
    <x v="1"/>
    <x v="1"/>
    <n v="1"/>
    <n v="10296"/>
    <x v="0"/>
    <n v="3432"/>
    <x v="0"/>
    <x v="2"/>
    <x v="2"/>
    <x v="14"/>
    <x v="4"/>
    <x v="0"/>
    <x v="870"/>
    <x v="1241"/>
  </r>
  <r>
    <x v="1398"/>
    <x v="139"/>
    <x v="11"/>
    <x v="10"/>
    <x v="0"/>
    <x v="0"/>
    <n v="1"/>
    <n v="5306"/>
    <x v="1"/>
    <n v="5304"/>
    <x v="0"/>
    <x v="0"/>
    <x v="5"/>
    <x v="8"/>
    <x v="9"/>
    <x v="0"/>
    <x v="4"/>
    <x v="863"/>
  </r>
  <r>
    <x v="1399"/>
    <x v="66"/>
    <x v="6"/>
    <x v="6"/>
    <x v="0"/>
    <x v="0"/>
    <n v="1"/>
    <n v="7597"/>
    <x v="1"/>
    <n v="7596"/>
    <x v="0"/>
    <x v="1"/>
    <x v="5"/>
    <x v="4"/>
    <x v="1"/>
    <x v="0"/>
    <x v="2"/>
    <x v="1242"/>
  </r>
  <r>
    <x v="1400"/>
    <x v="98"/>
    <x v="13"/>
    <x v="9"/>
    <x v="0"/>
    <x v="0"/>
    <n v="1"/>
    <n v="4062"/>
    <x v="0"/>
    <n v="1354"/>
    <x v="0"/>
    <x v="2"/>
    <x v="2"/>
    <x v="2"/>
    <x v="9"/>
    <x v="0"/>
    <x v="871"/>
    <x v="1243"/>
  </r>
  <r>
    <x v="1401"/>
    <x v="177"/>
    <x v="11"/>
    <x v="10"/>
    <x v="1"/>
    <x v="1"/>
    <n v="1"/>
    <n v="4645"/>
    <x v="2"/>
    <n v="3096"/>
    <x v="0"/>
    <x v="2"/>
    <x v="0"/>
    <x v="2"/>
    <x v="4"/>
    <x v="0"/>
    <x v="872"/>
    <x v="1244"/>
  </r>
  <r>
    <x v="1402"/>
    <x v="212"/>
    <x v="5"/>
    <x v="5"/>
    <x v="0"/>
    <x v="0"/>
    <n v="1"/>
    <n v="4843"/>
    <x v="0"/>
    <n v="1614"/>
    <x v="0"/>
    <x v="1"/>
    <x v="4"/>
    <x v="9"/>
    <x v="5"/>
    <x v="0"/>
    <x v="873"/>
    <x v="1245"/>
  </r>
  <r>
    <x v="1403"/>
    <x v="164"/>
    <x v="2"/>
    <x v="2"/>
    <x v="0"/>
    <x v="0"/>
    <n v="1"/>
    <n v="6251"/>
    <x v="0"/>
    <n v="2083"/>
    <x v="0"/>
    <x v="2"/>
    <x v="0"/>
    <x v="14"/>
    <x v="9"/>
    <x v="0"/>
    <x v="874"/>
    <x v="1024"/>
  </r>
  <r>
    <x v="1404"/>
    <x v="236"/>
    <x v="13"/>
    <x v="9"/>
    <x v="0"/>
    <x v="0"/>
    <n v="1"/>
    <n v="3437"/>
    <x v="2"/>
    <n v="2290"/>
    <x v="0"/>
    <x v="0"/>
    <x v="5"/>
    <x v="6"/>
    <x v="1"/>
    <x v="0"/>
    <x v="875"/>
    <x v="1246"/>
  </r>
  <r>
    <x v="1405"/>
    <x v="302"/>
    <x v="5"/>
    <x v="5"/>
    <x v="1"/>
    <x v="1"/>
    <n v="1"/>
    <n v="3602"/>
    <x v="2"/>
    <n v="2400"/>
    <x v="0"/>
    <x v="2"/>
    <x v="2"/>
    <x v="4"/>
    <x v="6"/>
    <x v="0"/>
    <x v="876"/>
    <x v="1247"/>
  </r>
  <r>
    <x v="1406"/>
    <x v="258"/>
    <x v="13"/>
    <x v="9"/>
    <x v="0"/>
    <x v="0"/>
    <n v="1"/>
    <n v="4374"/>
    <x v="1"/>
    <n v="4374"/>
    <x v="1"/>
    <x v="1"/>
    <x v="3"/>
    <x v="10"/>
    <x v="5"/>
    <x v="1"/>
    <x v="1"/>
    <x v="4"/>
  </r>
  <r>
    <x v="1407"/>
    <x v="314"/>
    <x v="7"/>
    <x v="6"/>
    <x v="0"/>
    <x v="0"/>
    <n v="1"/>
    <n v="9137"/>
    <x v="2"/>
    <n v="6090"/>
    <x v="0"/>
    <x v="2"/>
    <x v="4"/>
    <x v="14"/>
    <x v="8"/>
    <x v="1"/>
    <x v="877"/>
    <x v="1248"/>
  </r>
  <r>
    <x v="1408"/>
    <x v="239"/>
    <x v="6"/>
    <x v="6"/>
    <x v="1"/>
    <x v="1"/>
    <n v="1"/>
    <n v="9940"/>
    <x v="0"/>
    <n v="3313"/>
    <x v="0"/>
    <x v="0"/>
    <x v="4"/>
    <x v="0"/>
    <x v="1"/>
    <x v="0"/>
    <x v="878"/>
    <x v="1249"/>
  </r>
  <r>
    <x v="1409"/>
    <x v="133"/>
    <x v="8"/>
    <x v="7"/>
    <x v="1"/>
    <x v="1"/>
    <n v="1"/>
    <n v="11905"/>
    <x v="1"/>
    <n v="11904"/>
    <x v="0"/>
    <x v="1"/>
    <x v="4"/>
    <x v="9"/>
    <x v="8"/>
    <x v="1"/>
    <x v="2"/>
    <x v="1250"/>
  </r>
  <r>
    <x v="1410"/>
    <x v="217"/>
    <x v="1"/>
    <x v="1"/>
    <x v="0"/>
    <x v="0"/>
    <n v="1"/>
    <n v="6704"/>
    <x v="0"/>
    <n v="2234"/>
    <x v="0"/>
    <x v="0"/>
    <x v="2"/>
    <x v="0"/>
    <x v="3"/>
    <x v="1"/>
    <x v="879"/>
    <x v="1251"/>
  </r>
  <r>
    <x v="1411"/>
    <x v="187"/>
    <x v="8"/>
    <x v="7"/>
    <x v="0"/>
    <x v="0"/>
    <n v="1"/>
    <n v="12713"/>
    <x v="2"/>
    <n v="8474"/>
    <x v="0"/>
    <x v="0"/>
    <x v="5"/>
    <x v="9"/>
    <x v="1"/>
    <x v="0"/>
    <x v="880"/>
    <x v="1252"/>
  </r>
  <r>
    <x v="1412"/>
    <x v="154"/>
    <x v="10"/>
    <x v="9"/>
    <x v="0"/>
    <x v="0"/>
    <n v="1"/>
    <n v="5701"/>
    <x v="1"/>
    <n v="5700"/>
    <x v="0"/>
    <x v="2"/>
    <x v="5"/>
    <x v="13"/>
    <x v="9"/>
    <x v="1"/>
    <x v="2"/>
    <x v="1253"/>
  </r>
  <r>
    <x v="1413"/>
    <x v="135"/>
    <x v="3"/>
    <x v="3"/>
    <x v="1"/>
    <x v="1"/>
    <n v="1"/>
    <n v="5294"/>
    <x v="2"/>
    <n v="3528"/>
    <x v="0"/>
    <x v="2"/>
    <x v="5"/>
    <x v="12"/>
    <x v="2"/>
    <x v="0"/>
    <x v="881"/>
    <x v="1254"/>
  </r>
  <r>
    <x v="1414"/>
    <x v="245"/>
    <x v="2"/>
    <x v="2"/>
    <x v="0"/>
    <x v="0"/>
    <n v="1"/>
    <n v="7181"/>
    <x v="1"/>
    <n v="7179"/>
    <x v="0"/>
    <x v="0"/>
    <x v="0"/>
    <x v="14"/>
    <x v="6"/>
    <x v="0"/>
    <x v="4"/>
    <x v="1255"/>
  </r>
  <r>
    <x v="1415"/>
    <x v="112"/>
    <x v="0"/>
    <x v="0"/>
    <x v="0"/>
    <x v="0"/>
    <n v="1"/>
    <n v="6712"/>
    <x v="1"/>
    <n v="6711"/>
    <x v="0"/>
    <x v="0"/>
    <x v="2"/>
    <x v="12"/>
    <x v="7"/>
    <x v="1"/>
    <x v="2"/>
    <x v="1256"/>
  </r>
  <r>
    <x v="1416"/>
    <x v="298"/>
    <x v="5"/>
    <x v="5"/>
    <x v="0"/>
    <x v="0"/>
    <n v="1"/>
    <n v="5819"/>
    <x v="1"/>
    <n v="5817"/>
    <x v="0"/>
    <x v="0"/>
    <x v="5"/>
    <x v="6"/>
    <x v="7"/>
    <x v="1"/>
    <x v="4"/>
    <x v="1257"/>
  </r>
  <r>
    <x v="1417"/>
    <x v="113"/>
    <x v="11"/>
    <x v="10"/>
    <x v="1"/>
    <x v="1"/>
    <n v="1"/>
    <n v="4218"/>
    <x v="0"/>
    <n v="1406"/>
    <x v="0"/>
    <x v="0"/>
    <x v="3"/>
    <x v="1"/>
    <x v="0"/>
    <x v="1"/>
    <x v="882"/>
    <x v="1258"/>
  </r>
  <r>
    <x v="1418"/>
    <x v="89"/>
    <x v="0"/>
    <x v="0"/>
    <x v="0"/>
    <x v="0"/>
    <n v="1"/>
    <n v="4211"/>
    <x v="0"/>
    <n v="1403"/>
    <x v="0"/>
    <x v="1"/>
    <x v="2"/>
    <x v="0"/>
    <x v="3"/>
    <x v="0"/>
    <x v="883"/>
    <x v="1259"/>
  </r>
  <r>
    <x v="1419"/>
    <x v="78"/>
    <x v="3"/>
    <x v="3"/>
    <x v="0"/>
    <x v="0"/>
    <n v="1"/>
    <n v="4144"/>
    <x v="2"/>
    <n v="2762"/>
    <x v="0"/>
    <x v="0"/>
    <x v="5"/>
    <x v="12"/>
    <x v="1"/>
    <x v="0"/>
    <x v="884"/>
    <x v="1260"/>
  </r>
  <r>
    <x v="1420"/>
    <x v="228"/>
    <x v="12"/>
    <x v="11"/>
    <x v="0"/>
    <x v="0"/>
    <n v="1"/>
    <n v="7597"/>
    <x v="2"/>
    <n v="5064"/>
    <x v="0"/>
    <x v="2"/>
    <x v="0"/>
    <x v="4"/>
    <x v="1"/>
    <x v="1"/>
    <x v="885"/>
    <x v="892"/>
  </r>
  <r>
    <x v="1421"/>
    <x v="231"/>
    <x v="1"/>
    <x v="1"/>
    <x v="1"/>
    <x v="1"/>
    <n v="1"/>
    <n v="6533"/>
    <x v="1"/>
    <n v="6531"/>
    <x v="0"/>
    <x v="2"/>
    <x v="1"/>
    <x v="2"/>
    <x v="5"/>
    <x v="1"/>
    <x v="4"/>
    <x v="1261"/>
  </r>
  <r>
    <x v="1422"/>
    <x v="160"/>
    <x v="5"/>
    <x v="5"/>
    <x v="0"/>
    <x v="0"/>
    <n v="1"/>
    <n v="5266"/>
    <x v="2"/>
    <n v="3510"/>
    <x v="0"/>
    <x v="0"/>
    <x v="2"/>
    <x v="0"/>
    <x v="2"/>
    <x v="0"/>
    <x v="886"/>
    <x v="1262"/>
  </r>
  <r>
    <x v="1423"/>
    <x v="311"/>
    <x v="10"/>
    <x v="9"/>
    <x v="0"/>
    <x v="0"/>
    <n v="1"/>
    <n v="5933"/>
    <x v="0"/>
    <n v="1977"/>
    <x v="0"/>
    <x v="1"/>
    <x v="2"/>
    <x v="3"/>
    <x v="6"/>
    <x v="0"/>
    <x v="887"/>
    <x v="1263"/>
  </r>
  <r>
    <x v="1424"/>
    <x v="264"/>
    <x v="1"/>
    <x v="1"/>
    <x v="1"/>
    <x v="1"/>
    <n v="1"/>
    <n v="5138"/>
    <x v="1"/>
    <n v="5136"/>
    <x v="0"/>
    <x v="2"/>
    <x v="1"/>
    <x v="12"/>
    <x v="4"/>
    <x v="1"/>
    <x v="4"/>
    <x v="580"/>
  </r>
  <r>
    <x v="1425"/>
    <x v="219"/>
    <x v="10"/>
    <x v="9"/>
    <x v="1"/>
    <x v="1"/>
    <n v="1"/>
    <n v="5827"/>
    <x v="1"/>
    <n v="5826"/>
    <x v="0"/>
    <x v="1"/>
    <x v="5"/>
    <x v="1"/>
    <x v="2"/>
    <x v="1"/>
    <x v="2"/>
    <x v="1264"/>
  </r>
  <r>
    <x v="1426"/>
    <x v="172"/>
    <x v="6"/>
    <x v="6"/>
    <x v="0"/>
    <x v="0"/>
    <n v="1"/>
    <n v="11417"/>
    <x v="0"/>
    <n v="3805"/>
    <x v="0"/>
    <x v="2"/>
    <x v="5"/>
    <x v="2"/>
    <x v="2"/>
    <x v="1"/>
    <x v="888"/>
    <x v="1265"/>
  </r>
  <r>
    <x v="1427"/>
    <x v="354"/>
    <x v="0"/>
    <x v="0"/>
    <x v="1"/>
    <x v="1"/>
    <n v="1"/>
    <n v="4547"/>
    <x v="1"/>
    <n v="4545"/>
    <x v="0"/>
    <x v="1"/>
    <x v="1"/>
    <x v="8"/>
    <x v="8"/>
    <x v="1"/>
    <x v="4"/>
    <x v="1266"/>
  </r>
  <r>
    <x v="1428"/>
    <x v="56"/>
    <x v="10"/>
    <x v="9"/>
    <x v="0"/>
    <x v="0"/>
    <n v="1"/>
    <n v="6029"/>
    <x v="0"/>
    <n v="2009"/>
    <x v="0"/>
    <x v="1"/>
    <x v="0"/>
    <x v="13"/>
    <x v="6"/>
    <x v="1"/>
    <x v="29"/>
    <x v="1267"/>
  </r>
  <r>
    <x v="1429"/>
    <x v="109"/>
    <x v="7"/>
    <x v="6"/>
    <x v="1"/>
    <x v="1"/>
    <n v="1"/>
    <n v="11089"/>
    <x v="1"/>
    <n v="11088"/>
    <x v="0"/>
    <x v="1"/>
    <x v="2"/>
    <x v="1"/>
    <x v="1"/>
    <x v="0"/>
    <x v="2"/>
    <x v="1268"/>
  </r>
  <r>
    <x v="1430"/>
    <x v="235"/>
    <x v="13"/>
    <x v="9"/>
    <x v="0"/>
    <x v="0"/>
    <n v="1"/>
    <n v="4917"/>
    <x v="2"/>
    <n v="3278"/>
    <x v="0"/>
    <x v="0"/>
    <x v="2"/>
    <x v="0"/>
    <x v="2"/>
    <x v="0"/>
    <x v="683"/>
    <x v="1235"/>
  </r>
  <r>
    <x v="1431"/>
    <x v="305"/>
    <x v="12"/>
    <x v="11"/>
    <x v="1"/>
    <x v="1"/>
    <n v="1"/>
    <n v="8952"/>
    <x v="1"/>
    <n v="8952"/>
    <x v="1"/>
    <x v="0"/>
    <x v="2"/>
    <x v="7"/>
    <x v="5"/>
    <x v="1"/>
    <x v="1"/>
    <x v="1269"/>
  </r>
  <r>
    <x v="1432"/>
    <x v="293"/>
    <x v="0"/>
    <x v="0"/>
    <x v="0"/>
    <x v="0"/>
    <n v="1"/>
    <n v="6481"/>
    <x v="2"/>
    <n v="4320"/>
    <x v="0"/>
    <x v="2"/>
    <x v="2"/>
    <x v="8"/>
    <x v="9"/>
    <x v="1"/>
    <x v="889"/>
    <x v="1270"/>
  </r>
  <r>
    <x v="1433"/>
    <x v="359"/>
    <x v="5"/>
    <x v="5"/>
    <x v="1"/>
    <x v="1"/>
    <n v="1"/>
    <n v="3880"/>
    <x v="1"/>
    <n v="3879"/>
    <x v="0"/>
    <x v="2"/>
    <x v="0"/>
    <x v="2"/>
    <x v="9"/>
    <x v="1"/>
    <x v="2"/>
    <x v="1271"/>
  </r>
  <r>
    <x v="1434"/>
    <x v="144"/>
    <x v="3"/>
    <x v="3"/>
    <x v="1"/>
    <x v="1"/>
    <n v="1"/>
    <n v="6270"/>
    <x v="0"/>
    <n v="2090"/>
    <x v="0"/>
    <x v="0"/>
    <x v="0"/>
    <x v="5"/>
    <x v="0"/>
    <x v="0"/>
    <x v="527"/>
    <x v="1272"/>
  </r>
  <r>
    <x v="1435"/>
    <x v="187"/>
    <x v="3"/>
    <x v="3"/>
    <x v="1"/>
    <x v="1"/>
    <n v="1"/>
    <n v="5016"/>
    <x v="2"/>
    <n v="3344"/>
    <x v="0"/>
    <x v="0"/>
    <x v="0"/>
    <x v="5"/>
    <x v="6"/>
    <x v="1"/>
    <x v="890"/>
    <x v="1273"/>
  </r>
  <r>
    <x v="1436"/>
    <x v="78"/>
    <x v="6"/>
    <x v="6"/>
    <x v="1"/>
    <x v="1"/>
    <n v="1"/>
    <n v="7735"/>
    <x v="1"/>
    <n v="7734"/>
    <x v="0"/>
    <x v="0"/>
    <x v="0"/>
    <x v="8"/>
    <x v="2"/>
    <x v="1"/>
    <x v="2"/>
    <x v="484"/>
  </r>
  <r>
    <x v="1437"/>
    <x v="322"/>
    <x v="9"/>
    <x v="8"/>
    <x v="1"/>
    <x v="1"/>
    <n v="1"/>
    <n v="9657"/>
    <x v="1"/>
    <n v="9657"/>
    <x v="1"/>
    <x v="2"/>
    <x v="0"/>
    <x v="7"/>
    <x v="6"/>
    <x v="0"/>
    <x v="1"/>
    <x v="1274"/>
  </r>
  <r>
    <x v="1438"/>
    <x v="182"/>
    <x v="4"/>
    <x v="4"/>
    <x v="0"/>
    <x v="0"/>
    <n v="1"/>
    <n v="4606"/>
    <x v="0"/>
    <n v="1535"/>
    <x v="0"/>
    <x v="0"/>
    <x v="5"/>
    <x v="2"/>
    <x v="1"/>
    <x v="1"/>
    <x v="421"/>
    <x v="621"/>
  </r>
  <r>
    <x v="1439"/>
    <x v="286"/>
    <x v="11"/>
    <x v="10"/>
    <x v="1"/>
    <x v="1"/>
    <n v="1"/>
    <n v="5876"/>
    <x v="1"/>
    <n v="5874"/>
    <x v="0"/>
    <x v="1"/>
    <x v="2"/>
    <x v="6"/>
    <x v="4"/>
    <x v="0"/>
    <x v="4"/>
    <x v="1275"/>
  </r>
  <r>
    <x v="1440"/>
    <x v="37"/>
    <x v="0"/>
    <x v="0"/>
    <x v="1"/>
    <x v="1"/>
    <n v="1"/>
    <n v="5195"/>
    <x v="2"/>
    <n v="3462"/>
    <x v="0"/>
    <x v="1"/>
    <x v="1"/>
    <x v="8"/>
    <x v="4"/>
    <x v="0"/>
    <x v="588"/>
    <x v="1276"/>
  </r>
  <r>
    <x v="1441"/>
    <x v="110"/>
    <x v="3"/>
    <x v="3"/>
    <x v="1"/>
    <x v="1"/>
    <n v="1"/>
    <n v="6523"/>
    <x v="0"/>
    <n v="2174"/>
    <x v="0"/>
    <x v="2"/>
    <x v="2"/>
    <x v="8"/>
    <x v="2"/>
    <x v="1"/>
    <x v="891"/>
    <x v="1277"/>
  </r>
  <r>
    <x v="1442"/>
    <x v="196"/>
    <x v="10"/>
    <x v="9"/>
    <x v="0"/>
    <x v="0"/>
    <n v="1"/>
    <n v="5632"/>
    <x v="2"/>
    <n v="3754"/>
    <x v="0"/>
    <x v="1"/>
    <x v="5"/>
    <x v="13"/>
    <x v="4"/>
    <x v="1"/>
    <x v="892"/>
    <x v="1278"/>
  </r>
  <r>
    <x v="1443"/>
    <x v="272"/>
    <x v="2"/>
    <x v="2"/>
    <x v="1"/>
    <x v="1"/>
    <n v="1"/>
    <n v="7611"/>
    <x v="0"/>
    <n v="2537"/>
    <x v="0"/>
    <x v="2"/>
    <x v="0"/>
    <x v="4"/>
    <x v="9"/>
    <x v="0"/>
    <x v="893"/>
    <x v="1279"/>
  </r>
  <r>
    <x v="1444"/>
    <x v="157"/>
    <x v="2"/>
    <x v="2"/>
    <x v="0"/>
    <x v="0"/>
    <n v="1"/>
    <n v="6183"/>
    <x v="0"/>
    <n v="2061"/>
    <x v="0"/>
    <x v="0"/>
    <x v="0"/>
    <x v="14"/>
    <x v="0"/>
    <x v="1"/>
    <x v="894"/>
    <x v="1280"/>
  </r>
  <r>
    <x v="1445"/>
    <x v="249"/>
    <x v="12"/>
    <x v="11"/>
    <x v="1"/>
    <x v="1"/>
    <n v="1"/>
    <n v="7116"/>
    <x v="0"/>
    <n v="2372"/>
    <x v="0"/>
    <x v="1"/>
    <x v="4"/>
    <x v="13"/>
    <x v="0"/>
    <x v="1"/>
    <x v="895"/>
    <x v="1129"/>
  </r>
  <r>
    <x v="1446"/>
    <x v="361"/>
    <x v="9"/>
    <x v="8"/>
    <x v="1"/>
    <x v="1"/>
    <n v="1"/>
    <n v="11379"/>
    <x v="2"/>
    <n v="7586"/>
    <x v="0"/>
    <x v="1"/>
    <x v="4"/>
    <x v="12"/>
    <x v="1"/>
    <x v="1"/>
    <x v="28"/>
    <x v="1281"/>
  </r>
  <r>
    <x v="1447"/>
    <x v="206"/>
    <x v="7"/>
    <x v="6"/>
    <x v="1"/>
    <x v="1"/>
    <n v="1"/>
    <n v="10166"/>
    <x v="1"/>
    <n v="10164"/>
    <x v="0"/>
    <x v="0"/>
    <x v="1"/>
    <x v="11"/>
    <x v="6"/>
    <x v="0"/>
    <x v="4"/>
    <x v="1282"/>
  </r>
  <r>
    <x v="1448"/>
    <x v="54"/>
    <x v="2"/>
    <x v="2"/>
    <x v="1"/>
    <x v="1"/>
    <n v="1"/>
    <n v="5221"/>
    <x v="1"/>
    <n v="5220"/>
    <x v="0"/>
    <x v="1"/>
    <x v="1"/>
    <x v="13"/>
    <x v="8"/>
    <x v="0"/>
    <x v="2"/>
    <x v="361"/>
  </r>
  <r>
    <x v="1449"/>
    <x v="242"/>
    <x v="3"/>
    <x v="3"/>
    <x v="0"/>
    <x v="0"/>
    <n v="1"/>
    <n v="4488"/>
    <x v="2"/>
    <n v="2992"/>
    <x v="0"/>
    <x v="0"/>
    <x v="4"/>
    <x v="7"/>
    <x v="2"/>
    <x v="0"/>
    <x v="896"/>
    <x v="1283"/>
  </r>
  <r>
    <x v="1450"/>
    <x v="280"/>
    <x v="1"/>
    <x v="1"/>
    <x v="1"/>
    <x v="1"/>
    <n v="1"/>
    <n v="5039"/>
    <x v="0"/>
    <n v="1679"/>
    <x v="0"/>
    <x v="2"/>
    <x v="5"/>
    <x v="2"/>
    <x v="1"/>
    <x v="0"/>
    <x v="897"/>
    <x v="748"/>
  </r>
  <r>
    <x v="1451"/>
    <x v="51"/>
    <x v="8"/>
    <x v="7"/>
    <x v="0"/>
    <x v="0"/>
    <n v="1"/>
    <n v="14505"/>
    <x v="2"/>
    <n v="9670"/>
    <x v="0"/>
    <x v="1"/>
    <x v="4"/>
    <x v="8"/>
    <x v="1"/>
    <x v="0"/>
    <x v="898"/>
    <x v="1284"/>
  </r>
  <r>
    <x v="1452"/>
    <x v="241"/>
    <x v="7"/>
    <x v="6"/>
    <x v="0"/>
    <x v="0"/>
    <n v="1"/>
    <n v="11470"/>
    <x v="1"/>
    <n v="11469"/>
    <x v="0"/>
    <x v="0"/>
    <x v="2"/>
    <x v="12"/>
    <x v="8"/>
    <x v="0"/>
    <x v="2"/>
    <x v="1285"/>
  </r>
  <r>
    <x v="1453"/>
    <x v="182"/>
    <x v="1"/>
    <x v="1"/>
    <x v="1"/>
    <x v="1"/>
    <n v="1"/>
    <n v="5758"/>
    <x v="1"/>
    <n v="5757"/>
    <x v="0"/>
    <x v="0"/>
    <x v="3"/>
    <x v="11"/>
    <x v="5"/>
    <x v="0"/>
    <x v="2"/>
    <x v="409"/>
  </r>
  <r>
    <x v="1454"/>
    <x v="128"/>
    <x v="5"/>
    <x v="5"/>
    <x v="0"/>
    <x v="0"/>
    <n v="1"/>
    <n v="4141"/>
    <x v="2"/>
    <n v="2760"/>
    <x v="0"/>
    <x v="1"/>
    <x v="1"/>
    <x v="6"/>
    <x v="1"/>
    <x v="0"/>
    <x v="811"/>
    <x v="1155"/>
  </r>
  <r>
    <x v="1455"/>
    <x v="62"/>
    <x v="3"/>
    <x v="3"/>
    <x v="0"/>
    <x v="0"/>
    <n v="1"/>
    <n v="6686"/>
    <x v="0"/>
    <n v="2228"/>
    <x v="0"/>
    <x v="2"/>
    <x v="0"/>
    <x v="3"/>
    <x v="3"/>
    <x v="1"/>
    <x v="899"/>
    <x v="527"/>
  </r>
  <r>
    <x v="1456"/>
    <x v="41"/>
    <x v="13"/>
    <x v="9"/>
    <x v="1"/>
    <x v="1"/>
    <n v="1"/>
    <n v="3494"/>
    <x v="1"/>
    <n v="3492"/>
    <x v="0"/>
    <x v="2"/>
    <x v="4"/>
    <x v="6"/>
    <x v="3"/>
    <x v="0"/>
    <x v="4"/>
    <x v="1286"/>
  </r>
  <r>
    <x v="1457"/>
    <x v="79"/>
    <x v="8"/>
    <x v="7"/>
    <x v="1"/>
    <x v="1"/>
    <n v="1"/>
    <n v="12381"/>
    <x v="2"/>
    <n v="8254"/>
    <x v="0"/>
    <x v="2"/>
    <x v="0"/>
    <x v="1"/>
    <x v="1"/>
    <x v="1"/>
    <x v="900"/>
    <x v="1287"/>
  </r>
  <r>
    <x v="1458"/>
    <x v="112"/>
    <x v="12"/>
    <x v="11"/>
    <x v="1"/>
    <x v="1"/>
    <n v="1"/>
    <n v="5540"/>
    <x v="0"/>
    <n v="1846"/>
    <x v="0"/>
    <x v="2"/>
    <x v="1"/>
    <x v="9"/>
    <x v="1"/>
    <x v="0"/>
    <x v="702"/>
    <x v="1288"/>
  </r>
  <r>
    <x v="1459"/>
    <x v="187"/>
    <x v="13"/>
    <x v="9"/>
    <x v="0"/>
    <x v="0"/>
    <n v="1"/>
    <n v="3428"/>
    <x v="2"/>
    <n v="2284"/>
    <x v="0"/>
    <x v="2"/>
    <x v="3"/>
    <x v="4"/>
    <x v="4"/>
    <x v="0"/>
    <x v="901"/>
    <x v="1289"/>
  </r>
  <r>
    <x v="1460"/>
    <x v="175"/>
    <x v="6"/>
    <x v="6"/>
    <x v="0"/>
    <x v="0"/>
    <n v="1"/>
    <n v="10632"/>
    <x v="1"/>
    <n v="10632"/>
    <x v="1"/>
    <x v="2"/>
    <x v="4"/>
    <x v="12"/>
    <x v="5"/>
    <x v="0"/>
    <x v="1"/>
    <x v="1290"/>
  </r>
  <r>
    <x v="1461"/>
    <x v="278"/>
    <x v="0"/>
    <x v="0"/>
    <x v="1"/>
    <x v="1"/>
    <n v="1"/>
    <n v="5957"/>
    <x v="0"/>
    <n v="1985"/>
    <x v="0"/>
    <x v="2"/>
    <x v="5"/>
    <x v="6"/>
    <x v="2"/>
    <x v="1"/>
    <x v="902"/>
    <x v="1291"/>
  </r>
  <r>
    <x v="1462"/>
    <x v="70"/>
    <x v="5"/>
    <x v="5"/>
    <x v="0"/>
    <x v="0"/>
    <n v="1"/>
    <n v="5961"/>
    <x v="1"/>
    <n v="5961"/>
    <x v="1"/>
    <x v="0"/>
    <x v="4"/>
    <x v="7"/>
    <x v="4"/>
    <x v="0"/>
    <x v="1"/>
    <x v="1218"/>
  </r>
  <r>
    <x v="1463"/>
    <x v="160"/>
    <x v="1"/>
    <x v="1"/>
    <x v="0"/>
    <x v="0"/>
    <n v="1"/>
    <n v="5311"/>
    <x v="2"/>
    <n v="3540"/>
    <x v="0"/>
    <x v="2"/>
    <x v="2"/>
    <x v="8"/>
    <x v="6"/>
    <x v="1"/>
    <x v="735"/>
    <x v="1048"/>
  </r>
  <r>
    <x v="1464"/>
    <x v="107"/>
    <x v="11"/>
    <x v="10"/>
    <x v="1"/>
    <x v="1"/>
    <n v="1"/>
    <n v="5491"/>
    <x v="1"/>
    <n v="5490"/>
    <x v="0"/>
    <x v="2"/>
    <x v="1"/>
    <x v="9"/>
    <x v="7"/>
    <x v="0"/>
    <x v="2"/>
    <x v="1292"/>
  </r>
  <r>
    <x v="1465"/>
    <x v="8"/>
    <x v="12"/>
    <x v="11"/>
    <x v="1"/>
    <x v="1"/>
    <n v="1"/>
    <n v="5889"/>
    <x v="2"/>
    <n v="3926"/>
    <x v="0"/>
    <x v="0"/>
    <x v="4"/>
    <x v="12"/>
    <x v="9"/>
    <x v="0"/>
    <x v="226"/>
    <x v="341"/>
  </r>
  <r>
    <x v="1466"/>
    <x v="83"/>
    <x v="1"/>
    <x v="1"/>
    <x v="0"/>
    <x v="0"/>
    <n v="1"/>
    <n v="5896"/>
    <x v="1"/>
    <n v="5895"/>
    <x v="0"/>
    <x v="1"/>
    <x v="3"/>
    <x v="5"/>
    <x v="0"/>
    <x v="0"/>
    <x v="2"/>
    <x v="1293"/>
  </r>
  <r>
    <x v="1467"/>
    <x v="362"/>
    <x v="5"/>
    <x v="5"/>
    <x v="0"/>
    <x v="0"/>
    <n v="1"/>
    <n v="4808"/>
    <x v="2"/>
    <n v="3204"/>
    <x v="0"/>
    <x v="2"/>
    <x v="2"/>
    <x v="4"/>
    <x v="6"/>
    <x v="0"/>
    <x v="903"/>
    <x v="1294"/>
  </r>
  <r>
    <x v="1468"/>
    <x v="148"/>
    <x v="9"/>
    <x v="8"/>
    <x v="1"/>
    <x v="1"/>
    <n v="1"/>
    <n v="13268"/>
    <x v="0"/>
    <n v="4422"/>
    <x v="0"/>
    <x v="2"/>
    <x v="4"/>
    <x v="13"/>
    <x v="2"/>
    <x v="0"/>
    <x v="904"/>
    <x v="390"/>
  </r>
  <r>
    <x v="1469"/>
    <x v="133"/>
    <x v="3"/>
    <x v="3"/>
    <x v="0"/>
    <x v="0"/>
    <n v="1"/>
    <n v="6756"/>
    <x v="2"/>
    <n v="4504"/>
    <x v="0"/>
    <x v="2"/>
    <x v="0"/>
    <x v="9"/>
    <x v="7"/>
    <x v="0"/>
    <x v="905"/>
    <x v="1295"/>
  </r>
  <r>
    <x v="1470"/>
    <x v="294"/>
    <x v="10"/>
    <x v="9"/>
    <x v="0"/>
    <x v="0"/>
    <n v="1"/>
    <n v="6262"/>
    <x v="0"/>
    <n v="2087"/>
    <x v="0"/>
    <x v="2"/>
    <x v="5"/>
    <x v="12"/>
    <x v="0"/>
    <x v="1"/>
    <x v="906"/>
    <x v="1296"/>
  </r>
  <r>
    <x v="1471"/>
    <x v="280"/>
    <x v="5"/>
    <x v="5"/>
    <x v="1"/>
    <x v="1"/>
    <n v="1"/>
    <n v="5963"/>
    <x v="0"/>
    <n v="1987"/>
    <x v="0"/>
    <x v="2"/>
    <x v="1"/>
    <x v="10"/>
    <x v="9"/>
    <x v="0"/>
    <x v="907"/>
    <x v="1297"/>
  </r>
  <r>
    <x v="1472"/>
    <x v="224"/>
    <x v="4"/>
    <x v="4"/>
    <x v="1"/>
    <x v="1"/>
    <n v="1"/>
    <n v="4516"/>
    <x v="0"/>
    <n v="1505"/>
    <x v="0"/>
    <x v="2"/>
    <x v="2"/>
    <x v="0"/>
    <x v="9"/>
    <x v="0"/>
    <x v="908"/>
    <x v="1298"/>
  </r>
  <r>
    <x v="1473"/>
    <x v="361"/>
    <x v="9"/>
    <x v="8"/>
    <x v="1"/>
    <x v="1"/>
    <n v="1"/>
    <n v="11180"/>
    <x v="1"/>
    <n v="11178"/>
    <x v="0"/>
    <x v="1"/>
    <x v="5"/>
    <x v="11"/>
    <x v="1"/>
    <x v="1"/>
    <x v="4"/>
    <x v="1299"/>
  </r>
  <r>
    <x v="1474"/>
    <x v="320"/>
    <x v="12"/>
    <x v="11"/>
    <x v="1"/>
    <x v="1"/>
    <n v="1"/>
    <n v="7223"/>
    <x v="0"/>
    <n v="2407"/>
    <x v="0"/>
    <x v="0"/>
    <x v="5"/>
    <x v="6"/>
    <x v="0"/>
    <x v="0"/>
    <x v="909"/>
    <x v="1300"/>
  </r>
  <r>
    <x v="1475"/>
    <x v="270"/>
    <x v="5"/>
    <x v="5"/>
    <x v="0"/>
    <x v="0"/>
    <n v="1"/>
    <n v="4888"/>
    <x v="0"/>
    <n v="1629"/>
    <x v="0"/>
    <x v="0"/>
    <x v="1"/>
    <x v="0"/>
    <x v="7"/>
    <x v="0"/>
    <x v="910"/>
    <x v="1301"/>
  </r>
  <r>
    <x v="1476"/>
    <x v="280"/>
    <x v="7"/>
    <x v="6"/>
    <x v="0"/>
    <x v="0"/>
    <n v="1"/>
    <n v="8715"/>
    <x v="0"/>
    <n v="2905"/>
    <x v="0"/>
    <x v="1"/>
    <x v="0"/>
    <x v="7"/>
    <x v="0"/>
    <x v="1"/>
    <x v="911"/>
    <x v="1302"/>
  </r>
  <r>
    <x v="1477"/>
    <x v="302"/>
    <x v="7"/>
    <x v="6"/>
    <x v="0"/>
    <x v="0"/>
    <n v="1"/>
    <n v="9440"/>
    <x v="1"/>
    <n v="9438"/>
    <x v="0"/>
    <x v="2"/>
    <x v="2"/>
    <x v="3"/>
    <x v="7"/>
    <x v="0"/>
    <x v="4"/>
    <x v="1303"/>
  </r>
  <r>
    <x v="1478"/>
    <x v="167"/>
    <x v="4"/>
    <x v="4"/>
    <x v="1"/>
    <x v="1"/>
    <n v="1"/>
    <n v="6436"/>
    <x v="2"/>
    <n v="4290"/>
    <x v="0"/>
    <x v="0"/>
    <x v="2"/>
    <x v="12"/>
    <x v="1"/>
    <x v="0"/>
    <x v="325"/>
    <x v="1304"/>
  </r>
  <r>
    <x v="1479"/>
    <x v="311"/>
    <x v="11"/>
    <x v="10"/>
    <x v="1"/>
    <x v="1"/>
    <n v="1"/>
    <n v="5716"/>
    <x v="0"/>
    <n v="1905"/>
    <x v="0"/>
    <x v="2"/>
    <x v="1"/>
    <x v="13"/>
    <x v="6"/>
    <x v="1"/>
    <x v="604"/>
    <x v="879"/>
  </r>
  <r>
    <x v="1480"/>
    <x v="255"/>
    <x v="10"/>
    <x v="9"/>
    <x v="0"/>
    <x v="0"/>
    <n v="1"/>
    <n v="6828"/>
    <x v="0"/>
    <n v="2276"/>
    <x v="0"/>
    <x v="2"/>
    <x v="2"/>
    <x v="3"/>
    <x v="4"/>
    <x v="0"/>
    <x v="912"/>
    <x v="1305"/>
  </r>
  <r>
    <x v="1481"/>
    <x v="315"/>
    <x v="10"/>
    <x v="9"/>
    <x v="0"/>
    <x v="0"/>
    <n v="1"/>
    <n v="7472"/>
    <x v="0"/>
    <n v="2490"/>
    <x v="0"/>
    <x v="0"/>
    <x v="3"/>
    <x v="4"/>
    <x v="6"/>
    <x v="0"/>
    <x v="913"/>
    <x v="1306"/>
  </r>
  <r>
    <x v="1482"/>
    <x v="237"/>
    <x v="6"/>
    <x v="6"/>
    <x v="0"/>
    <x v="0"/>
    <n v="1"/>
    <n v="7326"/>
    <x v="0"/>
    <n v="2442"/>
    <x v="0"/>
    <x v="1"/>
    <x v="4"/>
    <x v="12"/>
    <x v="0"/>
    <x v="0"/>
    <x v="914"/>
    <x v="1307"/>
  </r>
  <r>
    <x v="1483"/>
    <x v="126"/>
    <x v="10"/>
    <x v="9"/>
    <x v="1"/>
    <x v="1"/>
    <n v="1"/>
    <n v="5390"/>
    <x v="0"/>
    <n v="1796"/>
    <x v="0"/>
    <x v="0"/>
    <x v="1"/>
    <x v="9"/>
    <x v="4"/>
    <x v="0"/>
    <x v="75"/>
    <x v="897"/>
  </r>
  <r>
    <x v="1484"/>
    <x v="64"/>
    <x v="9"/>
    <x v="8"/>
    <x v="0"/>
    <x v="0"/>
    <n v="1"/>
    <n v="14886"/>
    <x v="0"/>
    <n v="4962"/>
    <x v="0"/>
    <x v="0"/>
    <x v="4"/>
    <x v="4"/>
    <x v="3"/>
    <x v="0"/>
    <x v="915"/>
    <x v="1308"/>
  </r>
  <r>
    <x v="1485"/>
    <x v="337"/>
    <x v="3"/>
    <x v="3"/>
    <x v="1"/>
    <x v="1"/>
    <n v="1"/>
    <n v="4815"/>
    <x v="0"/>
    <n v="1605"/>
    <x v="0"/>
    <x v="1"/>
    <x v="0"/>
    <x v="14"/>
    <x v="5"/>
    <x v="0"/>
    <x v="450"/>
    <x v="1309"/>
  </r>
  <r>
    <x v="1486"/>
    <x v="88"/>
    <x v="6"/>
    <x v="6"/>
    <x v="0"/>
    <x v="0"/>
    <n v="1"/>
    <n v="7336"/>
    <x v="0"/>
    <n v="2445"/>
    <x v="0"/>
    <x v="2"/>
    <x v="4"/>
    <x v="7"/>
    <x v="3"/>
    <x v="0"/>
    <x v="916"/>
    <x v="1310"/>
  </r>
  <r>
    <x v="1487"/>
    <x v="294"/>
    <x v="13"/>
    <x v="9"/>
    <x v="0"/>
    <x v="0"/>
    <n v="1"/>
    <n v="3860"/>
    <x v="1"/>
    <n v="3858"/>
    <x v="0"/>
    <x v="2"/>
    <x v="0"/>
    <x v="7"/>
    <x v="3"/>
    <x v="0"/>
    <x v="4"/>
    <x v="1311"/>
  </r>
  <r>
    <x v="1488"/>
    <x v="151"/>
    <x v="1"/>
    <x v="1"/>
    <x v="1"/>
    <x v="1"/>
    <n v="1"/>
    <n v="6800"/>
    <x v="2"/>
    <n v="4532"/>
    <x v="0"/>
    <x v="0"/>
    <x v="3"/>
    <x v="8"/>
    <x v="4"/>
    <x v="1"/>
    <x v="917"/>
    <x v="1312"/>
  </r>
  <r>
    <x v="1489"/>
    <x v="134"/>
    <x v="2"/>
    <x v="2"/>
    <x v="0"/>
    <x v="0"/>
    <n v="1"/>
    <n v="5958"/>
    <x v="1"/>
    <n v="5958"/>
    <x v="1"/>
    <x v="0"/>
    <x v="5"/>
    <x v="3"/>
    <x v="2"/>
    <x v="1"/>
    <x v="1"/>
    <x v="194"/>
  </r>
  <r>
    <x v="1490"/>
    <x v="336"/>
    <x v="12"/>
    <x v="11"/>
    <x v="0"/>
    <x v="0"/>
    <n v="1"/>
    <n v="5247"/>
    <x v="2"/>
    <n v="3498"/>
    <x v="0"/>
    <x v="0"/>
    <x v="3"/>
    <x v="6"/>
    <x v="6"/>
    <x v="0"/>
    <x v="556"/>
    <x v="813"/>
  </r>
  <r>
    <x v="1491"/>
    <x v="84"/>
    <x v="2"/>
    <x v="2"/>
    <x v="1"/>
    <x v="1"/>
    <n v="1"/>
    <n v="7923"/>
    <x v="1"/>
    <n v="7923"/>
    <x v="1"/>
    <x v="2"/>
    <x v="1"/>
    <x v="7"/>
    <x v="7"/>
    <x v="1"/>
    <x v="1"/>
    <x v="1313"/>
  </r>
  <r>
    <x v="1492"/>
    <x v="299"/>
    <x v="1"/>
    <x v="1"/>
    <x v="1"/>
    <x v="1"/>
    <n v="1"/>
    <n v="5566"/>
    <x v="1"/>
    <n v="5565"/>
    <x v="0"/>
    <x v="0"/>
    <x v="3"/>
    <x v="11"/>
    <x v="8"/>
    <x v="0"/>
    <x v="2"/>
    <x v="1314"/>
  </r>
  <r>
    <x v="1493"/>
    <x v="340"/>
    <x v="6"/>
    <x v="6"/>
    <x v="1"/>
    <x v="1"/>
    <n v="1"/>
    <n v="10711"/>
    <x v="2"/>
    <n v="7140"/>
    <x v="0"/>
    <x v="0"/>
    <x v="2"/>
    <x v="13"/>
    <x v="1"/>
    <x v="1"/>
    <x v="918"/>
    <x v="1315"/>
  </r>
  <r>
    <x v="1494"/>
    <x v="44"/>
    <x v="13"/>
    <x v="9"/>
    <x v="1"/>
    <x v="1"/>
    <n v="1"/>
    <n v="3596"/>
    <x v="1"/>
    <n v="3594"/>
    <x v="0"/>
    <x v="0"/>
    <x v="1"/>
    <x v="7"/>
    <x v="1"/>
    <x v="1"/>
    <x v="4"/>
    <x v="1316"/>
  </r>
  <r>
    <x v="1495"/>
    <x v="324"/>
    <x v="5"/>
    <x v="5"/>
    <x v="0"/>
    <x v="0"/>
    <n v="1"/>
    <n v="3667"/>
    <x v="1"/>
    <n v="3666"/>
    <x v="0"/>
    <x v="2"/>
    <x v="5"/>
    <x v="8"/>
    <x v="1"/>
    <x v="0"/>
    <x v="2"/>
    <x v="1317"/>
  </r>
  <r>
    <x v="1496"/>
    <x v="340"/>
    <x v="2"/>
    <x v="2"/>
    <x v="1"/>
    <x v="1"/>
    <n v="1"/>
    <n v="7346"/>
    <x v="1"/>
    <n v="7344"/>
    <x v="0"/>
    <x v="1"/>
    <x v="4"/>
    <x v="12"/>
    <x v="7"/>
    <x v="1"/>
    <x v="4"/>
    <x v="1318"/>
  </r>
  <r>
    <x v="1497"/>
    <x v="231"/>
    <x v="13"/>
    <x v="9"/>
    <x v="0"/>
    <x v="0"/>
    <n v="1"/>
    <n v="3056"/>
    <x v="2"/>
    <n v="2036"/>
    <x v="0"/>
    <x v="1"/>
    <x v="1"/>
    <x v="8"/>
    <x v="8"/>
    <x v="0"/>
    <x v="919"/>
    <x v="1319"/>
  </r>
  <r>
    <x v="1498"/>
    <x v="32"/>
    <x v="10"/>
    <x v="9"/>
    <x v="0"/>
    <x v="0"/>
    <n v="1"/>
    <n v="4633"/>
    <x v="2"/>
    <n v="3088"/>
    <x v="0"/>
    <x v="2"/>
    <x v="2"/>
    <x v="12"/>
    <x v="3"/>
    <x v="1"/>
    <x v="920"/>
    <x v="1320"/>
  </r>
  <r>
    <x v="1499"/>
    <x v="244"/>
    <x v="13"/>
    <x v="9"/>
    <x v="0"/>
    <x v="0"/>
    <n v="1"/>
    <n v="3258"/>
    <x v="0"/>
    <n v="1086"/>
    <x v="0"/>
    <x v="1"/>
    <x v="2"/>
    <x v="13"/>
    <x v="3"/>
    <x v="0"/>
    <x v="921"/>
    <x v="1321"/>
  </r>
  <r>
    <x v="1500"/>
    <x v="106"/>
    <x v="7"/>
    <x v="6"/>
    <x v="0"/>
    <x v="0"/>
    <n v="1"/>
    <n v="8491"/>
    <x v="1"/>
    <n v="8490"/>
    <x v="0"/>
    <x v="2"/>
    <x v="2"/>
    <x v="6"/>
    <x v="2"/>
    <x v="0"/>
    <x v="2"/>
    <x v="1322"/>
  </r>
  <r>
    <x v="1501"/>
    <x v="245"/>
    <x v="0"/>
    <x v="0"/>
    <x v="0"/>
    <x v="0"/>
    <n v="1"/>
    <n v="5667"/>
    <x v="1"/>
    <n v="5667"/>
    <x v="1"/>
    <x v="0"/>
    <x v="5"/>
    <x v="5"/>
    <x v="1"/>
    <x v="1"/>
    <x v="1"/>
    <x v="1323"/>
  </r>
  <r>
    <x v="1502"/>
    <x v="37"/>
    <x v="5"/>
    <x v="5"/>
    <x v="1"/>
    <x v="1"/>
    <n v="1"/>
    <n v="5757"/>
    <x v="1"/>
    <n v="5757"/>
    <x v="1"/>
    <x v="2"/>
    <x v="5"/>
    <x v="13"/>
    <x v="3"/>
    <x v="0"/>
    <x v="1"/>
    <x v="409"/>
  </r>
  <r>
    <x v="1503"/>
    <x v="201"/>
    <x v="5"/>
    <x v="5"/>
    <x v="1"/>
    <x v="1"/>
    <n v="1"/>
    <n v="5967"/>
    <x v="0"/>
    <n v="1989"/>
    <x v="0"/>
    <x v="1"/>
    <x v="3"/>
    <x v="14"/>
    <x v="2"/>
    <x v="0"/>
    <x v="922"/>
    <x v="1324"/>
  </r>
  <r>
    <x v="1504"/>
    <x v="160"/>
    <x v="5"/>
    <x v="5"/>
    <x v="1"/>
    <x v="1"/>
    <n v="1"/>
    <n v="4865"/>
    <x v="2"/>
    <n v="3242"/>
    <x v="0"/>
    <x v="2"/>
    <x v="0"/>
    <x v="2"/>
    <x v="4"/>
    <x v="0"/>
    <x v="923"/>
    <x v="1325"/>
  </r>
  <r>
    <x v="1505"/>
    <x v="301"/>
    <x v="5"/>
    <x v="5"/>
    <x v="1"/>
    <x v="1"/>
    <n v="1"/>
    <n v="5471"/>
    <x v="2"/>
    <n v="3646"/>
    <x v="0"/>
    <x v="0"/>
    <x v="3"/>
    <x v="0"/>
    <x v="5"/>
    <x v="1"/>
    <x v="924"/>
    <x v="680"/>
  </r>
  <r>
    <x v="1506"/>
    <x v="246"/>
    <x v="7"/>
    <x v="6"/>
    <x v="1"/>
    <x v="1"/>
    <n v="1"/>
    <n v="10910"/>
    <x v="0"/>
    <n v="3636"/>
    <x v="0"/>
    <x v="2"/>
    <x v="2"/>
    <x v="8"/>
    <x v="8"/>
    <x v="0"/>
    <x v="925"/>
    <x v="1326"/>
  </r>
  <r>
    <x v="1507"/>
    <x v="335"/>
    <x v="6"/>
    <x v="6"/>
    <x v="1"/>
    <x v="1"/>
    <n v="1"/>
    <n v="10894"/>
    <x v="1"/>
    <n v="10893"/>
    <x v="0"/>
    <x v="1"/>
    <x v="2"/>
    <x v="6"/>
    <x v="5"/>
    <x v="0"/>
    <x v="2"/>
    <x v="1327"/>
  </r>
  <r>
    <x v="1508"/>
    <x v="13"/>
    <x v="13"/>
    <x v="9"/>
    <x v="0"/>
    <x v="0"/>
    <n v="1"/>
    <n v="4616"/>
    <x v="2"/>
    <n v="3076"/>
    <x v="0"/>
    <x v="0"/>
    <x v="4"/>
    <x v="13"/>
    <x v="9"/>
    <x v="0"/>
    <x v="926"/>
    <x v="1328"/>
  </r>
  <r>
    <x v="1509"/>
    <x v="294"/>
    <x v="5"/>
    <x v="5"/>
    <x v="0"/>
    <x v="0"/>
    <n v="1"/>
    <n v="5493"/>
    <x v="0"/>
    <n v="1831"/>
    <x v="0"/>
    <x v="1"/>
    <x v="1"/>
    <x v="10"/>
    <x v="6"/>
    <x v="1"/>
    <x v="927"/>
    <x v="1329"/>
  </r>
  <r>
    <x v="1510"/>
    <x v="236"/>
    <x v="5"/>
    <x v="5"/>
    <x v="1"/>
    <x v="1"/>
    <n v="1"/>
    <n v="4367"/>
    <x v="1"/>
    <n v="4365"/>
    <x v="0"/>
    <x v="0"/>
    <x v="4"/>
    <x v="3"/>
    <x v="4"/>
    <x v="0"/>
    <x v="4"/>
    <x v="1330"/>
  </r>
  <r>
    <x v="1511"/>
    <x v="275"/>
    <x v="6"/>
    <x v="6"/>
    <x v="1"/>
    <x v="1"/>
    <n v="1"/>
    <n v="9345"/>
    <x v="0"/>
    <n v="3115"/>
    <x v="0"/>
    <x v="2"/>
    <x v="0"/>
    <x v="1"/>
    <x v="9"/>
    <x v="0"/>
    <x v="928"/>
    <x v="1331"/>
  </r>
  <r>
    <x v="1512"/>
    <x v="16"/>
    <x v="10"/>
    <x v="9"/>
    <x v="1"/>
    <x v="1"/>
    <n v="1"/>
    <n v="6708"/>
    <x v="2"/>
    <n v="4472"/>
    <x v="0"/>
    <x v="2"/>
    <x v="2"/>
    <x v="10"/>
    <x v="4"/>
    <x v="1"/>
    <x v="929"/>
    <x v="1332"/>
  </r>
  <r>
    <x v="1513"/>
    <x v="88"/>
    <x v="5"/>
    <x v="5"/>
    <x v="0"/>
    <x v="0"/>
    <n v="1"/>
    <n v="3646"/>
    <x v="2"/>
    <n v="2430"/>
    <x v="0"/>
    <x v="1"/>
    <x v="0"/>
    <x v="5"/>
    <x v="3"/>
    <x v="1"/>
    <x v="930"/>
    <x v="1333"/>
  </r>
  <r>
    <x v="1514"/>
    <x v="65"/>
    <x v="10"/>
    <x v="9"/>
    <x v="1"/>
    <x v="1"/>
    <n v="1"/>
    <n v="6889"/>
    <x v="1"/>
    <n v="6888"/>
    <x v="0"/>
    <x v="0"/>
    <x v="4"/>
    <x v="6"/>
    <x v="1"/>
    <x v="0"/>
    <x v="2"/>
    <x v="503"/>
  </r>
  <r>
    <x v="1515"/>
    <x v="15"/>
    <x v="1"/>
    <x v="1"/>
    <x v="0"/>
    <x v="0"/>
    <n v="1"/>
    <n v="5805"/>
    <x v="0"/>
    <n v="1935"/>
    <x v="0"/>
    <x v="2"/>
    <x v="4"/>
    <x v="14"/>
    <x v="3"/>
    <x v="1"/>
    <x v="802"/>
    <x v="1144"/>
  </r>
  <r>
    <x v="1516"/>
    <x v="316"/>
    <x v="10"/>
    <x v="9"/>
    <x v="0"/>
    <x v="0"/>
    <n v="1"/>
    <n v="6369"/>
    <x v="2"/>
    <n v="4246"/>
    <x v="0"/>
    <x v="0"/>
    <x v="2"/>
    <x v="12"/>
    <x v="0"/>
    <x v="1"/>
    <x v="931"/>
    <x v="441"/>
  </r>
  <r>
    <x v="1517"/>
    <x v="340"/>
    <x v="6"/>
    <x v="6"/>
    <x v="1"/>
    <x v="1"/>
    <n v="1"/>
    <n v="9344"/>
    <x v="2"/>
    <n v="6228"/>
    <x v="0"/>
    <x v="2"/>
    <x v="1"/>
    <x v="8"/>
    <x v="8"/>
    <x v="1"/>
    <x v="932"/>
    <x v="1334"/>
  </r>
  <r>
    <x v="1518"/>
    <x v="282"/>
    <x v="8"/>
    <x v="7"/>
    <x v="1"/>
    <x v="1"/>
    <n v="1"/>
    <n v="14162"/>
    <x v="1"/>
    <n v="14160"/>
    <x v="0"/>
    <x v="2"/>
    <x v="4"/>
    <x v="11"/>
    <x v="9"/>
    <x v="1"/>
    <x v="4"/>
    <x v="1335"/>
  </r>
  <r>
    <x v="1519"/>
    <x v="317"/>
    <x v="10"/>
    <x v="9"/>
    <x v="0"/>
    <x v="0"/>
    <n v="1"/>
    <n v="5616"/>
    <x v="2"/>
    <n v="3744"/>
    <x v="0"/>
    <x v="2"/>
    <x v="2"/>
    <x v="0"/>
    <x v="8"/>
    <x v="1"/>
    <x v="933"/>
    <x v="1336"/>
  </r>
  <r>
    <x v="1520"/>
    <x v="211"/>
    <x v="10"/>
    <x v="9"/>
    <x v="0"/>
    <x v="0"/>
    <n v="1"/>
    <n v="6306"/>
    <x v="0"/>
    <n v="2102"/>
    <x v="0"/>
    <x v="0"/>
    <x v="4"/>
    <x v="9"/>
    <x v="7"/>
    <x v="0"/>
    <x v="934"/>
    <x v="1337"/>
  </r>
  <r>
    <x v="1521"/>
    <x v="97"/>
    <x v="5"/>
    <x v="5"/>
    <x v="0"/>
    <x v="0"/>
    <n v="1"/>
    <n v="3893"/>
    <x v="0"/>
    <n v="1297"/>
    <x v="0"/>
    <x v="2"/>
    <x v="2"/>
    <x v="13"/>
    <x v="6"/>
    <x v="1"/>
    <x v="935"/>
    <x v="1338"/>
  </r>
  <r>
    <x v="1522"/>
    <x v="200"/>
    <x v="7"/>
    <x v="6"/>
    <x v="0"/>
    <x v="0"/>
    <n v="1"/>
    <n v="8363"/>
    <x v="2"/>
    <n v="5574"/>
    <x v="0"/>
    <x v="1"/>
    <x v="0"/>
    <x v="9"/>
    <x v="3"/>
    <x v="0"/>
    <x v="936"/>
    <x v="977"/>
  </r>
  <r>
    <x v="1523"/>
    <x v="95"/>
    <x v="2"/>
    <x v="2"/>
    <x v="1"/>
    <x v="1"/>
    <n v="1"/>
    <n v="7671"/>
    <x v="1"/>
    <n v="7671"/>
    <x v="1"/>
    <x v="2"/>
    <x v="5"/>
    <x v="2"/>
    <x v="4"/>
    <x v="0"/>
    <x v="1"/>
    <x v="1339"/>
  </r>
  <r>
    <x v="1524"/>
    <x v="206"/>
    <x v="9"/>
    <x v="8"/>
    <x v="0"/>
    <x v="0"/>
    <n v="1"/>
    <n v="12892"/>
    <x v="2"/>
    <n v="8594"/>
    <x v="0"/>
    <x v="2"/>
    <x v="0"/>
    <x v="12"/>
    <x v="0"/>
    <x v="0"/>
    <x v="937"/>
    <x v="1340"/>
  </r>
  <r>
    <x v="1525"/>
    <x v="105"/>
    <x v="2"/>
    <x v="2"/>
    <x v="1"/>
    <x v="1"/>
    <n v="1"/>
    <n v="6671"/>
    <x v="1"/>
    <n v="6669"/>
    <x v="0"/>
    <x v="2"/>
    <x v="2"/>
    <x v="7"/>
    <x v="6"/>
    <x v="1"/>
    <x v="4"/>
    <x v="1341"/>
  </r>
  <r>
    <x v="1526"/>
    <x v="242"/>
    <x v="4"/>
    <x v="4"/>
    <x v="0"/>
    <x v="0"/>
    <n v="1"/>
    <n v="4976"/>
    <x v="1"/>
    <n v="4974"/>
    <x v="0"/>
    <x v="1"/>
    <x v="1"/>
    <x v="1"/>
    <x v="7"/>
    <x v="1"/>
    <x v="4"/>
    <x v="1342"/>
  </r>
  <r>
    <x v="1527"/>
    <x v="248"/>
    <x v="3"/>
    <x v="3"/>
    <x v="1"/>
    <x v="1"/>
    <n v="1"/>
    <n v="4468"/>
    <x v="1"/>
    <n v="4467"/>
    <x v="0"/>
    <x v="2"/>
    <x v="2"/>
    <x v="13"/>
    <x v="6"/>
    <x v="0"/>
    <x v="2"/>
    <x v="1161"/>
  </r>
  <r>
    <x v="1528"/>
    <x v="341"/>
    <x v="12"/>
    <x v="11"/>
    <x v="0"/>
    <x v="0"/>
    <n v="1"/>
    <n v="5581"/>
    <x v="2"/>
    <n v="3720"/>
    <x v="0"/>
    <x v="2"/>
    <x v="3"/>
    <x v="13"/>
    <x v="6"/>
    <x v="1"/>
    <x v="938"/>
    <x v="1343"/>
  </r>
  <r>
    <x v="1529"/>
    <x v="157"/>
    <x v="3"/>
    <x v="3"/>
    <x v="1"/>
    <x v="1"/>
    <n v="1"/>
    <n v="6935"/>
    <x v="1"/>
    <n v="6933"/>
    <x v="0"/>
    <x v="2"/>
    <x v="1"/>
    <x v="6"/>
    <x v="5"/>
    <x v="0"/>
    <x v="4"/>
    <x v="1344"/>
  </r>
  <r>
    <x v="1530"/>
    <x v="74"/>
    <x v="11"/>
    <x v="10"/>
    <x v="0"/>
    <x v="0"/>
    <n v="1"/>
    <n v="5487"/>
    <x v="2"/>
    <n v="3658"/>
    <x v="0"/>
    <x v="2"/>
    <x v="1"/>
    <x v="14"/>
    <x v="4"/>
    <x v="0"/>
    <x v="939"/>
    <x v="1345"/>
  </r>
  <r>
    <x v="1531"/>
    <x v="229"/>
    <x v="0"/>
    <x v="0"/>
    <x v="0"/>
    <x v="0"/>
    <n v="1"/>
    <n v="5432"/>
    <x v="2"/>
    <n v="3620"/>
    <x v="0"/>
    <x v="1"/>
    <x v="2"/>
    <x v="14"/>
    <x v="8"/>
    <x v="0"/>
    <x v="940"/>
    <x v="1346"/>
  </r>
  <r>
    <x v="1532"/>
    <x v="336"/>
    <x v="5"/>
    <x v="5"/>
    <x v="0"/>
    <x v="0"/>
    <n v="1"/>
    <n v="4577"/>
    <x v="1"/>
    <n v="4575"/>
    <x v="0"/>
    <x v="2"/>
    <x v="5"/>
    <x v="3"/>
    <x v="5"/>
    <x v="0"/>
    <x v="4"/>
    <x v="1347"/>
  </r>
  <r>
    <x v="1533"/>
    <x v="56"/>
    <x v="13"/>
    <x v="9"/>
    <x v="0"/>
    <x v="0"/>
    <n v="1"/>
    <n v="4354"/>
    <x v="2"/>
    <n v="2902"/>
    <x v="0"/>
    <x v="1"/>
    <x v="0"/>
    <x v="1"/>
    <x v="8"/>
    <x v="0"/>
    <x v="941"/>
    <x v="1348"/>
  </r>
  <r>
    <x v="1534"/>
    <x v="88"/>
    <x v="9"/>
    <x v="8"/>
    <x v="1"/>
    <x v="1"/>
    <n v="1"/>
    <n v="10012"/>
    <x v="2"/>
    <n v="6674"/>
    <x v="0"/>
    <x v="0"/>
    <x v="3"/>
    <x v="8"/>
    <x v="0"/>
    <x v="1"/>
    <x v="942"/>
    <x v="1349"/>
  </r>
  <r>
    <x v="1535"/>
    <x v="195"/>
    <x v="13"/>
    <x v="9"/>
    <x v="1"/>
    <x v="1"/>
    <n v="1"/>
    <n v="3683"/>
    <x v="2"/>
    <n v="2454"/>
    <x v="0"/>
    <x v="2"/>
    <x v="4"/>
    <x v="2"/>
    <x v="9"/>
    <x v="0"/>
    <x v="943"/>
    <x v="1350"/>
  </r>
  <r>
    <x v="1536"/>
    <x v="99"/>
    <x v="5"/>
    <x v="5"/>
    <x v="1"/>
    <x v="1"/>
    <n v="1"/>
    <n v="3700"/>
    <x v="0"/>
    <n v="1233"/>
    <x v="0"/>
    <x v="0"/>
    <x v="5"/>
    <x v="4"/>
    <x v="6"/>
    <x v="0"/>
    <x v="944"/>
    <x v="1351"/>
  </r>
  <r>
    <x v="1537"/>
    <x v="285"/>
    <x v="1"/>
    <x v="1"/>
    <x v="0"/>
    <x v="0"/>
    <n v="1"/>
    <n v="5070"/>
    <x v="2"/>
    <n v="3380"/>
    <x v="0"/>
    <x v="2"/>
    <x v="4"/>
    <x v="6"/>
    <x v="6"/>
    <x v="1"/>
    <x v="945"/>
    <x v="1352"/>
  </r>
  <r>
    <x v="1538"/>
    <x v="216"/>
    <x v="3"/>
    <x v="3"/>
    <x v="1"/>
    <x v="1"/>
    <n v="1"/>
    <n v="5843"/>
    <x v="2"/>
    <n v="3894"/>
    <x v="0"/>
    <x v="1"/>
    <x v="5"/>
    <x v="9"/>
    <x v="5"/>
    <x v="0"/>
    <x v="946"/>
    <x v="1080"/>
  </r>
  <r>
    <x v="1539"/>
    <x v="10"/>
    <x v="12"/>
    <x v="11"/>
    <x v="1"/>
    <x v="1"/>
    <n v="1"/>
    <n v="6078"/>
    <x v="2"/>
    <n v="4052"/>
    <x v="0"/>
    <x v="1"/>
    <x v="1"/>
    <x v="3"/>
    <x v="1"/>
    <x v="1"/>
    <x v="432"/>
    <x v="1353"/>
  </r>
  <r>
    <x v="1540"/>
    <x v="58"/>
    <x v="1"/>
    <x v="1"/>
    <x v="0"/>
    <x v="0"/>
    <n v="1"/>
    <n v="5218"/>
    <x v="0"/>
    <n v="1739"/>
    <x v="0"/>
    <x v="0"/>
    <x v="0"/>
    <x v="3"/>
    <x v="7"/>
    <x v="0"/>
    <x v="947"/>
    <x v="1354"/>
  </r>
  <r>
    <x v="1541"/>
    <x v="288"/>
    <x v="5"/>
    <x v="5"/>
    <x v="1"/>
    <x v="1"/>
    <n v="1"/>
    <n v="4794"/>
    <x v="0"/>
    <n v="1598"/>
    <x v="0"/>
    <x v="2"/>
    <x v="0"/>
    <x v="1"/>
    <x v="5"/>
    <x v="1"/>
    <x v="230"/>
    <x v="346"/>
  </r>
  <r>
    <x v="1542"/>
    <x v="182"/>
    <x v="12"/>
    <x v="11"/>
    <x v="1"/>
    <x v="1"/>
    <n v="1"/>
    <n v="5380"/>
    <x v="1"/>
    <n v="5379"/>
    <x v="0"/>
    <x v="1"/>
    <x v="0"/>
    <x v="8"/>
    <x v="1"/>
    <x v="0"/>
    <x v="2"/>
    <x v="1355"/>
  </r>
  <r>
    <x v="1543"/>
    <x v="243"/>
    <x v="9"/>
    <x v="8"/>
    <x v="0"/>
    <x v="0"/>
    <n v="1"/>
    <n v="11697"/>
    <x v="1"/>
    <n v="11697"/>
    <x v="1"/>
    <x v="1"/>
    <x v="4"/>
    <x v="8"/>
    <x v="4"/>
    <x v="1"/>
    <x v="1"/>
    <x v="1356"/>
  </r>
  <r>
    <x v="1544"/>
    <x v="196"/>
    <x v="4"/>
    <x v="4"/>
    <x v="0"/>
    <x v="0"/>
    <n v="1"/>
    <n v="5631"/>
    <x v="2"/>
    <n v="3754"/>
    <x v="0"/>
    <x v="2"/>
    <x v="2"/>
    <x v="1"/>
    <x v="8"/>
    <x v="1"/>
    <x v="948"/>
    <x v="1278"/>
  </r>
  <r>
    <x v="1545"/>
    <x v="67"/>
    <x v="10"/>
    <x v="9"/>
    <x v="1"/>
    <x v="1"/>
    <n v="1"/>
    <n v="5571"/>
    <x v="2"/>
    <n v="3714"/>
    <x v="0"/>
    <x v="1"/>
    <x v="2"/>
    <x v="0"/>
    <x v="1"/>
    <x v="0"/>
    <x v="949"/>
    <x v="1357"/>
  </r>
  <r>
    <x v="1546"/>
    <x v="38"/>
    <x v="3"/>
    <x v="3"/>
    <x v="1"/>
    <x v="1"/>
    <n v="1"/>
    <n v="5689"/>
    <x v="2"/>
    <n v="3792"/>
    <x v="0"/>
    <x v="1"/>
    <x v="0"/>
    <x v="0"/>
    <x v="8"/>
    <x v="1"/>
    <x v="631"/>
    <x v="1358"/>
  </r>
  <r>
    <x v="1547"/>
    <x v="344"/>
    <x v="3"/>
    <x v="3"/>
    <x v="1"/>
    <x v="1"/>
    <n v="1"/>
    <n v="6843"/>
    <x v="2"/>
    <n v="4562"/>
    <x v="0"/>
    <x v="2"/>
    <x v="5"/>
    <x v="7"/>
    <x v="5"/>
    <x v="0"/>
    <x v="950"/>
    <x v="1359"/>
  </r>
  <r>
    <x v="1548"/>
    <x v="61"/>
    <x v="0"/>
    <x v="0"/>
    <x v="0"/>
    <x v="0"/>
    <n v="1"/>
    <n v="5235"/>
    <x v="2"/>
    <n v="3490"/>
    <x v="0"/>
    <x v="1"/>
    <x v="2"/>
    <x v="1"/>
    <x v="6"/>
    <x v="0"/>
    <x v="951"/>
    <x v="1360"/>
  </r>
  <r>
    <x v="1549"/>
    <x v="108"/>
    <x v="4"/>
    <x v="4"/>
    <x v="0"/>
    <x v="0"/>
    <n v="1"/>
    <n v="4075"/>
    <x v="1"/>
    <n v="4074"/>
    <x v="0"/>
    <x v="1"/>
    <x v="0"/>
    <x v="11"/>
    <x v="5"/>
    <x v="1"/>
    <x v="2"/>
    <x v="1361"/>
  </r>
  <r>
    <x v="1550"/>
    <x v="24"/>
    <x v="4"/>
    <x v="4"/>
    <x v="0"/>
    <x v="0"/>
    <n v="1"/>
    <n v="5110"/>
    <x v="2"/>
    <n v="3406"/>
    <x v="0"/>
    <x v="1"/>
    <x v="5"/>
    <x v="0"/>
    <x v="1"/>
    <x v="0"/>
    <x v="952"/>
    <x v="1362"/>
  </r>
  <r>
    <x v="1551"/>
    <x v="261"/>
    <x v="11"/>
    <x v="10"/>
    <x v="0"/>
    <x v="0"/>
    <n v="1"/>
    <n v="4977"/>
    <x v="2"/>
    <n v="3318"/>
    <x v="0"/>
    <x v="1"/>
    <x v="0"/>
    <x v="4"/>
    <x v="8"/>
    <x v="0"/>
    <x v="583"/>
    <x v="1363"/>
  </r>
  <r>
    <x v="1552"/>
    <x v="53"/>
    <x v="0"/>
    <x v="0"/>
    <x v="1"/>
    <x v="1"/>
    <n v="1"/>
    <n v="4880"/>
    <x v="0"/>
    <n v="1626"/>
    <x v="0"/>
    <x v="2"/>
    <x v="0"/>
    <x v="9"/>
    <x v="8"/>
    <x v="1"/>
    <x v="651"/>
    <x v="940"/>
  </r>
  <r>
    <x v="1553"/>
    <x v="52"/>
    <x v="5"/>
    <x v="5"/>
    <x v="1"/>
    <x v="1"/>
    <n v="1"/>
    <n v="4809"/>
    <x v="2"/>
    <n v="3206"/>
    <x v="0"/>
    <x v="0"/>
    <x v="1"/>
    <x v="13"/>
    <x v="5"/>
    <x v="0"/>
    <x v="543"/>
    <x v="1364"/>
  </r>
  <r>
    <x v="1554"/>
    <x v="263"/>
    <x v="9"/>
    <x v="8"/>
    <x v="1"/>
    <x v="1"/>
    <n v="1"/>
    <n v="12652"/>
    <x v="1"/>
    <n v="12651"/>
    <x v="0"/>
    <x v="0"/>
    <x v="5"/>
    <x v="1"/>
    <x v="8"/>
    <x v="0"/>
    <x v="2"/>
    <x v="1365"/>
  </r>
  <r>
    <x v="1555"/>
    <x v="344"/>
    <x v="5"/>
    <x v="5"/>
    <x v="0"/>
    <x v="0"/>
    <n v="1"/>
    <n v="4342"/>
    <x v="0"/>
    <n v="1447"/>
    <x v="0"/>
    <x v="2"/>
    <x v="5"/>
    <x v="12"/>
    <x v="9"/>
    <x v="0"/>
    <x v="953"/>
    <x v="1366"/>
  </r>
  <r>
    <x v="1556"/>
    <x v="296"/>
    <x v="5"/>
    <x v="5"/>
    <x v="0"/>
    <x v="0"/>
    <n v="1"/>
    <n v="4758"/>
    <x v="1"/>
    <n v="4758"/>
    <x v="1"/>
    <x v="0"/>
    <x v="3"/>
    <x v="14"/>
    <x v="7"/>
    <x v="0"/>
    <x v="1"/>
    <x v="1367"/>
  </r>
  <r>
    <x v="1557"/>
    <x v="103"/>
    <x v="9"/>
    <x v="8"/>
    <x v="1"/>
    <x v="1"/>
    <n v="1"/>
    <n v="8274"/>
    <x v="1"/>
    <n v="8274"/>
    <x v="1"/>
    <x v="2"/>
    <x v="1"/>
    <x v="0"/>
    <x v="4"/>
    <x v="0"/>
    <x v="1"/>
    <x v="1368"/>
  </r>
  <r>
    <x v="1558"/>
    <x v="89"/>
    <x v="7"/>
    <x v="6"/>
    <x v="1"/>
    <x v="1"/>
    <n v="1"/>
    <n v="11379"/>
    <x v="2"/>
    <n v="7586"/>
    <x v="0"/>
    <x v="1"/>
    <x v="5"/>
    <x v="4"/>
    <x v="1"/>
    <x v="0"/>
    <x v="28"/>
    <x v="1281"/>
  </r>
  <r>
    <x v="1559"/>
    <x v="288"/>
    <x v="2"/>
    <x v="2"/>
    <x v="1"/>
    <x v="1"/>
    <n v="1"/>
    <n v="5153"/>
    <x v="1"/>
    <n v="5151"/>
    <x v="0"/>
    <x v="0"/>
    <x v="1"/>
    <x v="14"/>
    <x v="2"/>
    <x v="0"/>
    <x v="4"/>
    <x v="1369"/>
  </r>
  <r>
    <x v="1560"/>
    <x v="93"/>
    <x v="7"/>
    <x v="6"/>
    <x v="0"/>
    <x v="0"/>
    <n v="1"/>
    <n v="9117"/>
    <x v="0"/>
    <n v="3039"/>
    <x v="0"/>
    <x v="1"/>
    <x v="0"/>
    <x v="10"/>
    <x v="6"/>
    <x v="0"/>
    <x v="954"/>
    <x v="1370"/>
  </r>
  <r>
    <x v="1561"/>
    <x v="223"/>
    <x v="10"/>
    <x v="9"/>
    <x v="0"/>
    <x v="0"/>
    <n v="1"/>
    <n v="7594"/>
    <x v="0"/>
    <n v="2531"/>
    <x v="0"/>
    <x v="0"/>
    <x v="0"/>
    <x v="1"/>
    <x v="4"/>
    <x v="0"/>
    <x v="955"/>
    <x v="1371"/>
  </r>
  <r>
    <x v="1562"/>
    <x v="250"/>
    <x v="4"/>
    <x v="4"/>
    <x v="1"/>
    <x v="1"/>
    <n v="1"/>
    <n v="5717"/>
    <x v="2"/>
    <n v="3810"/>
    <x v="0"/>
    <x v="1"/>
    <x v="1"/>
    <x v="1"/>
    <x v="7"/>
    <x v="1"/>
    <x v="956"/>
    <x v="24"/>
  </r>
  <r>
    <x v="1563"/>
    <x v="147"/>
    <x v="8"/>
    <x v="7"/>
    <x v="1"/>
    <x v="1"/>
    <n v="1"/>
    <n v="13793"/>
    <x v="1"/>
    <n v="13791"/>
    <x v="0"/>
    <x v="1"/>
    <x v="4"/>
    <x v="3"/>
    <x v="7"/>
    <x v="0"/>
    <x v="4"/>
    <x v="1372"/>
  </r>
  <r>
    <x v="1564"/>
    <x v="92"/>
    <x v="6"/>
    <x v="6"/>
    <x v="1"/>
    <x v="1"/>
    <n v="1"/>
    <n v="11381"/>
    <x v="0"/>
    <n v="3793"/>
    <x v="0"/>
    <x v="2"/>
    <x v="3"/>
    <x v="13"/>
    <x v="6"/>
    <x v="1"/>
    <x v="957"/>
    <x v="1373"/>
  </r>
  <r>
    <x v="1565"/>
    <x v="296"/>
    <x v="8"/>
    <x v="7"/>
    <x v="1"/>
    <x v="1"/>
    <n v="1"/>
    <n v="10652"/>
    <x v="1"/>
    <n v="10650"/>
    <x v="0"/>
    <x v="2"/>
    <x v="1"/>
    <x v="2"/>
    <x v="9"/>
    <x v="0"/>
    <x v="4"/>
    <x v="1374"/>
  </r>
  <r>
    <x v="1566"/>
    <x v="223"/>
    <x v="11"/>
    <x v="10"/>
    <x v="0"/>
    <x v="0"/>
    <n v="1"/>
    <n v="5532"/>
    <x v="0"/>
    <n v="1844"/>
    <x v="0"/>
    <x v="0"/>
    <x v="0"/>
    <x v="7"/>
    <x v="4"/>
    <x v="1"/>
    <x v="165"/>
    <x v="1375"/>
  </r>
  <r>
    <x v="1567"/>
    <x v="262"/>
    <x v="3"/>
    <x v="3"/>
    <x v="0"/>
    <x v="0"/>
    <n v="1"/>
    <n v="7494"/>
    <x v="2"/>
    <n v="4996"/>
    <x v="0"/>
    <x v="0"/>
    <x v="2"/>
    <x v="6"/>
    <x v="5"/>
    <x v="0"/>
    <x v="958"/>
    <x v="1376"/>
  </r>
  <r>
    <x v="1568"/>
    <x v="149"/>
    <x v="1"/>
    <x v="1"/>
    <x v="1"/>
    <x v="1"/>
    <n v="1"/>
    <n v="6357"/>
    <x v="0"/>
    <n v="2119"/>
    <x v="0"/>
    <x v="2"/>
    <x v="3"/>
    <x v="13"/>
    <x v="1"/>
    <x v="0"/>
    <x v="959"/>
    <x v="1377"/>
  </r>
  <r>
    <x v="1569"/>
    <x v="99"/>
    <x v="12"/>
    <x v="11"/>
    <x v="0"/>
    <x v="0"/>
    <n v="1"/>
    <n v="6958"/>
    <x v="0"/>
    <n v="2319"/>
    <x v="0"/>
    <x v="1"/>
    <x v="1"/>
    <x v="1"/>
    <x v="2"/>
    <x v="1"/>
    <x v="960"/>
    <x v="1378"/>
  </r>
  <r>
    <x v="1570"/>
    <x v="90"/>
    <x v="0"/>
    <x v="0"/>
    <x v="0"/>
    <x v="0"/>
    <n v="1"/>
    <n v="5380"/>
    <x v="2"/>
    <n v="3586"/>
    <x v="0"/>
    <x v="0"/>
    <x v="2"/>
    <x v="1"/>
    <x v="3"/>
    <x v="1"/>
    <x v="961"/>
    <x v="686"/>
  </r>
  <r>
    <x v="1571"/>
    <x v="181"/>
    <x v="7"/>
    <x v="6"/>
    <x v="0"/>
    <x v="0"/>
    <n v="1"/>
    <n v="11890"/>
    <x v="0"/>
    <n v="3963"/>
    <x v="0"/>
    <x v="2"/>
    <x v="2"/>
    <x v="13"/>
    <x v="4"/>
    <x v="0"/>
    <x v="962"/>
    <x v="1379"/>
  </r>
  <r>
    <x v="1572"/>
    <x v="160"/>
    <x v="8"/>
    <x v="7"/>
    <x v="1"/>
    <x v="1"/>
    <n v="1"/>
    <n v="8081"/>
    <x v="2"/>
    <n v="5386"/>
    <x v="0"/>
    <x v="0"/>
    <x v="1"/>
    <x v="5"/>
    <x v="5"/>
    <x v="0"/>
    <x v="963"/>
    <x v="1380"/>
  </r>
  <r>
    <x v="1573"/>
    <x v="44"/>
    <x v="7"/>
    <x v="6"/>
    <x v="1"/>
    <x v="1"/>
    <n v="1"/>
    <n v="8012"/>
    <x v="2"/>
    <n v="5340"/>
    <x v="0"/>
    <x v="2"/>
    <x v="1"/>
    <x v="12"/>
    <x v="3"/>
    <x v="1"/>
    <x v="964"/>
    <x v="330"/>
  </r>
  <r>
    <x v="1574"/>
    <x v="297"/>
    <x v="10"/>
    <x v="9"/>
    <x v="0"/>
    <x v="0"/>
    <n v="1"/>
    <n v="5005"/>
    <x v="2"/>
    <n v="3336"/>
    <x v="0"/>
    <x v="1"/>
    <x v="5"/>
    <x v="7"/>
    <x v="9"/>
    <x v="1"/>
    <x v="965"/>
    <x v="1381"/>
  </r>
  <r>
    <x v="1575"/>
    <x v="288"/>
    <x v="11"/>
    <x v="10"/>
    <x v="0"/>
    <x v="0"/>
    <n v="1"/>
    <n v="4674"/>
    <x v="0"/>
    <n v="1558"/>
    <x v="0"/>
    <x v="1"/>
    <x v="1"/>
    <x v="13"/>
    <x v="1"/>
    <x v="1"/>
    <x v="932"/>
    <x v="1382"/>
  </r>
  <r>
    <x v="1576"/>
    <x v="36"/>
    <x v="12"/>
    <x v="11"/>
    <x v="1"/>
    <x v="1"/>
    <n v="1"/>
    <n v="5333"/>
    <x v="0"/>
    <n v="1777"/>
    <x v="0"/>
    <x v="1"/>
    <x v="0"/>
    <x v="8"/>
    <x v="9"/>
    <x v="0"/>
    <x v="966"/>
    <x v="785"/>
  </r>
  <r>
    <x v="1577"/>
    <x v="154"/>
    <x v="5"/>
    <x v="5"/>
    <x v="0"/>
    <x v="0"/>
    <n v="1"/>
    <n v="4360"/>
    <x v="0"/>
    <n v="1453"/>
    <x v="0"/>
    <x v="1"/>
    <x v="1"/>
    <x v="10"/>
    <x v="6"/>
    <x v="1"/>
    <x v="852"/>
    <x v="1383"/>
  </r>
  <r>
    <x v="1578"/>
    <x v="215"/>
    <x v="3"/>
    <x v="3"/>
    <x v="0"/>
    <x v="0"/>
    <n v="1"/>
    <n v="5253"/>
    <x v="0"/>
    <n v="1751"/>
    <x v="0"/>
    <x v="2"/>
    <x v="4"/>
    <x v="5"/>
    <x v="7"/>
    <x v="0"/>
    <x v="967"/>
    <x v="1384"/>
  </r>
  <r>
    <x v="1579"/>
    <x v="166"/>
    <x v="6"/>
    <x v="6"/>
    <x v="1"/>
    <x v="1"/>
    <n v="1"/>
    <n v="7740"/>
    <x v="1"/>
    <n v="7740"/>
    <x v="1"/>
    <x v="0"/>
    <x v="3"/>
    <x v="5"/>
    <x v="9"/>
    <x v="0"/>
    <x v="1"/>
    <x v="1385"/>
  </r>
  <r>
    <x v="1580"/>
    <x v="78"/>
    <x v="8"/>
    <x v="7"/>
    <x v="1"/>
    <x v="1"/>
    <n v="1"/>
    <n v="14440"/>
    <x v="1"/>
    <n v="14439"/>
    <x v="0"/>
    <x v="1"/>
    <x v="2"/>
    <x v="1"/>
    <x v="6"/>
    <x v="0"/>
    <x v="2"/>
    <x v="1386"/>
  </r>
  <r>
    <x v="1581"/>
    <x v="254"/>
    <x v="8"/>
    <x v="7"/>
    <x v="0"/>
    <x v="0"/>
    <n v="1"/>
    <n v="10168"/>
    <x v="0"/>
    <n v="3389"/>
    <x v="0"/>
    <x v="0"/>
    <x v="4"/>
    <x v="2"/>
    <x v="3"/>
    <x v="1"/>
    <x v="968"/>
    <x v="1387"/>
  </r>
  <r>
    <x v="1582"/>
    <x v="2"/>
    <x v="4"/>
    <x v="4"/>
    <x v="0"/>
    <x v="0"/>
    <n v="1"/>
    <n v="4251"/>
    <x v="0"/>
    <n v="1417"/>
    <x v="0"/>
    <x v="2"/>
    <x v="2"/>
    <x v="14"/>
    <x v="9"/>
    <x v="0"/>
    <x v="969"/>
    <x v="1388"/>
  </r>
  <r>
    <x v="1583"/>
    <x v="77"/>
    <x v="4"/>
    <x v="4"/>
    <x v="0"/>
    <x v="0"/>
    <n v="1"/>
    <n v="5593"/>
    <x v="0"/>
    <n v="1864"/>
    <x v="0"/>
    <x v="1"/>
    <x v="2"/>
    <x v="1"/>
    <x v="7"/>
    <x v="0"/>
    <x v="423"/>
    <x v="624"/>
  </r>
  <r>
    <x v="1584"/>
    <x v="318"/>
    <x v="9"/>
    <x v="8"/>
    <x v="0"/>
    <x v="0"/>
    <n v="1"/>
    <n v="11682"/>
    <x v="0"/>
    <n v="3894"/>
    <x v="0"/>
    <x v="1"/>
    <x v="3"/>
    <x v="10"/>
    <x v="1"/>
    <x v="1"/>
    <x v="970"/>
    <x v="1080"/>
  </r>
  <r>
    <x v="1585"/>
    <x v="210"/>
    <x v="3"/>
    <x v="3"/>
    <x v="0"/>
    <x v="0"/>
    <n v="1"/>
    <n v="4854"/>
    <x v="2"/>
    <n v="3236"/>
    <x v="0"/>
    <x v="1"/>
    <x v="4"/>
    <x v="12"/>
    <x v="2"/>
    <x v="1"/>
    <x v="817"/>
    <x v="1162"/>
  </r>
  <r>
    <x v="1586"/>
    <x v="104"/>
    <x v="6"/>
    <x v="6"/>
    <x v="1"/>
    <x v="1"/>
    <n v="1"/>
    <n v="10406"/>
    <x v="0"/>
    <n v="3468"/>
    <x v="0"/>
    <x v="0"/>
    <x v="1"/>
    <x v="10"/>
    <x v="6"/>
    <x v="1"/>
    <x v="971"/>
    <x v="679"/>
  </r>
  <r>
    <x v="1587"/>
    <x v="267"/>
    <x v="0"/>
    <x v="0"/>
    <x v="1"/>
    <x v="1"/>
    <n v="1"/>
    <n v="6727"/>
    <x v="2"/>
    <n v="4484"/>
    <x v="0"/>
    <x v="2"/>
    <x v="1"/>
    <x v="9"/>
    <x v="8"/>
    <x v="1"/>
    <x v="972"/>
    <x v="1389"/>
  </r>
  <r>
    <x v="1588"/>
    <x v="96"/>
    <x v="6"/>
    <x v="6"/>
    <x v="0"/>
    <x v="0"/>
    <n v="1"/>
    <n v="7082"/>
    <x v="1"/>
    <n v="7080"/>
    <x v="0"/>
    <x v="2"/>
    <x v="5"/>
    <x v="13"/>
    <x v="7"/>
    <x v="1"/>
    <x v="4"/>
    <x v="1390"/>
  </r>
  <r>
    <x v="1589"/>
    <x v="84"/>
    <x v="7"/>
    <x v="6"/>
    <x v="1"/>
    <x v="1"/>
    <n v="1"/>
    <n v="8505"/>
    <x v="0"/>
    <n v="2835"/>
    <x v="0"/>
    <x v="1"/>
    <x v="4"/>
    <x v="1"/>
    <x v="7"/>
    <x v="0"/>
    <x v="973"/>
    <x v="1391"/>
  </r>
  <r>
    <x v="1590"/>
    <x v="273"/>
    <x v="12"/>
    <x v="11"/>
    <x v="1"/>
    <x v="1"/>
    <n v="1"/>
    <n v="6521"/>
    <x v="2"/>
    <n v="4346"/>
    <x v="0"/>
    <x v="2"/>
    <x v="5"/>
    <x v="12"/>
    <x v="6"/>
    <x v="1"/>
    <x v="974"/>
    <x v="1392"/>
  </r>
  <r>
    <x v="1591"/>
    <x v="253"/>
    <x v="9"/>
    <x v="8"/>
    <x v="1"/>
    <x v="1"/>
    <n v="1"/>
    <n v="12753"/>
    <x v="2"/>
    <n v="8502"/>
    <x v="0"/>
    <x v="0"/>
    <x v="4"/>
    <x v="7"/>
    <x v="5"/>
    <x v="1"/>
    <x v="975"/>
    <x v="588"/>
  </r>
  <r>
    <x v="1592"/>
    <x v="185"/>
    <x v="9"/>
    <x v="8"/>
    <x v="1"/>
    <x v="1"/>
    <n v="1"/>
    <n v="13902"/>
    <x v="0"/>
    <n v="4634"/>
    <x v="0"/>
    <x v="0"/>
    <x v="0"/>
    <x v="14"/>
    <x v="3"/>
    <x v="1"/>
    <x v="976"/>
    <x v="1393"/>
  </r>
  <r>
    <x v="1593"/>
    <x v="359"/>
    <x v="13"/>
    <x v="9"/>
    <x v="0"/>
    <x v="0"/>
    <n v="1"/>
    <n v="4663"/>
    <x v="0"/>
    <n v="1554"/>
    <x v="0"/>
    <x v="0"/>
    <x v="2"/>
    <x v="12"/>
    <x v="3"/>
    <x v="0"/>
    <x v="977"/>
    <x v="1394"/>
  </r>
  <r>
    <x v="1594"/>
    <x v="88"/>
    <x v="8"/>
    <x v="7"/>
    <x v="0"/>
    <x v="0"/>
    <n v="1"/>
    <n v="11583"/>
    <x v="0"/>
    <n v="3861"/>
    <x v="0"/>
    <x v="1"/>
    <x v="0"/>
    <x v="5"/>
    <x v="7"/>
    <x v="0"/>
    <x v="978"/>
    <x v="1395"/>
  </r>
  <r>
    <x v="1595"/>
    <x v="252"/>
    <x v="8"/>
    <x v="7"/>
    <x v="1"/>
    <x v="1"/>
    <n v="1"/>
    <n v="11334"/>
    <x v="2"/>
    <n v="7556"/>
    <x v="0"/>
    <x v="1"/>
    <x v="5"/>
    <x v="9"/>
    <x v="6"/>
    <x v="0"/>
    <x v="191"/>
    <x v="1396"/>
  </r>
  <r>
    <x v="1596"/>
    <x v="176"/>
    <x v="3"/>
    <x v="3"/>
    <x v="0"/>
    <x v="0"/>
    <n v="1"/>
    <n v="5284"/>
    <x v="2"/>
    <n v="3522"/>
    <x v="0"/>
    <x v="1"/>
    <x v="0"/>
    <x v="5"/>
    <x v="7"/>
    <x v="0"/>
    <x v="353"/>
    <x v="94"/>
  </r>
  <r>
    <x v="1597"/>
    <x v="123"/>
    <x v="12"/>
    <x v="11"/>
    <x v="1"/>
    <x v="1"/>
    <n v="1"/>
    <n v="5929"/>
    <x v="2"/>
    <n v="3952"/>
    <x v="0"/>
    <x v="1"/>
    <x v="2"/>
    <x v="7"/>
    <x v="1"/>
    <x v="0"/>
    <x v="979"/>
    <x v="1397"/>
  </r>
  <r>
    <x v="1598"/>
    <x v="245"/>
    <x v="5"/>
    <x v="5"/>
    <x v="0"/>
    <x v="0"/>
    <n v="1"/>
    <n v="3803"/>
    <x v="1"/>
    <n v="3801"/>
    <x v="0"/>
    <x v="0"/>
    <x v="5"/>
    <x v="0"/>
    <x v="4"/>
    <x v="1"/>
    <x v="4"/>
    <x v="1398"/>
  </r>
  <r>
    <x v="1599"/>
    <x v="174"/>
    <x v="13"/>
    <x v="9"/>
    <x v="0"/>
    <x v="0"/>
    <n v="1"/>
    <n v="4023"/>
    <x v="2"/>
    <n v="2682"/>
    <x v="0"/>
    <x v="0"/>
    <x v="4"/>
    <x v="11"/>
    <x v="3"/>
    <x v="1"/>
    <x v="980"/>
    <x v="1399"/>
  </r>
  <r>
    <x v="1600"/>
    <x v="174"/>
    <x v="10"/>
    <x v="9"/>
    <x v="1"/>
    <x v="1"/>
    <n v="1"/>
    <n v="6457"/>
    <x v="1"/>
    <n v="6456"/>
    <x v="0"/>
    <x v="2"/>
    <x v="1"/>
    <x v="10"/>
    <x v="2"/>
    <x v="0"/>
    <x v="2"/>
    <x v="1028"/>
  </r>
  <r>
    <x v="1601"/>
    <x v="342"/>
    <x v="11"/>
    <x v="10"/>
    <x v="0"/>
    <x v="0"/>
    <n v="1"/>
    <n v="3626"/>
    <x v="0"/>
    <n v="1208"/>
    <x v="0"/>
    <x v="1"/>
    <x v="3"/>
    <x v="1"/>
    <x v="1"/>
    <x v="1"/>
    <x v="981"/>
    <x v="1400"/>
  </r>
  <r>
    <x v="1602"/>
    <x v="107"/>
    <x v="9"/>
    <x v="8"/>
    <x v="1"/>
    <x v="1"/>
    <n v="1"/>
    <n v="9644"/>
    <x v="2"/>
    <n v="6428"/>
    <x v="0"/>
    <x v="1"/>
    <x v="2"/>
    <x v="1"/>
    <x v="1"/>
    <x v="0"/>
    <x v="982"/>
    <x v="1401"/>
  </r>
  <r>
    <x v="1603"/>
    <x v="81"/>
    <x v="3"/>
    <x v="3"/>
    <x v="1"/>
    <x v="1"/>
    <n v="1"/>
    <n v="6817"/>
    <x v="0"/>
    <n v="2272"/>
    <x v="0"/>
    <x v="1"/>
    <x v="4"/>
    <x v="9"/>
    <x v="1"/>
    <x v="0"/>
    <x v="983"/>
    <x v="1402"/>
  </r>
  <r>
    <x v="1604"/>
    <x v="257"/>
    <x v="2"/>
    <x v="2"/>
    <x v="0"/>
    <x v="0"/>
    <n v="1"/>
    <n v="7929"/>
    <x v="0"/>
    <n v="2643"/>
    <x v="0"/>
    <x v="2"/>
    <x v="5"/>
    <x v="3"/>
    <x v="6"/>
    <x v="1"/>
    <x v="743"/>
    <x v="237"/>
  </r>
  <r>
    <x v="1605"/>
    <x v="266"/>
    <x v="0"/>
    <x v="0"/>
    <x v="1"/>
    <x v="1"/>
    <n v="1"/>
    <n v="7755"/>
    <x v="0"/>
    <n v="2585"/>
    <x v="0"/>
    <x v="1"/>
    <x v="3"/>
    <x v="7"/>
    <x v="5"/>
    <x v="0"/>
    <x v="984"/>
    <x v="1403"/>
  </r>
  <r>
    <x v="1606"/>
    <x v="178"/>
    <x v="12"/>
    <x v="11"/>
    <x v="0"/>
    <x v="0"/>
    <n v="1"/>
    <n v="7561"/>
    <x v="2"/>
    <n v="5040"/>
    <x v="0"/>
    <x v="1"/>
    <x v="5"/>
    <x v="2"/>
    <x v="4"/>
    <x v="0"/>
    <x v="985"/>
    <x v="1404"/>
  </r>
  <r>
    <x v="1607"/>
    <x v="349"/>
    <x v="6"/>
    <x v="6"/>
    <x v="1"/>
    <x v="1"/>
    <n v="1"/>
    <n v="9359"/>
    <x v="2"/>
    <n v="6238"/>
    <x v="0"/>
    <x v="0"/>
    <x v="5"/>
    <x v="6"/>
    <x v="2"/>
    <x v="0"/>
    <x v="986"/>
    <x v="1405"/>
  </r>
  <r>
    <x v="1608"/>
    <x v="29"/>
    <x v="4"/>
    <x v="4"/>
    <x v="0"/>
    <x v="0"/>
    <n v="1"/>
    <n v="5816"/>
    <x v="0"/>
    <n v="1938"/>
    <x v="0"/>
    <x v="2"/>
    <x v="5"/>
    <x v="5"/>
    <x v="0"/>
    <x v="1"/>
    <x v="528"/>
    <x v="1406"/>
  </r>
  <r>
    <x v="1609"/>
    <x v="141"/>
    <x v="6"/>
    <x v="6"/>
    <x v="1"/>
    <x v="1"/>
    <n v="1"/>
    <n v="7833"/>
    <x v="0"/>
    <n v="2611"/>
    <x v="0"/>
    <x v="2"/>
    <x v="3"/>
    <x v="7"/>
    <x v="2"/>
    <x v="1"/>
    <x v="987"/>
    <x v="1407"/>
  </r>
  <r>
    <x v="1610"/>
    <x v="1"/>
    <x v="8"/>
    <x v="7"/>
    <x v="1"/>
    <x v="1"/>
    <n v="1"/>
    <n v="12164"/>
    <x v="1"/>
    <n v="12162"/>
    <x v="0"/>
    <x v="2"/>
    <x v="4"/>
    <x v="3"/>
    <x v="4"/>
    <x v="1"/>
    <x v="4"/>
    <x v="1408"/>
  </r>
  <r>
    <x v="1611"/>
    <x v="131"/>
    <x v="7"/>
    <x v="6"/>
    <x v="0"/>
    <x v="0"/>
    <n v="1"/>
    <n v="8845"/>
    <x v="2"/>
    <n v="5896"/>
    <x v="0"/>
    <x v="2"/>
    <x v="0"/>
    <x v="2"/>
    <x v="5"/>
    <x v="0"/>
    <x v="988"/>
    <x v="394"/>
  </r>
  <r>
    <x v="1612"/>
    <x v="65"/>
    <x v="1"/>
    <x v="1"/>
    <x v="0"/>
    <x v="0"/>
    <n v="1"/>
    <n v="4676"/>
    <x v="1"/>
    <n v="4674"/>
    <x v="0"/>
    <x v="0"/>
    <x v="5"/>
    <x v="2"/>
    <x v="2"/>
    <x v="0"/>
    <x v="4"/>
    <x v="1409"/>
  </r>
  <r>
    <x v="1613"/>
    <x v="128"/>
    <x v="13"/>
    <x v="9"/>
    <x v="1"/>
    <x v="1"/>
    <n v="1"/>
    <n v="3361"/>
    <x v="0"/>
    <n v="1120"/>
    <x v="0"/>
    <x v="0"/>
    <x v="3"/>
    <x v="9"/>
    <x v="5"/>
    <x v="1"/>
    <x v="989"/>
    <x v="1410"/>
  </r>
  <r>
    <x v="1614"/>
    <x v="227"/>
    <x v="5"/>
    <x v="5"/>
    <x v="1"/>
    <x v="1"/>
    <n v="1"/>
    <n v="5851"/>
    <x v="1"/>
    <n v="5850"/>
    <x v="0"/>
    <x v="0"/>
    <x v="2"/>
    <x v="3"/>
    <x v="6"/>
    <x v="1"/>
    <x v="2"/>
    <x v="1411"/>
  </r>
  <r>
    <x v="1615"/>
    <x v="79"/>
    <x v="2"/>
    <x v="2"/>
    <x v="0"/>
    <x v="0"/>
    <n v="1"/>
    <n v="4625"/>
    <x v="2"/>
    <n v="3082"/>
    <x v="0"/>
    <x v="1"/>
    <x v="4"/>
    <x v="8"/>
    <x v="2"/>
    <x v="0"/>
    <x v="990"/>
    <x v="1412"/>
  </r>
  <r>
    <x v="1616"/>
    <x v="70"/>
    <x v="7"/>
    <x v="6"/>
    <x v="1"/>
    <x v="1"/>
    <n v="1"/>
    <n v="7093"/>
    <x v="2"/>
    <n v="4728"/>
    <x v="0"/>
    <x v="1"/>
    <x v="2"/>
    <x v="14"/>
    <x v="8"/>
    <x v="0"/>
    <x v="991"/>
    <x v="1413"/>
  </r>
  <r>
    <x v="1617"/>
    <x v="227"/>
    <x v="12"/>
    <x v="11"/>
    <x v="1"/>
    <x v="1"/>
    <n v="1"/>
    <n v="6283"/>
    <x v="1"/>
    <n v="6282"/>
    <x v="0"/>
    <x v="1"/>
    <x v="3"/>
    <x v="11"/>
    <x v="0"/>
    <x v="1"/>
    <x v="2"/>
    <x v="82"/>
  </r>
  <r>
    <x v="1618"/>
    <x v="337"/>
    <x v="5"/>
    <x v="5"/>
    <x v="0"/>
    <x v="0"/>
    <n v="1"/>
    <n v="5932"/>
    <x v="1"/>
    <n v="5931"/>
    <x v="0"/>
    <x v="1"/>
    <x v="2"/>
    <x v="4"/>
    <x v="5"/>
    <x v="1"/>
    <x v="2"/>
    <x v="1414"/>
  </r>
  <r>
    <x v="1619"/>
    <x v="208"/>
    <x v="9"/>
    <x v="8"/>
    <x v="1"/>
    <x v="1"/>
    <n v="1"/>
    <n v="8159"/>
    <x v="1"/>
    <n v="8157"/>
    <x v="0"/>
    <x v="2"/>
    <x v="3"/>
    <x v="8"/>
    <x v="8"/>
    <x v="0"/>
    <x v="4"/>
    <x v="1415"/>
  </r>
  <r>
    <x v="1620"/>
    <x v="42"/>
    <x v="0"/>
    <x v="0"/>
    <x v="0"/>
    <x v="0"/>
    <n v="1"/>
    <n v="6678"/>
    <x v="1"/>
    <n v="6678"/>
    <x v="1"/>
    <x v="2"/>
    <x v="4"/>
    <x v="2"/>
    <x v="2"/>
    <x v="1"/>
    <x v="1"/>
    <x v="1416"/>
  </r>
  <r>
    <x v="1621"/>
    <x v="244"/>
    <x v="12"/>
    <x v="11"/>
    <x v="0"/>
    <x v="0"/>
    <n v="1"/>
    <n v="5246"/>
    <x v="2"/>
    <n v="3496"/>
    <x v="0"/>
    <x v="0"/>
    <x v="2"/>
    <x v="9"/>
    <x v="1"/>
    <x v="1"/>
    <x v="992"/>
    <x v="1417"/>
  </r>
  <r>
    <x v="1622"/>
    <x v="6"/>
    <x v="4"/>
    <x v="4"/>
    <x v="0"/>
    <x v="0"/>
    <n v="1"/>
    <n v="4033"/>
    <x v="0"/>
    <n v="1344"/>
    <x v="0"/>
    <x v="1"/>
    <x v="5"/>
    <x v="2"/>
    <x v="2"/>
    <x v="1"/>
    <x v="993"/>
    <x v="1418"/>
  </r>
  <r>
    <x v="1623"/>
    <x v="4"/>
    <x v="11"/>
    <x v="10"/>
    <x v="0"/>
    <x v="0"/>
    <n v="1"/>
    <n v="4001"/>
    <x v="2"/>
    <n v="2666"/>
    <x v="0"/>
    <x v="1"/>
    <x v="2"/>
    <x v="8"/>
    <x v="4"/>
    <x v="0"/>
    <x v="994"/>
    <x v="1419"/>
  </r>
  <r>
    <x v="1624"/>
    <x v="166"/>
    <x v="8"/>
    <x v="7"/>
    <x v="1"/>
    <x v="1"/>
    <n v="1"/>
    <n v="10119"/>
    <x v="1"/>
    <n v="10119"/>
    <x v="1"/>
    <x v="0"/>
    <x v="3"/>
    <x v="0"/>
    <x v="2"/>
    <x v="1"/>
    <x v="1"/>
    <x v="1420"/>
  </r>
  <r>
    <x v="1625"/>
    <x v="75"/>
    <x v="10"/>
    <x v="9"/>
    <x v="0"/>
    <x v="0"/>
    <n v="1"/>
    <n v="7332"/>
    <x v="2"/>
    <n v="4888"/>
    <x v="0"/>
    <x v="1"/>
    <x v="0"/>
    <x v="12"/>
    <x v="4"/>
    <x v="1"/>
    <x v="277"/>
    <x v="410"/>
  </r>
  <r>
    <x v="1626"/>
    <x v="31"/>
    <x v="7"/>
    <x v="6"/>
    <x v="0"/>
    <x v="0"/>
    <n v="1"/>
    <n v="11751"/>
    <x v="2"/>
    <n v="7834"/>
    <x v="0"/>
    <x v="0"/>
    <x v="0"/>
    <x v="6"/>
    <x v="9"/>
    <x v="0"/>
    <x v="995"/>
    <x v="1421"/>
  </r>
  <r>
    <x v="1627"/>
    <x v="343"/>
    <x v="0"/>
    <x v="0"/>
    <x v="1"/>
    <x v="1"/>
    <n v="1"/>
    <n v="5425"/>
    <x v="0"/>
    <n v="1808"/>
    <x v="0"/>
    <x v="1"/>
    <x v="1"/>
    <x v="0"/>
    <x v="8"/>
    <x v="1"/>
    <x v="996"/>
    <x v="1422"/>
  </r>
  <r>
    <x v="1628"/>
    <x v="203"/>
    <x v="10"/>
    <x v="9"/>
    <x v="1"/>
    <x v="1"/>
    <n v="1"/>
    <n v="7086"/>
    <x v="0"/>
    <n v="2362"/>
    <x v="0"/>
    <x v="1"/>
    <x v="4"/>
    <x v="6"/>
    <x v="1"/>
    <x v="0"/>
    <x v="997"/>
    <x v="1423"/>
  </r>
  <r>
    <x v="1629"/>
    <x v="18"/>
    <x v="5"/>
    <x v="5"/>
    <x v="0"/>
    <x v="0"/>
    <n v="1"/>
    <n v="5590"/>
    <x v="1"/>
    <n v="5589"/>
    <x v="0"/>
    <x v="1"/>
    <x v="5"/>
    <x v="3"/>
    <x v="6"/>
    <x v="1"/>
    <x v="2"/>
    <x v="1424"/>
  </r>
  <r>
    <x v="1630"/>
    <x v="104"/>
    <x v="3"/>
    <x v="3"/>
    <x v="0"/>
    <x v="0"/>
    <n v="1"/>
    <n v="4793"/>
    <x v="1"/>
    <n v="4791"/>
    <x v="0"/>
    <x v="2"/>
    <x v="2"/>
    <x v="12"/>
    <x v="6"/>
    <x v="1"/>
    <x v="4"/>
    <x v="3"/>
  </r>
  <r>
    <x v="1631"/>
    <x v="95"/>
    <x v="3"/>
    <x v="3"/>
    <x v="1"/>
    <x v="1"/>
    <n v="1"/>
    <n v="4201"/>
    <x v="1"/>
    <n v="4200"/>
    <x v="0"/>
    <x v="1"/>
    <x v="0"/>
    <x v="6"/>
    <x v="6"/>
    <x v="0"/>
    <x v="2"/>
    <x v="1425"/>
  </r>
  <r>
    <x v="1632"/>
    <x v="259"/>
    <x v="13"/>
    <x v="9"/>
    <x v="0"/>
    <x v="0"/>
    <n v="1"/>
    <n v="3729"/>
    <x v="1"/>
    <n v="3729"/>
    <x v="1"/>
    <x v="2"/>
    <x v="5"/>
    <x v="10"/>
    <x v="9"/>
    <x v="0"/>
    <x v="1"/>
    <x v="1426"/>
  </r>
  <r>
    <x v="1633"/>
    <x v="346"/>
    <x v="13"/>
    <x v="9"/>
    <x v="1"/>
    <x v="1"/>
    <n v="1"/>
    <n v="4729"/>
    <x v="0"/>
    <n v="1576"/>
    <x v="0"/>
    <x v="1"/>
    <x v="0"/>
    <x v="12"/>
    <x v="9"/>
    <x v="1"/>
    <x v="998"/>
    <x v="1427"/>
  </r>
  <r>
    <x v="1634"/>
    <x v="216"/>
    <x v="7"/>
    <x v="6"/>
    <x v="1"/>
    <x v="1"/>
    <n v="1"/>
    <n v="9379"/>
    <x v="0"/>
    <n v="3126"/>
    <x v="0"/>
    <x v="0"/>
    <x v="0"/>
    <x v="9"/>
    <x v="0"/>
    <x v="1"/>
    <x v="999"/>
    <x v="1428"/>
  </r>
  <r>
    <x v="1635"/>
    <x v="86"/>
    <x v="10"/>
    <x v="9"/>
    <x v="0"/>
    <x v="0"/>
    <n v="1"/>
    <n v="5142"/>
    <x v="0"/>
    <n v="1714"/>
    <x v="0"/>
    <x v="2"/>
    <x v="1"/>
    <x v="4"/>
    <x v="2"/>
    <x v="0"/>
    <x v="1000"/>
    <x v="1429"/>
  </r>
  <r>
    <x v="1636"/>
    <x v="22"/>
    <x v="6"/>
    <x v="6"/>
    <x v="0"/>
    <x v="0"/>
    <n v="1"/>
    <n v="9366"/>
    <x v="0"/>
    <n v="3122"/>
    <x v="0"/>
    <x v="1"/>
    <x v="3"/>
    <x v="11"/>
    <x v="8"/>
    <x v="0"/>
    <x v="1001"/>
    <x v="1430"/>
  </r>
  <r>
    <x v="1637"/>
    <x v="17"/>
    <x v="8"/>
    <x v="7"/>
    <x v="0"/>
    <x v="0"/>
    <n v="1"/>
    <n v="9464"/>
    <x v="1"/>
    <n v="9462"/>
    <x v="0"/>
    <x v="1"/>
    <x v="2"/>
    <x v="3"/>
    <x v="4"/>
    <x v="0"/>
    <x v="4"/>
    <x v="1431"/>
  </r>
  <r>
    <x v="1638"/>
    <x v="24"/>
    <x v="4"/>
    <x v="4"/>
    <x v="1"/>
    <x v="1"/>
    <n v="1"/>
    <n v="6572"/>
    <x v="0"/>
    <n v="2190"/>
    <x v="0"/>
    <x v="2"/>
    <x v="0"/>
    <x v="7"/>
    <x v="6"/>
    <x v="1"/>
    <x v="1002"/>
    <x v="1432"/>
  </r>
  <r>
    <x v="1639"/>
    <x v="137"/>
    <x v="10"/>
    <x v="9"/>
    <x v="1"/>
    <x v="1"/>
    <n v="1"/>
    <n v="7516"/>
    <x v="2"/>
    <n v="5010"/>
    <x v="0"/>
    <x v="0"/>
    <x v="2"/>
    <x v="7"/>
    <x v="2"/>
    <x v="0"/>
    <x v="1003"/>
    <x v="1433"/>
  </r>
  <r>
    <x v="1640"/>
    <x v="220"/>
    <x v="0"/>
    <x v="0"/>
    <x v="0"/>
    <x v="0"/>
    <n v="1"/>
    <n v="5970"/>
    <x v="1"/>
    <n v="5970"/>
    <x v="1"/>
    <x v="0"/>
    <x v="0"/>
    <x v="10"/>
    <x v="4"/>
    <x v="1"/>
    <x v="1"/>
    <x v="1434"/>
  </r>
  <r>
    <x v="1641"/>
    <x v="21"/>
    <x v="2"/>
    <x v="2"/>
    <x v="1"/>
    <x v="1"/>
    <n v="1"/>
    <n v="7408"/>
    <x v="0"/>
    <n v="2469"/>
    <x v="0"/>
    <x v="2"/>
    <x v="4"/>
    <x v="10"/>
    <x v="0"/>
    <x v="1"/>
    <x v="1004"/>
    <x v="1435"/>
  </r>
  <r>
    <x v="1642"/>
    <x v="72"/>
    <x v="12"/>
    <x v="11"/>
    <x v="0"/>
    <x v="0"/>
    <n v="1"/>
    <n v="5899"/>
    <x v="1"/>
    <n v="5898"/>
    <x v="0"/>
    <x v="2"/>
    <x v="2"/>
    <x v="7"/>
    <x v="7"/>
    <x v="1"/>
    <x v="2"/>
    <x v="288"/>
  </r>
  <r>
    <x v="1643"/>
    <x v="78"/>
    <x v="10"/>
    <x v="9"/>
    <x v="0"/>
    <x v="0"/>
    <n v="1"/>
    <n v="5471"/>
    <x v="1"/>
    <n v="5469"/>
    <x v="0"/>
    <x v="0"/>
    <x v="2"/>
    <x v="4"/>
    <x v="0"/>
    <x v="0"/>
    <x v="4"/>
    <x v="1436"/>
  </r>
  <r>
    <x v="1644"/>
    <x v="143"/>
    <x v="10"/>
    <x v="9"/>
    <x v="1"/>
    <x v="1"/>
    <n v="1"/>
    <n v="7067"/>
    <x v="1"/>
    <n v="7065"/>
    <x v="0"/>
    <x v="2"/>
    <x v="1"/>
    <x v="14"/>
    <x v="3"/>
    <x v="0"/>
    <x v="4"/>
    <x v="1437"/>
  </r>
  <r>
    <x v="1645"/>
    <x v="153"/>
    <x v="10"/>
    <x v="9"/>
    <x v="0"/>
    <x v="0"/>
    <n v="1"/>
    <n v="7407"/>
    <x v="0"/>
    <n v="2469"/>
    <x v="0"/>
    <x v="0"/>
    <x v="5"/>
    <x v="1"/>
    <x v="0"/>
    <x v="1"/>
    <x v="1005"/>
    <x v="1435"/>
  </r>
  <r>
    <x v="1646"/>
    <x v="104"/>
    <x v="8"/>
    <x v="7"/>
    <x v="0"/>
    <x v="0"/>
    <n v="1"/>
    <n v="10115"/>
    <x v="2"/>
    <n v="6742"/>
    <x v="0"/>
    <x v="1"/>
    <x v="0"/>
    <x v="14"/>
    <x v="8"/>
    <x v="1"/>
    <x v="1006"/>
    <x v="1438"/>
  </r>
  <r>
    <x v="1647"/>
    <x v="245"/>
    <x v="3"/>
    <x v="3"/>
    <x v="0"/>
    <x v="0"/>
    <n v="1"/>
    <n v="7371"/>
    <x v="0"/>
    <n v="2457"/>
    <x v="0"/>
    <x v="1"/>
    <x v="0"/>
    <x v="12"/>
    <x v="3"/>
    <x v="0"/>
    <x v="1007"/>
    <x v="1439"/>
  </r>
  <r>
    <x v="1648"/>
    <x v="139"/>
    <x v="9"/>
    <x v="8"/>
    <x v="0"/>
    <x v="0"/>
    <n v="1"/>
    <n v="10356"/>
    <x v="1"/>
    <n v="10356"/>
    <x v="1"/>
    <x v="2"/>
    <x v="3"/>
    <x v="3"/>
    <x v="6"/>
    <x v="1"/>
    <x v="1"/>
    <x v="1440"/>
  </r>
  <r>
    <x v="1649"/>
    <x v="152"/>
    <x v="13"/>
    <x v="9"/>
    <x v="1"/>
    <x v="1"/>
    <n v="1"/>
    <n v="4873"/>
    <x v="0"/>
    <n v="1624"/>
    <x v="0"/>
    <x v="0"/>
    <x v="1"/>
    <x v="4"/>
    <x v="2"/>
    <x v="1"/>
    <x v="1008"/>
    <x v="1441"/>
  </r>
  <r>
    <x v="1650"/>
    <x v="274"/>
    <x v="8"/>
    <x v="7"/>
    <x v="1"/>
    <x v="1"/>
    <n v="1"/>
    <n v="9954"/>
    <x v="2"/>
    <n v="6636"/>
    <x v="0"/>
    <x v="2"/>
    <x v="0"/>
    <x v="8"/>
    <x v="8"/>
    <x v="1"/>
    <x v="1009"/>
    <x v="1442"/>
  </r>
  <r>
    <x v="1651"/>
    <x v="73"/>
    <x v="9"/>
    <x v="8"/>
    <x v="0"/>
    <x v="0"/>
    <n v="1"/>
    <n v="12344"/>
    <x v="2"/>
    <n v="8228"/>
    <x v="0"/>
    <x v="2"/>
    <x v="2"/>
    <x v="0"/>
    <x v="2"/>
    <x v="0"/>
    <x v="486"/>
    <x v="1443"/>
  </r>
  <r>
    <x v="1652"/>
    <x v="352"/>
    <x v="7"/>
    <x v="6"/>
    <x v="1"/>
    <x v="1"/>
    <n v="1"/>
    <n v="7377"/>
    <x v="0"/>
    <n v="2459"/>
    <x v="0"/>
    <x v="2"/>
    <x v="5"/>
    <x v="11"/>
    <x v="8"/>
    <x v="1"/>
    <x v="1010"/>
    <x v="1444"/>
  </r>
  <r>
    <x v="1653"/>
    <x v="312"/>
    <x v="5"/>
    <x v="5"/>
    <x v="1"/>
    <x v="1"/>
    <n v="1"/>
    <n v="5218"/>
    <x v="2"/>
    <n v="3478"/>
    <x v="0"/>
    <x v="2"/>
    <x v="0"/>
    <x v="10"/>
    <x v="2"/>
    <x v="0"/>
    <x v="1011"/>
    <x v="1445"/>
  </r>
  <r>
    <x v="1654"/>
    <x v="317"/>
    <x v="6"/>
    <x v="6"/>
    <x v="1"/>
    <x v="1"/>
    <n v="1"/>
    <n v="9237"/>
    <x v="1"/>
    <n v="9237"/>
    <x v="1"/>
    <x v="0"/>
    <x v="3"/>
    <x v="11"/>
    <x v="8"/>
    <x v="0"/>
    <x v="1"/>
    <x v="1446"/>
  </r>
  <r>
    <x v="1655"/>
    <x v="354"/>
    <x v="9"/>
    <x v="8"/>
    <x v="1"/>
    <x v="1"/>
    <n v="1"/>
    <n v="10338"/>
    <x v="2"/>
    <n v="6892"/>
    <x v="0"/>
    <x v="2"/>
    <x v="5"/>
    <x v="7"/>
    <x v="9"/>
    <x v="1"/>
    <x v="141"/>
    <x v="1447"/>
  </r>
  <r>
    <x v="1656"/>
    <x v="356"/>
    <x v="1"/>
    <x v="1"/>
    <x v="1"/>
    <x v="1"/>
    <n v="1"/>
    <n v="5529"/>
    <x v="0"/>
    <n v="1843"/>
    <x v="0"/>
    <x v="0"/>
    <x v="2"/>
    <x v="11"/>
    <x v="0"/>
    <x v="1"/>
    <x v="616"/>
    <x v="246"/>
  </r>
  <r>
    <x v="1657"/>
    <x v="339"/>
    <x v="13"/>
    <x v="9"/>
    <x v="1"/>
    <x v="1"/>
    <n v="1"/>
    <n v="4466"/>
    <x v="2"/>
    <n v="2976"/>
    <x v="0"/>
    <x v="0"/>
    <x v="4"/>
    <x v="14"/>
    <x v="7"/>
    <x v="0"/>
    <x v="1012"/>
    <x v="638"/>
  </r>
  <r>
    <x v="1658"/>
    <x v="207"/>
    <x v="4"/>
    <x v="4"/>
    <x v="0"/>
    <x v="0"/>
    <n v="1"/>
    <n v="6679"/>
    <x v="1"/>
    <n v="6678"/>
    <x v="0"/>
    <x v="0"/>
    <x v="1"/>
    <x v="13"/>
    <x v="5"/>
    <x v="1"/>
    <x v="2"/>
    <x v="1416"/>
  </r>
  <r>
    <x v="1659"/>
    <x v="63"/>
    <x v="1"/>
    <x v="1"/>
    <x v="1"/>
    <x v="1"/>
    <n v="1"/>
    <n v="6082"/>
    <x v="2"/>
    <n v="4054"/>
    <x v="0"/>
    <x v="0"/>
    <x v="1"/>
    <x v="7"/>
    <x v="8"/>
    <x v="0"/>
    <x v="1013"/>
    <x v="1448"/>
  </r>
  <r>
    <x v="1660"/>
    <x v="211"/>
    <x v="2"/>
    <x v="2"/>
    <x v="0"/>
    <x v="0"/>
    <n v="1"/>
    <n v="5568"/>
    <x v="1"/>
    <n v="5568"/>
    <x v="1"/>
    <x v="2"/>
    <x v="0"/>
    <x v="5"/>
    <x v="9"/>
    <x v="1"/>
    <x v="1"/>
    <x v="1449"/>
  </r>
  <r>
    <x v="1661"/>
    <x v="213"/>
    <x v="5"/>
    <x v="5"/>
    <x v="0"/>
    <x v="0"/>
    <n v="1"/>
    <n v="5113"/>
    <x v="1"/>
    <n v="5112"/>
    <x v="0"/>
    <x v="2"/>
    <x v="3"/>
    <x v="1"/>
    <x v="9"/>
    <x v="1"/>
    <x v="2"/>
    <x v="248"/>
  </r>
  <r>
    <x v="1662"/>
    <x v="158"/>
    <x v="1"/>
    <x v="1"/>
    <x v="0"/>
    <x v="0"/>
    <n v="1"/>
    <n v="6671"/>
    <x v="1"/>
    <n v="6669"/>
    <x v="0"/>
    <x v="0"/>
    <x v="5"/>
    <x v="11"/>
    <x v="8"/>
    <x v="0"/>
    <x v="4"/>
    <x v="1341"/>
  </r>
  <r>
    <x v="1663"/>
    <x v="25"/>
    <x v="2"/>
    <x v="2"/>
    <x v="0"/>
    <x v="0"/>
    <n v="1"/>
    <n v="6553"/>
    <x v="1"/>
    <n v="6552"/>
    <x v="0"/>
    <x v="2"/>
    <x v="1"/>
    <x v="11"/>
    <x v="2"/>
    <x v="0"/>
    <x v="2"/>
    <x v="1450"/>
  </r>
  <r>
    <x v="1664"/>
    <x v="17"/>
    <x v="6"/>
    <x v="6"/>
    <x v="0"/>
    <x v="0"/>
    <n v="1"/>
    <n v="11641"/>
    <x v="2"/>
    <n v="7760"/>
    <x v="0"/>
    <x v="0"/>
    <x v="3"/>
    <x v="10"/>
    <x v="6"/>
    <x v="0"/>
    <x v="764"/>
    <x v="1451"/>
  </r>
  <r>
    <x v="1665"/>
    <x v="0"/>
    <x v="13"/>
    <x v="9"/>
    <x v="0"/>
    <x v="0"/>
    <n v="1"/>
    <n v="4452"/>
    <x v="2"/>
    <n v="2968"/>
    <x v="0"/>
    <x v="2"/>
    <x v="5"/>
    <x v="6"/>
    <x v="4"/>
    <x v="1"/>
    <x v="1014"/>
    <x v="1452"/>
  </r>
  <r>
    <x v="1666"/>
    <x v="192"/>
    <x v="8"/>
    <x v="7"/>
    <x v="0"/>
    <x v="0"/>
    <n v="1"/>
    <n v="12848"/>
    <x v="2"/>
    <n v="8564"/>
    <x v="0"/>
    <x v="2"/>
    <x v="5"/>
    <x v="4"/>
    <x v="2"/>
    <x v="1"/>
    <x v="1015"/>
    <x v="1453"/>
  </r>
  <r>
    <x v="1667"/>
    <x v="312"/>
    <x v="9"/>
    <x v="8"/>
    <x v="1"/>
    <x v="1"/>
    <n v="1"/>
    <n v="11955"/>
    <x v="2"/>
    <n v="7970"/>
    <x v="0"/>
    <x v="1"/>
    <x v="2"/>
    <x v="5"/>
    <x v="9"/>
    <x v="1"/>
    <x v="1016"/>
    <x v="1454"/>
  </r>
  <r>
    <x v="1668"/>
    <x v="335"/>
    <x v="11"/>
    <x v="10"/>
    <x v="0"/>
    <x v="0"/>
    <n v="1"/>
    <n v="4474"/>
    <x v="2"/>
    <n v="2982"/>
    <x v="0"/>
    <x v="1"/>
    <x v="1"/>
    <x v="9"/>
    <x v="3"/>
    <x v="1"/>
    <x v="1017"/>
    <x v="1455"/>
  </r>
  <r>
    <x v="1669"/>
    <x v="14"/>
    <x v="5"/>
    <x v="5"/>
    <x v="1"/>
    <x v="1"/>
    <n v="1"/>
    <n v="4766"/>
    <x v="0"/>
    <n v="1588"/>
    <x v="0"/>
    <x v="1"/>
    <x v="1"/>
    <x v="8"/>
    <x v="3"/>
    <x v="1"/>
    <x v="606"/>
    <x v="881"/>
  </r>
  <r>
    <x v="1670"/>
    <x v="78"/>
    <x v="13"/>
    <x v="9"/>
    <x v="1"/>
    <x v="1"/>
    <n v="1"/>
    <n v="3540"/>
    <x v="0"/>
    <n v="1180"/>
    <x v="0"/>
    <x v="1"/>
    <x v="4"/>
    <x v="0"/>
    <x v="3"/>
    <x v="0"/>
    <x v="714"/>
    <x v="1456"/>
  </r>
  <r>
    <x v="1671"/>
    <x v="2"/>
    <x v="11"/>
    <x v="10"/>
    <x v="1"/>
    <x v="1"/>
    <n v="1"/>
    <n v="4407"/>
    <x v="1"/>
    <n v="4407"/>
    <x v="1"/>
    <x v="0"/>
    <x v="5"/>
    <x v="12"/>
    <x v="8"/>
    <x v="1"/>
    <x v="1"/>
    <x v="1457"/>
  </r>
  <r>
    <x v="1672"/>
    <x v="250"/>
    <x v="10"/>
    <x v="9"/>
    <x v="0"/>
    <x v="0"/>
    <n v="1"/>
    <n v="5225"/>
    <x v="1"/>
    <n v="5223"/>
    <x v="0"/>
    <x v="2"/>
    <x v="2"/>
    <x v="7"/>
    <x v="8"/>
    <x v="1"/>
    <x v="4"/>
    <x v="1458"/>
  </r>
  <r>
    <x v="1673"/>
    <x v="358"/>
    <x v="13"/>
    <x v="9"/>
    <x v="1"/>
    <x v="1"/>
    <n v="1"/>
    <n v="3079"/>
    <x v="0"/>
    <n v="1026"/>
    <x v="0"/>
    <x v="1"/>
    <x v="1"/>
    <x v="7"/>
    <x v="2"/>
    <x v="0"/>
    <x v="1018"/>
    <x v="1459"/>
  </r>
  <r>
    <x v="1674"/>
    <x v="170"/>
    <x v="6"/>
    <x v="6"/>
    <x v="0"/>
    <x v="0"/>
    <n v="1"/>
    <n v="7126"/>
    <x v="1"/>
    <n v="7125"/>
    <x v="0"/>
    <x v="0"/>
    <x v="2"/>
    <x v="11"/>
    <x v="8"/>
    <x v="0"/>
    <x v="2"/>
    <x v="1460"/>
  </r>
  <r>
    <x v="1675"/>
    <x v="293"/>
    <x v="13"/>
    <x v="9"/>
    <x v="1"/>
    <x v="1"/>
    <n v="1"/>
    <n v="4992"/>
    <x v="0"/>
    <n v="1664"/>
    <x v="0"/>
    <x v="1"/>
    <x v="4"/>
    <x v="5"/>
    <x v="7"/>
    <x v="0"/>
    <x v="1019"/>
    <x v="1461"/>
  </r>
  <r>
    <x v="1676"/>
    <x v="123"/>
    <x v="2"/>
    <x v="2"/>
    <x v="0"/>
    <x v="0"/>
    <n v="1"/>
    <n v="7598"/>
    <x v="1"/>
    <n v="7596"/>
    <x v="0"/>
    <x v="0"/>
    <x v="3"/>
    <x v="5"/>
    <x v="5"/>
    <x v="1"/>
    <x v="4"/>
    <x v="1242"/>
  </r>
  <r>
    <x v="1677"/>
    <x v="280"/>
    <x v="6"/>
    <x v="6"/>
    <x v="1"/>
    <x v="1"/>
    <n v="1"/>
    <n v="8153"/>
    <x v="2"/>
    <n v="5434"/>
    <x v="0"/>
    <x v="2"/>
    <x v="3"/>
    <x v="6"/>
    <x v="0"/>
    <x v="0"/>
    <x v="1020"/>
    <x v="1462"/>
  </r>
  <r>
    <x v="1678"/>
    <x v="85"/>
    <x v="13"/>
    <x v="9"/>
    <x v="1"/>
    <x v="1"/>
    <n v="1"/>
    <n v="4682"/>
    <x v="0"/>
    <n v="1560"/>
    <x v="0"/>
    <x v="1"/>
    <x v="4"/>
    <x v="6"/>
    <x v="4"/>
    <x v="1"/>
    <x v="1021"/>
    <x v="1463"/>
  </r>
  <r>
    <x v="1679"/>
    <x v="179"/>
    <x v="4"/>
    <x v="4"/>
    <x v="1"/>
    <x v="1"/>
    <n v="1"/>
    <n v="5488"/>
    <x v="1"/>
    <n v="5487"/>
    <x v="0"/>
    <x v="1"/>
    <x v="3"/>
    <x v="2"/>
    <x v="7"/>
    <x v="0"/>
    <x v="2"/>
    <x v="1464"/>
  </r>
  <r>
    <x v="1680"/>
    <x v="1"/>
    <x v="11"/>
    <x v="10"/>
    <x v="1"/>
    <x v="1"/>
    <n v="1"/>
    <n v="5790"/>
    <x v="0"/>
    <n v="1930"/>
    <x v="0"/>
    <x v="2"/>
    <x v="4"/>
    <x v="9"/>
    <x v="1"/>
    <x v="0"/>
    <x v="1022"/>
    <x v="1465"/>
  </r>
  <r>
    <x v="1681"/>
    <x v="94"/>
    <x v="0"/>
    <x v="0"/>
    <x v="1"/>
    <x v="1"/>
    <n v="1"/>
    <n v="4582"/>
    <x v="2"/>
    <n v="3054"/>
    <x v="0"/>
    <x v="2"/>
    <x v="0"/>
    <x v="13"/>
    <x v="5"/>
    <x v="0"/>
    <x v="1023"/>
    <x v="1466"/>
  </r>
  <r>
    <x v="1682"/>
    <x v="124"/>
    <x v="1"/>
    <x v="1"/>
    <x v="0"/>
    <x v="0"/>
    <n v="1"/>
    <n v="6069"/>
    <x v="2"/>
    <n v="4046"/>
    <x v="0"/>
    <x v="2"/>
    <x v="1"/>
    <x v="13"/>
    <x v="2"/>
    <x v="0"/>
    <x v="1024"/>
    <x v="1467"/>
  </r>
  <r>
    <x v="1683"/>
    <x v="38"/>
    <x v="2"/>
    <x v="2"/>
    <x v="0"/>
    <x v="0"/>
    <n v="1"/>
    <n v="5535"/>
    <x v="0"/>
    <n v="1845"/>
    <x v="0"/>
    <x v="1"/>
    <x v="0"/>
    <x v="3"/>
    <x v="7"/>
    <x v="0"/>
    <x v="1025"/>
    <x v="1468"/>
  </r>
  <r>
    <x v="1684"/>
    <x v="168"/>
    <x v="9"/>
    <x v="8"/>
    <x v="0"/>
    <x v="0"/>
    <n v="1"/>
    <n v="14939"/>
    <x v="0"/>
    <n v="4979"/>
    <x v="0"/>
    <x v="2"/>
    <x v="4"/>
    <x v="5"/>
    <x v="0"/>
    <x v="0"/>
    <x v="1026"/>
    <x v="1469"/>
  </r>
  <r>
    <x v="1685"/>
    <x v="99"/>
    <x v="7"/>
    <x v="6"/>
    <x v="0"/>
    <x v="0"/>
    <n v="1"/>
    <n v="7851"/>
    <x v="2"/>
    <n v="5234"/>
    <x v="0"/>
    <x v="0"/>
    <x v="3"/>
    <x v="2"/>
    <x v="7"/>
    <x v="0"/>
    <x v="1027"/>
    <x v="1470"/>
  </r>
  <r>
    <x v="1686"/>
    <x v="194"/>
    <x v="10"/>
    <x v="9"/>
    <x v="0"/>
    <x v="0"/>
    <n v="1"/>
    <n v="5720"/>
    <x v="2"/>
    <n v="3812"/>
    <x v="0"/>
    <x v="2"/>
    <x v="0"/>
    <x v="2"/>
    <x v="7"/>
    <x v="1"/>
    <x v="424"/>
    <x v="626"/>
  </r>
  <r>
    <x v="1687"/>
    <x v="246"/>
    <x v="0"/>
    <x v="0"/>
    <x v="1"/>
    <x v="1"/>
    <n v="1"/>
    <n v="6524"/>
    <x v="2"/>
    <n v="4348"/>
    <x v="0"/>
    <x v="1"/>
    <x v="0"/>
    <x v="5"/>
    <x v="7"/>
    <x v="0"/>
    <x v="1028"/>
    <x v="1471"/>
  </r>
  <r>
    <x v="1688"/>
    <x v="323"/>
    <x v="4"/>
    <x v="4"/>
    <x v="1"/>
    <x v="1"/>
    <n v="1"/>
    <n v="5516"/>
    <x v="2"/>
    <n v="3676"/>
    <x v="0"/>
    <x v="0"/>
    <x v="0"/>
    <x v="10"/>
    <x v="3"/>
    <x v="1"/>
    <x v="1029"/>
    <x v="1472"/>
  </r>
  <r>
    <x v="1689"/>
    <x v="320"/>
    <x v="0"/>
    <x v="0"/>
    <x v="0"/>
    <x v="0"/>
    <n v="1"/>
    <n v="7713"/>
    <x v="2"/>
    <n v="5142"/>
    <x v="0"/>
    <x v="2"/>
    <x v="5"/>
    <x v="5"/>
    <x v="5"/>
    <x v="0"/>
    <x v="1030"/>
    <x v="1473"/>
  </r>
  <r>
    <x v="1690"/>
    <x v="156"/>
    <x v="5"/>
    <x v="5"/>
    <x v="1"/>
    <x v="1"/>
    <n v="1"/>
    <n v="4470"/>
    <x v="0"/>
    <n v="1490"/>
    <x v="0"/>
    <x v="1"/>
    <x v="5"/>
    <x v="3"/>
    <x v="3"/>
    <x v="1"/>
    <x v="227"/>
    <x v="343"/>
  </r>
  <r>
    <x v="1691"/>
    <x v="102"/>
    <x v="0"/>
    <x v="0"/>
    <x v="0"/>
    <x v="0"/>
    <n v="1"/>
    <n v="5044"/>
    <x v="2"/>
    <n v="3362"/>
    <x v="0"/>
    <x v="0"/>
    <x v="1"/>
    <x v="13"/>
    <x v="4"/>
    <x v="1"/>
    <x v="814"/>
    <x v="1159"/>
  </r>
  <r>
    <x v="1692"/>
    <x v="351"/>
    <x v="10"/>
    <x v="9"/>
    <x v="1"/>
    <x v="1"/>
    <n v="1"/>
    <n v="7593"/>
    <x v="2"/>
    <n v="5062"/>
    <x v="0"/>
    <x v="1"/>
    <x v="3"/>
    <x v="6"/>
    <x v="7"/>
    <x v="0"/>
    <x v="1031"/>
    <x v="1474"/>
  </r>
  <r>
    <x v="1693"/>
    <x v="274"/>
    <x v="1"/>
    <x v="1"/>
    <x v="0"/>
    <x v="0"/>
    <n v="1"/>
    <n v="5588"/>
    <x v="1"/>
    <n v="5586"/>
    <x v="0"/>
    <x v="1"/>
    <x v="2"/>
    <x v="3"/>
    <x v="7"/>
    <x v="1"/>
    <x v="4"/>
    <x v="1475"/>
  </r>
  <r>
    <x v="1694"/>
    <x v="323"/>
    <x v="3"/>
    <x v="3"/>
    <x v="1"/>
    <x v="1"/>
    <n v="1"/>
    <n v="6057"/>
    <x v="1"/>
    <n v="6057"/>
    <x v="1"/>
    <x v="2"/>
    <x v="5"/>
    <x v="12"/>
    <x v="8"/>
    <x v="1"/>
    <x v="1"/>
    <x v="1476"/>
  </r>
  <r>
    <x v="1695"/>
    <x v="61"/>
    <x v="0"/>
    <x v="0"/>
    <x v="0"/>
    <x v="0"/>
    <n v="1"/>
    <n v="5400"/>
    <x v="1"/>
    <n v="5400"/>
    <x v="1"/>
    <x v="1"/>
    <x v="3"/>
    <x v="11"/>
    <x v="6"/>
    <x v="1"/>
    <x v="1"/>
    <x v="1477"/>
  </r>
  <r>
    <x v="1696"/>
    <x v="132"/>
    <x v="12"/>
    <x v="11"/>
    <x v="1"/>
    <x v="1"/>
    <n v="1"/>
    <n v="6381"/>
    <x v="0"/>
    <n v="2127"/>
    <x v="0"/>
    <x v="0"/>
    <x v="3"/>
    <x v="6"/>
    <x v="6"/>
    <x v="0"/>
    <x v="252"/>
    <x v="364"/>
  </r>
  <r>
    <x v="1697"/>
    <x v="333"/>
    <x v="10"/>
    <x v="9"/>
    <x v="0"/>
    <x v="0"/>
    <n v="1"/>
    <n v="7566"/>
    <x v="2"/>
    <n v="5044"/>
    <x v="0"/>
    <x v="1"/>
    <x v="3"/>
    <x v="3"/>
    <x v="5"/>
    <x v="1"/>
    <x v="414"/>
    <x v="1478"/>
  </r>
  <r>
    <x v="1698"/>
    <x v="124"/>
    <x v="2"/>
    <x v="2"/>
    <x v="0"/>
    <x v="0"/>
    <n v="1"/>
    <n v="7893"/>
    <x v="0"/>
    <n v="2631"/>
    <x v="0"/>
    <x v="0"/>
    <x v="5"/>
    <x v="2"/>
    <x v="8"/>
    <x v="1"/>
    <x v="1032"/>
    <x v="1479"/>
  </r>
  <r>
    <x v="1699"/>
    <x v="272"/>
    <x v="10"/>
    <x v="9"/>
    <x v="0"/>
    <x v="0"/>
    <n v="1"/>
    <n v="6304"/>
    <x v="0"/>
    <n v="2101"/>
    <x v="0"/>
    <x v="0"/>
    <x v="0"/>
    <x v="1"/>
    <x v="1"/>
    <x v="0"/>
    <x v="1033"/>
    <x v="1480"/>
  </r>
  <r>
    <x v="1700"/>
    <x v="136"/>
    <x v="5"/>
    <x v="5"/>
    <x v="0"/>
    <x v="0"/>
    <n v="1"/>
    <n v="4119"/>
    <x v="2"/>
    <n v="2746"/>
    <x v="0"/>
    <x v="2"/>
    <x v="4"/>
    <x v="3"/>
    <x v="1"/>
    <x v="1"/>
    <x v="1034"/>
    <x v="1481"/>
  </r>
  <r>
    <x v="1701"/>
    <x v="302"/>
    <x v="0"/>
    <x v="0"/>
    <x v="0"/>
    <x v="0"/>
    <n v="1"/>
    <n v="7646"/>
    <x v="2"/>
    <n v="5096"/>
    <x v="0"/>
    <x v="2"/>
    <x v="2"/>
    <x v="10"/>
    <x v="6"/>
    <x v="0"/>
    <x v="1035"/>
    <x v="1482"/>
  </r>
  <r>
    <x v="1702"/>
    <x v="68"/>
    <x v="6"/>
    <x v="6"/>
    <x v="0"/>
    <x v="0"/>
    <n v="1"/>
    <n v="11005"/>
    <x v="2"/>
    <n v="7336"/>
    <x v="0"/>
    <x v="0"/>
    <x v="3"/>
    <x v="10"/>
    <x v="8"/>
    <x v="0"/>
    <x v="234"/>
    <x v="1483"/>
  </r>
  <r>
    <x v="1703"/>
    <x v="15"/>
    <x v="6"/>
    <x v="6"/>
    <x v="1"/>
    <x v="1"/>
    <n v="1"/>
    <n v="10944"/>
    <x v="2"/>
    <n v="7296"/>
    <x v="0"/>
    <x v="1"/>
    <x v="1"/>
    <x v="3"/>
    <x v="1"/>
    <x v="0"/>
    <x v="1036"/>
    <x v="1484"/>
  </r>
  <r>
    <x v="1704"/>
    <x v="269"/>
    <x v="1"/>
    <x v="1"/>
    <x v="0"/>
    <x v="0"/>
    <n v="1"/>
    <n v="5047"/>
    <x v="2"/>
    <n v="3364"/>
    <x v="0"/>
    <x v="2"/>
    <x v="4"/>
    <x v="10"/>
    <x v="4"/>
    <x v="0"/>
    <x v="1037"/>
    <x v="1485"/>
  </r>
  <r>
    <x v="1705"/>
    <x v="82"/>
    <x v="9"/>
    <x v="8"/>
    <x v="1"/>
    <x v="1"/>
    <n v="1"/>
    <n v="14179"/>
    <x v="0"/>
    <n v="4726"/>
    <x v="0"/>
    <x v="0"/>
    <x v="4"/>
    <x v="7"/>
    <x v="4"/>
    <x v="0"/>
    <x v="1038"/>
    <x v="1486"/>
  </r>
  <r>
    <x v="1706"/>
    <x v="279"/>
    <x v="12"/>
    <x v="11"/>
    <x v="1"/>
    <x v="1"/>
    <n v="1"/>
    <n v="5230"/>
    <x v="0"/>
    <n v="1743"/>
    <x v="0"/>
    <x v="0"/>
    <x v="3"/>
    <x v="11"/>
    <x v="1"/>
    <x v="1"/>
    <x v="1039"/>
    <x v="1487"/>
  </r>
  <r>
    <x v="1707"/>
    <x v="331"/>
    <x v="13"/>
    <x v="9"/>
    <x v="0"/>
    <x v="0"/>
    <n v="1"/>
    <n v="4876"/>
    <x v="0"/>
    <n v="1625"/>
    <x v="0"/>
    <x v="2"/>
    <x v="0"/>
    <x v="8"/>
    <x v="1"/>
    <x v="0"/>
    <x v="1040"/>
    <x v="1488"/>
  </r>
  <r>
    <x v="1708"/>
    <x v="229"/>
    <x v="7"/>
    <x v="6"/>
    <x v="1"/>
    <x v="1"/>
    <n v="1"/>
    <n v="8530"/>
    <x v="1"/>
    <n v="8529"/>
    <x v="0"/>
    <x v="1"/>
    <x v="2"/>
    <x v="6"/>
    <x v="8"/>
    <x v="0"/>
    <x v="2"/>
    <x v="1489"/>
  </r>
  <r>
    <x v="1709"/>
    <x v="217"/>
    <x v="9"/>
    <x v="8"/>
    <x v="0"/>
    <x v="0"/>
    <n v="1"/>
    <n v="14220"/>
    <x v="0"/>
    <n v="4740"/>
    <x v="0"/>
    <x v="2"/>
    <x v="0"/>
    <x v="1"/>
    <x v="0"/>
    <x v="0"/>
    <x v="1041"/>
    <x v="1490"/>
  </r>
  <r>
    <x v="1710"/>
    <x v="104"/>
    <x v="2"/>
    <x v="2"/>
    <x v="1"/>
    <x v="1"/>
    <n v="1"/>
    <n v="5734"/>
    <x v="0"/>
    <n v="1911"/>
    <x v="0"/>
    <x v="2"/>
    <x v="2"/>
    <x v="11"/>
    <x v="7"/>
    <x v="1"/>
    <x v="1042"/>
    <x v="1491"/>
  </r>
  <r>
    <x v="1711"/>
    <x v="327"/>
    <x v="0"/>
    <x v="0"/>
    <x v="0"/>
    <x v="0"/>
    <n v="1"/>
    <n v="5527"/>
    <x v="1"/>
    <n v="5526"/>
    <x v="0"/>
    <x v="1"/>
    <x v="3"/>
    <x v="10"/>
    <x v="9"/>
    <x v="1"/>
    <x v="2"/>
    <x v="1492"/>
  </r>
  <r>
    <x v="1712"/>
    <x v="144"/>
    <x v="12"/>
    <x v="11"/>
    <x v="0"/>
    <x v="0"/>
    <n v="1"/>
    <n v="8710"/>
    <x v="1"/>
    <n v="8709"/>
    <x v="0"/>
    <x v="2"/>
    <x v="4"/>
    <x v="13"/>
    <x v="5"/>
    <x v="0"/>
    <x v="2"/>
    <x v="1493"/>
  </r>
  <r>
    <x v="1713"/>
    <x v="8"/>
    <x v="4"/>
    <x v="4"/>
    <x v="1"/>
    <x v="1"/>
    <n v="1"/>
    <n v="5264"/>
    <x v="0"/>
    <n v="1754"/>
    <x v="0"/>
    <x v="0"/>
    <x v="5"/>
    <x v="9"/>
    <x v="6"/>
    <x v="0"/>
    <x v="1043"/>
    <x v="1494"/>
  </r>
  <r>
    <x v="1714"/>
    <x v="206"/>
    <x v="3"/>
    <x v="3"/>
    <x v="1"/>
    <x v="1"/>
    <n v="1"/>
    <n v="4605"/>
    <x v="0"/>
    <n v="1535"/>
    <x v="0"/>
    <x v="2"/>
    <x v="2"/>
    <x v="5"/>
    <x v="3"/>
    <x v="0"/>
    <x v="1044"/>
    <x v="621"/>
  </r>
  <r>
    <x v="1715"/>
    <x v="234"/>
    <x v="13"/>
    <x v="9"/>
    <x v="1"/>
    <x v="1"/>
    <n v="1"/>
    <n v="4901"/>
    <x v="0"/>
    <n v="1633"/>
    <x v="0"/>
    <x v="0"/>
    <x v="2"/>
    <x v="1"/>
    <x v="7"/>
    <x v="0"/>
    <x v="1045"/>
    <x v="1495"/>
  </r>
  <r>
    <x v="1716"/>
    <x v="18"/>
    <x v="2"/>
    <x v="2"/>
    <x v="1"/>
    <x v="1"/>
    <n v="1"/>
    <n v="6050"/>
    <x v="0"/>
    <n v="2016"/>
    <x v="0"/>
    <x v="0"/>
    <x v="3"/>
    <x v="9"/>
    <x v="6"/>
    <x v="0"/>
    <x v="1046"/>
    <x v="1496"/>
  </r>
  <r>
    <x v="1717"/>
    <x v="146"/>
    <x v="5"/>
    <x v="5"/>
    <x v="0"/>
    <x v="0"/>
    <n v="1"/>
    <n v="5975"/>
    <x v="0"/>
    <n v="1991"/>
    <x v="0"/>
    <x v="2"/>
    <x v="0"/>
    <x v="6"/>
    <x v="7"/>
    <x v="0"/>
    <x v="1047"/>
    <x v="1497"/>
  </r>
  <r>
    <x v="1718"/>
    <x v="173"/>
    <x v="2"/>
    <x v="2"/>
    <x v="1"/>
    <x v="1"/>
    <n v="1"/>
    <n v="6348"/>
    <x v="0"/>
    <n v="2116"/>
    <x v="0"/>
    <x v="0"/>
    <x v="5"/>
    <x v="2"/>
    <x v="1"/>
    <x v="1"/>
    <x v="1048"/>
    <x v="1498"/>
  </r>
  <r>
    <x v="1719"/>
    <x v="166"/>
    <x v="3"/>
    <x v="3"/>
    <x v="0"/>
    <x v="0"/>
    <n v="1"/>
    <n v="7203"/>
    <x v="1"/>
    <n v="7203"/>
    <x v="1"/>
    <x v="2"/>
    <x v="1"/>
    <x v="8"/>
    <x v="0"/>
    <x v="1"/>
    <x v="1"/>
    <x v="1499"/>
  </r>
  <r>
    <x v="1720"/>
    <x v="355"/>
    <x v="9"/>
    <x v="8"/>
    <x v="0"/>
    <x v="0"/>
    <n v="1"/>
    <n v="10993"/>
    <x v="0"/>
    <n v="3664"/>
    <x v="0"/>
    <x v="2"/>
    <x v="2"/>
    <x v="7"/>
    <x v="0"/>
    <x v="1"/>
    <x v="1049"/>
    <x v="1500"/>
  </r>
  <r>
    <x v="1721"/>
    <x v="35"/>
    <x v="5"/>
    <x v="5"/>
    <x v="1"/>
    <x v="1"/>
    <n v="1"/>
    <n v="4469"/>
    <x v="1"/>
    <n v="4467"/>
    <x v="0"/>
    <x v="2"/>
    <x v="3"/>
    <x v="10"/>
    <x v="5"/>
    <x v="1"/>
    <x v="4"/>
    <x v="1161"/>
  </r>
  <r>
    <x v="1722"/>
    <x v="179"/>
    <x v="3"/>
    <x v="3"/>
    <x v="0"/>
    <x v="0"/>
    <n v="1"/>
    <n v="7328"/>
    <x v="0"/>
    <n v="2442"/>
    <x v="0"/>
    <x v="0"/>
    <x v="1"/>
    <x v="11"/>
    <x v="9"/>
    <x v="0"/>
    <x v="1050"/>
    <x v="1307"/>
  </r>
  <r>
    <x v="1723"/>
    <x v="299"/>
    <x v="1"/>
    <x v="1"/>
    <x v="0"/>
    <x v="0"/>
    <n v="1"/>
    <n v="6427"/>
    <x v="2"/>
    <n v="4284"/>
    <x v="0"/>
    <x v="0"/>
    <x v="2"/>
    <x v="0"/>
    <x v="9"/>
    <x v="0"/>
    <x v="1051"/>
    <x v="53"/>
  </r>
  <r>
    <x v="1724"/>
    <x v="363"/>
    <x v="11"/>
    <x v="10"/>
    <x v="1"/>
    <x v="1"/>
    <n v="1"/>
    <n v="5336"/>
    <x v="1"/>
    <n v="5334"/>
    <x v="0"/>
    <x v="2"/>
    <x v="2"/>
    <x v="6"/>
    <x v="3"/>
    <x v="0"/>
    <x v="4"/>
    <x v="1501"/>
  </r>
  <r>
    <x v="1725"/>
    <x v="26"/>
    <x v="10"/>
    <x v="9"/>
    <x v="1"/>
    <x v="1"/>
    <n v="1"/>
    <n v="5041"/>
    <x v="0"/>
    <n v="1680"/>
    <x v="0"/>
    <x v="0"/>
    <x v="5"/>
    <x v="9"/>
    <x v="2"/>
    <x v="0"/>
    <x v="1052"/>
    <x v="1502"/>
  </r>
  <r>
    <x v="1726"/>
    <x v="87"/>
    <x v="6"/>
    <x v="6"/>
    <x v="0"/>
    <x v="0"/>
    <n v="1"/>
    <n v="10271"/>
    <x v="0"/>
    <n v="3423"/>
    <x v="0"/>
    <x v="1"/>
    <x v="5"/>
    <x v="13"/>
    <x v="4"/>
    <x v="1"/>
    <x v="1053"/>
    <x v="1503"/>
  </r>
  <r>
    <x v="1727"/>
    <x v="231"/>
    <x v="12"/>
    <x v="11"/>
    <x v="1"/>
    <x v="1"/>
    <n v="1"/>
    <n v="8160"/>
    <x v="0"/>
    <n v="2720"/>
    <x v="0"/>
    <x v="1"/>
    <x v="4"/>
    <x v="12"/>
    <x v="1"/>
    <x v="0"/>
    <x v="1054"/>
    <x v="835"/>
  </r>
  <r>
    <x v="1728"/>
    <x v="278"/>
    <x v="0"/>
    <x v="0"/>
    <x v="1"/>
    <x v="1"/>
    <n v="1"/>
    <n v="6519"/>
    <x v="2"/>
    <n v="4346"/>
    <x v="0"/>
    <x v="0"/>
    <x v="5"/>
    <x v="6"/>
    <x v="8"/>
    <x v="1"/>
    <x v="1055"/>
    <x v="1392"/>
  </r>
  <r>
    <x v="1729"/>
    <x v="259"/>
    <x v="1"/>
    <x v="1"/>
    <x v="1"/>
    <x v="1"/>
    <n v="1"/>
    <n v="5368"/>
    <x v="1"/>
    <n v="5367"/>
    <x v="0"/>
    <x v="1"/>
    <x v="1"/>
    <x v="11"/>
    <x v="3"/>
    <x v="0"/>
    <x v="2"/>
    <x v="1504"/>
  </r>
  <r>
    <x v="1730"/>
    <x v="169"/>
    <x v="6"/>
    <x v="6"/>
    <x v="1"/>
    <x v="1"/>
    <n v="1"/>
    <n v="8160"/>
    <x v="0"/>
    <n v="2720"/>
    <x v="0"/>
    <x v="2"/>
    <x v="2"/>
    <x v="2"/>
    <x v="6"/>
    <x v="0"/>
    <x v="1054"/>
    <x v="835"/>
  </r>
  <r>
    <x v="1731"/>
    <x v="351"/>
    <x v="9"/>
    <x v="8"/>
    <x v="0"/>
    <x v="0"/>
    <n v="1"/>
    <n v="10002"/>
    <x v="2"/>
    <n v="6668"/>
    <x v="0"/>
    <x v="0"/>
    <x v="2"/>
    <x v="7"/>
    <x v="6"/>
    <x v="1"/>
    <x v="1056"/>
    <x v="1505"/>
  </r>
  <r>
    <x v="1732"/>
    <x v="307"/>
    <x v="11"/>
    <x v="10"/>
    <x v="1"/>
    <x v="1"/>
    <n v="1"/>
    <n v="5460"/>
    <x v="2"/>
    <n v="3640"/>
    <x v="0"/>
    <x v="1"/>
    <x v="2"/>
    <x v="1"/>
    <x v="7"/>
    <x v="0"/>
    <x v="1057"/>
    <x v="190"/>
  </r>
  <r>
    <x v="1733"/>
    <x v="179"/>
    <x v="1"/>
    <x v="1"/>
    <x v="0"/>
    <x v="0"/>
    <n v="1"/>
    <n v="6396"/>
    <x v="1"/>
    <n v="6396"/>
    <x v="1"/>
    <x v="0"/>
    <x v="1"/>
    <x v="5"/>
    <x v="8"/>
    <x v="1"/>
    <x v="1"/>
    <x v="1506"/>
  </r>
  <r>
    <x v="1734"/>
    <x v="5"/>
    <x v="7"/>
    <x v="6"/>
    <x v="1"/>
    <x v="1"/>
    <n v="1"/>
    <n v="10466"/>
    <x v="0"/>
    <n v="3488"/>
    <x v="0"/>
    <x v="1"/>
    <x v="3"/>
    <x v="7"/>
    <x v="8"/>
    <x v="1"/>
    <x v="1058"/>
    <x v="1507"/>
  </r>
  <r>
    <x v="1735"/>
    <x v="311"/>
    <x v="6"/>
    <x v="6"/>
    <x v="1"/>
    <x v="1"/>
    <n v="1"/>
    <n v="11257"/>
    <x v="0"/>
    <n v="3752"/>
    <x v="0"/>
    <x v="0"/>
    <x v="1"/>
    <x v="5"/>
    <x v="7"/>
    <x v="1"/>
    <x v="1059"/>
    <x v="1508"/>
  </r>
  <r>
    <x v="1736"/>
    <x v="259"/>
    <x v="5"/>
    <x v="5"/>
    <x v="0"/>
    <x v="0"/>
    <n v="1"/>
    <n v="3988"/>
    <x v="1"/>
    <n v="3987"/>
    <x v="0"/>
    <x v="2"/>
    <x v="3"/>
    <x v="1"/>
    <x v="4"/>
    <x v="1"/>
    <x v="2"/>
    <x v="360"/>
  </r>
  <r>
    <x v="1737"/>
    <x v="213"/>
    <x v="3"/>
    <x v="3"/>
    <x v="0"/>
    <x v="0"/>
    <n v="1"/>
    <n v="5291"/>
    <x v="2"/>
    <n v="3526"/>
    <x v="0"/>
    <x v="1"/>
    <x v="3"/>
    <x v="4"/>
    <x v="1"/>
    <x v="1"/>
    <x v="1060"/>
    <x v="1509"/>
  </r>
  <r>
    <x v="1738"/>
    <x v="161"/>
    <x v="4"/>
    <x v="4"/>
    <x v="0"/>
    <x v="0"/>
    <n v="1"/>
    <n v="5470"/>
    <x v="2"/>
    <n v="3646"/>
    <x v="0"/>
    <x v="1"/>
    <x v="1"/>
    <x v="7"/>
    <x v="6"/>
    <x v="0"/>
    <x v="1061"/>
    <x v="680"/>
  </r>
  <r>
    <x v="1739"/>
    <x v="305"/>
    <x v="7"/>
    <x v="6"/>
    <x v="1"/>
    <x v="1"/>
    <n v="1"/>
    <n v="9455"/>
    <x v="0"/>
    <n v="3151"/>
    <x v="0"/>
    <x v="0"/>
    <x v="2"/>
    <x v="7"/>
    <x v="0"/>
    <x v="0"/>
    <x v="1062"/>
    <x v="1510"/>
  </r>
  <r>
    <x v="1740"/>
    <x v="253"/>
    <x v="6"/>
    <x v="6"/>
    <x v="0"/>
    <x v="0"/>
    <n v="1"/>
    <n v="10102"/>
    <x v="0"/>
    <n v="3367"/>
    <x v="0"/>
    <x v="1"/>
    <x v="0"/>
    <x v="10"/>
    <x v="5"/>
    <x v="1"/>
    <x v="1063"/>
    <x v="1511"/>
  </r>
  <r>
    <x v="1741"/>
    <x v="39"/>
    <x v="12"/>
    <x v="11"/>
    <x v="1"/>
    <x v="1"/>
    <n v="1"/>
    <n v="8358"/>
    <x v="1"/>
    <n v="8358"/>
    <x v="1"/>
    <x v="1"/>
    <x v="1"/>
    <x v="3"/>
    <x v="7"/>
    <x v="1"/>
    <x v="1"/>
    <x v="1512"/>
  </r>
  <r>
    <x v="1742"/>
    <x v="17"/>
    <x v="2"/>
    <x v="2"/>
    <x v="0"/>
    <x v="0"/>
    <n v="1"/>
    <n v="5503"/>
    <x v="1"/>
    <n v="5502"/>
    <x v="0"/>
    <x v="1"/>
    <x v="4"/>
    <x v="10"/>
    <x v="5"/>
    <x v="0"/>
    <x v="2"/>
    <x v="186"/>
  </r>
  <r>
    <x v="1743"/>
    <x v="76"/>
    <x v="0"/>
    <x v="0"/>
    <x v="0"/>
    <x v="0"/>
    <n v="1"/>
    <n v="5475"/>
    <x v="1"/>
    <n v="5475"/>
    <x v="1"/>
    <x v="2"/>
    <x v="1"/>
    <x v="14"/>
    <x v="1"/>
    <x v="1"/>
    <x v="1"/>
    <x v="1513"/>
  </r>
  <r>
    <x v="1744"/>
    <x v="95"/>
    <x v="13"/>
    <x v="9"/>
    <x v="0"/>
    <x v="0"/>
    <n v="1"/>
    <n v="4471"/>
    <x v="1"/>
    <n v="4470"/>
    <x v="0"/>
    <x v="1"/>
    <x v="1"/>
    <x v="11"/>
    <x v="1"/>
    <x v="1"/>
    <x v="2"/>
    <x v="1514"/>
  </r>
  <r>
    <x v="1745"/>
    <x v="131"/>
    <x v="5"/>
    <x v="5"/>
    <x v="1"/>
    <x v="1"/>
    <n v="1"/>
    <n v="4935"/>
    <x v="1"/>
    <n v="4935"/>
    <x v="1"/>
    <x v="0"/>
    <x v="2"/>
    <x v="4"/>
    <x v="6"/>
    <x v="0"/>
    <x v="1"/>
    <x v="1515"/>
  </r>
  <r>
    <x v="1746"/>
    <x v="192"/>
    <x v="7"/>
    <x v="6"/>
    <x v="1"/>
    <x v="1"/>
    <n v="1"/>
    <n v="11065"/>
    <x v="0"/>
    <n v="3688"/>
    <x v="0"/>
    <x v="2"/>
    <x v="4"/>
    <x v="4"/>
    <x v="5"/>
    <x v="0"/>
    <x v="1064"/>
    <x v="303"/>
  </r>
  <r>
    <x v="1747"/>
    <x v="148"/>
    <x v="10"/>
    <x v="9"/>
    <x v="1"/>
    <x v="1"/>
    <n v="1"/>
    <n v="5604"/>
    <x v="0"/>
    <n v="1868"/>
    <x v="0"/>
    <x v="2"/>
    <x v="3"/>
    <x v="6"/>
    <x v="4"/>
    <x v="0"/>
    <x v="1065"/>
    <x v="1516"/>
  </r>
  <r>
    <x v="1748"/>
    <x v="102"/>
    <x v="3"/>
    <x v="3"/>
    <x v="1"/>
    <x v="1"/>
    <n v="1"/>
    <n v="6091"/>
    <x v="2"/>
    <n v="4060"/>
    <x v="0"/>
    <x v="2"/>
    <x v="2"/>
    <x v="4"/>
    <x v="6"/>
    <x v="0"/>
    <x v="571"/>
    <x v="831"/>
  </r>
  <r>
    <x v="1749"/>
    <x v="56"/>
    <x v="3"/>
    <x v="3"/>
    <x v="1"/>
    <x v="1"/>
    <n v="1"/>
    <n v="5216"/>
    <x v="2"/>
    <n v="3476"/>
    <x v="0"/>
    <x v="0"/>
    <x v="5"/>
    <x v="6"/>
    <x v="8"/>
    <x v="0"/>
    <x v="1011"/>
    <x v="116"/>
  </r>
  <r>
    <x v="1750"/>
    <x v="292"/>
    <x v="8"/>
    <x v="7"/>
    <x v="1"/>
    <x v="1"/>
    <n v="1"/>
    <n v="10052"/>
    <x v="0"/>
    <n v="3350"/>
    <x v="0"/>
    <x v="1"/>
    <x v="2"/>
    <x v="12"/>
    <x v="7"/>
    <x v="1"/>
    <x v="1066"/>
    <x v="1517"/>
  </r>
  <r>
    <x v="1751"/>
    <x v="148"/>
    <x v="1"/>
    <x v="1"/>
    <x v="0"/>
    <x v="0"/>
    <n v="1"/>
    <n v="6548"/>
    <x v="2"/>
    <n v="4364"/>
    <x v="0"/>
    <x v="0"/>
    <x v="1"/>
    <x v="8"/>
    <x v="0"/>
    <x v="1"/>
    <x v="1067"/>
    <x v="1518"/>
  </r>
  <r>
    <x v="1752"/>
    <x v="327"/>
    <x v="4"/>
    <x v="4"/>
    <x v="1"/>
    <x v="1"/>
    <n v="1"/>
    <n v="4694"/>
    <x v="1"/>
    <n v="4692"/>
    <x v="0"/>
    <x v="2"/>
    <x v="1"/>
    <x v="10"/>
    <x v="3"/>
    <x v="1"/>
    <x v="4"/>
    <x v="402"/>
  </r>
  <r>
    <x v="1753"/>
    <x v="197"/>
    <x v="11"/>
    <x v="10"/>
    <x v="1"/>
    <x v="1"/>
    <n v="1"/>
    <n v="5663"/>
    <x v="0"/>
    <n v="1887"/>
    <x v="0"/>
    <x v="0"/>
    <x v="5"/>
    <x v="4"/>
    <x v="3"/>
    <x v="0"/>
    <x v="1068"/>
    <x v="1519"/>
  </r>
  <r>
    <x v="1754"/>
    <x v="85"/>
    <x v="1"/>
    <x v="1"/>
    <x v="1"/>
    <x v="1"/>
    <n v="1"/>
    <n v="6708"/>
    <x v="2"/>
    <n v="4472"/>
    <x v="0"/>
    <x v="1"/>
    <x v="5"/>
    <x v="4"/>
    <x v="9"/>
    <x v="1"/>
    <x v="929"/>
    <x v="1332"/>
  </r>
  <r>
    <x v="1755"/>
    <x v="231"/>
    <x v="2"/>
    <x v="2"/>
    <x v="0"/>
    <x v="0"/>
    <n v="1"/>
    <n v="7887"/>
    <x v="0"/>
    <n v="2629"/>
    <x v="0"/>
    <x v="1"/>
    <x v="5"/>
    <x v="1"/>
    <x v="4"/>
    <x v="1"/>
    <x v="1069"/>
    <x v="1520"/>
  </r>
  <r>
    <x v="1756"/>
    <x v="103"/>
    <x v="3"/>
    <x v="3"/>
    <x v="0"/>
    <x v="0"/>
    <n v="1"/>
    <n v="4076"/>
    <x v="0"/>
    <n v="1358"/>
    <x v="0"/>
    <x v="1"/>
    <x v="0"/>
    <x v="4"/>
    <x v="5"/>
    <x v="0"/>
    <x v="1070"/>
    <x v="1521"/>
  </r>
  <r>
    <x v="1757"/>
    <x v="87"/>
    <x v="10"/>
    <x v="9"/>
    <x v="0"/>
    <x v="0"/>
    <n v="1"/>
    <n v="5323"/>
    <x v="0"/>
    <n v="1774"/>
    <x v="0"/>
    <x v="2"/>
    <x v="2"/>
    <x v="6"/>
    <x v="9"/>
    <x v="0"/>
    <x v="1071"/>
    <x v="204"/>
  </r>
  <r>
    <x v="1758"/>
    <x v="190"/>
    <x v="13"/>
    <x v="9"/>
    <x v="0"/>
    <x v="0"/>
    <n v="1"/>
    <n v="4397"/>
    <x v="0"/>
    <n v="1465"/>
    <x v="0"/>
    <x v="1"/>
    <x v="3"/>
    <x v="13"/>
    <x v="3"/>
    <x v="0"/>
    <x v="1072"/>
    <x v="966"/>
  </r>
  <r>
    <x v="1759"/>
    <x v="307"/>
    <x v="9"/>
    <x v="8"/>
    <x v="0"/>
    <x v="0"/>
    <n v="1"/>
    <n v="14159"/>
    <x v="1"/>
    <n v="14157"/>
    <x v="0"/>
    <x v="2"/>
    <x v="1"/>
    <x v="4"/>
    <x v="4"/>
    <x v="0"/>
    <x v="4"/>
    <x v="1522"/>
  </r>
  <r>
    <x v="1760"/>
    <x v="89"/>
    <x v="8"/>
    <x v="7"/>
    <x v="0"/>
    <x v="0"/>
    <n v="1"/>
    <n v="7879"/>
    <x v="1"/>
    <n v="7878"/>
    <x v="0"/>
    <x v="1"/>
    <x v="0"/>
    <x v="12"/>
    <x v="1"/>
    <x v="0"/>
    <x v="2"/>
    <x v="1523"/>
  </r>
  <r>
    <x v="1761"/>
    <x v="121"/>
    <x v="5"/>
    <x v="5"/>
    <x v="1"/>
    <x v="1"/>
    <n v="1"/>
    <n v="5713"/>
    <x v="0"/>
    <n v="1904"/>
    <x v="0"/>
    <x v="1"/>
    <x v="0"/>
    <x v="5"/>
    <x v="8"/>
    <x v="0"/>
    <x v="1073"/>
    <x v="1524"/>
  </r>
  <r>
    <x v="1762"/>
    <x v="74"/>
    <x v="13"/>
    <x v="9"/>
    <x v="0"/>
    <x v="0"/>
    <n v="1"/>
    <n v="3221"/>
    <x v="1"/>
    <n v="3219"/>
    <x v="0"/>
    <x v="2"/>
    <x v="4"/>
    <x v="1"/>
    <x v="6"/>
    <x v="0"/>
    <x v="4"/>
    <x v="1525"/>
  </r>
  <r>
    <x v="1763"/>
    <x v="114"/>
    <x v="11"/>
    <x v="10"/>
    <x v="0"/>
    <x v="0"/>
    <n v="1"/>
    <n v="5788"/>
    <x v="2"/>
    <n v="3858"/>
    <x v="0"/>
    <x v="0"/>
    <x v="3"/>
    <x v="5"/>
    <x v="7"/>
    <x v="0"/>
    <x v="1074"/>
    <x v="1311"/>
  </r>
  <r>
    <x v="1764"/>
    <x v="147"/>
    <x v="0"/>
    <x v="0"/>
    <x v="1"/>
    <x v="1"/>
    <n v="1"/>
    <n v="4532"/>
    <x v="0"/>
    <n v="1510"/>
    <x v="0"/>
    <x v="0"/>
    <x v="0"/>
    <x v="6"/>
    <x v="4"/>
    <x v="1"/>
    <x v="506"/>
    <x v="226"/>
  </r>
  <r>
    <x v="1765"/>
    <x v="342"/>
    <x v="7"/>
    <x v="6"/>
    <x v="1"/>
    <x v="1"/>
    <n v="1"/>
    <n v="10337"/>
    <x v="1"/>
    <n v="10335"/>
    <x v="0"/>
    <x v="0"/>
    <x v="4"/>
    <x v="8"/>
    <x v="8"/>
    <x v="0"/>
    <x v="4"/>
    <x v="1526"/>
  </r>
  <r>
    <x v="1766"/>
    <x v="211"/>
    <x v="4"/>
    <x v="4"/>
    <x v="0"/>
    <x v="0"/>
    <n v="1"/>
    <n v="4490"/>
    <x v="1"/>
    <n v="4488"/>
    <x v="0"/>
    <x v="1"/>
    <x v="3"/>
    <x v="10"/>
    <x v="3"/>
    <x v="1"/>
    <x v="4"/>
    <x v="1527"/>
  </r>
  <r>
    <x v="1767"/>
    <x v="231"/>
    <x v="12"/>
    <x v="11"/>
    <x v="0"/>
    <x v="0"/>
    <n v="1"/>
    <n v="5447"/>
    <x v="0"/>
    <n v="1815"/>
    <x v="0"/>
    <x v="2"/>
    <x v="5"/>
    <x v="2"/>
    <x v="5"/>
    <x v="1"/>
    <x v="437"/>
    <x v="1528"/>
  </r>
  <r>
    <x v="1768"/>
    <x v="48"/>
    <x v="2"/>
    <x v="2"/>
    <x v="1"/>
    <x v="1"/>
    <n v="1"/>
    <n v="5375"/>
    <x v="0"/>
    <n v="1791"/>
    <x v="0"/>
    <x v="2"/>
    <x v="4"/>
    <x v="3"/>
    <x v="6"/>
    <x v="0"/>
    <x v="1075"/>
    <x v="1529"/>
  </r>
  <r>
    <x v="1769"/>
    <x v="231"/>
    <x v="11"/>
    <x v="10"/>
    <x v="0"/>
    <x v="0"/>
    <n v="1"/>
    <n v="4307"/>
    <x v="1"/>
    <n v="4305"/>
    <x v="0"/>
    <x v="2"/>
    <x v="1"/>
    <x v="6"/>
    <x v="1"/>
    <x v="0"/>
    <x v="4"/>
    <x v="403"/>
  </r>
  <r>
    <x v="1770"/>
    <x v="250"/>
    <x v="5"/>
    <x v="5"/>
    <x v="1"/>
    <x v="1"/>
    <n v="1"/>
    <n v="3850"/>
    <x v="0"/>
    <n v="1283"/>
    <x v="0"/>
    <x v="0"/>
    <x v="4"/>
    <x v="4"/>
    <x v="5"/>
    <x v="1"/>
    <x v="1076"/>
    <x v="1530"/>
  </r>
  <r>
    <x v="1771"/>
    <x v="348"/>
    <x v="1"/>
    <x v="1"/>
    <x v="0"/>
    <x v="0"/>
    <n v="1"/>
    <n v="6930"/>
    <x v="2"/>
    <n v="4620"/>
    <x v="0"/>
    <x v="2"/>
    <x v="4"/>
    <x v="14"/>
    <x v="3"/>
    <x v="0"/>
    <x v="1077"/>
    <x v="958"/>
  </r>
  <r>
    <x v="1772"/>
    <x v="182"/>
    <x v="8"/>
    <x v="7"/>
    <x v="1"/>
    <x v="1"/>
    <n v="1"/>
    <n v="7246"/>
    <x v="2"/>
    <n v="4830"/>
    <x v="0"/>
    <x v="2"/>
    <x v="3"/>
    <x v="11"/>
    <x v="0"/>
    <x v="1"/>
    <x v="1078"/>
    <x v="367"/>
  </r>
  <r>
    <x v="1773"/>
    <x v="113"/>
    <x v="10"/>
    <x v="9"/>
    <x v="1"/>
    <x v="1"/>
    <n v="1"/>
    <n v="4739"/>
    <x v="1"/>
    <n v="4737"/>
    <x v="0"/>
    <x v="1"/>
    <x v="0"/>
    <x v="4"/>
    <x v="5"/>
    <x v="1"/>
    <x v="4"/>
    <x v="1531"/>
  </r>
  <r>
    <x v="1774"/>
    <x v="131"/>
    <x v="3"/>
    <x v="3"/>
    <x v="0"/>
    <x v="0"/>
    <n v="1"/>
    <n v="6368"/>
    <x v="2"/>
    <n v="4244"/>
    <x v="0"/>
    <x v="0"/>
    <x v="1"/>
    <x v="10"/>
    <x v="8"/>
    <x v="1"/>
    <x v="297"/>
    <x v="1532"/>
  </r>
  <r>
    <x v="1775"/>
    <x v="253"/>
    <x v="11"/>
    <x v="10"/>
    <x v="1"/>
    <x v="1"/>
    <n v="1"/>
    <n v="5621"/>
    <x v="2"/>
    <n v="3746"/>
    <x v="0"/>
    <x v="2"/>
    <x v="3"/>
    <x v="14"/>
    <x v="6"/>
    <x v="1"/>
    <x v="1079"/>
    <x v="1533"/>
  </r>
  <r>
    <x v="1776"/>
    <x v="18"/>
    <x v="6"/>
    <x v="6"/>
    <x v="1"/>
    <x v="1"/>
    <n v="1"/>
    <n v="11201"/>
    <x v="1"/>
    <n v="11199"/>
    <x v="0"/>
    <x v="0"/>
    <x v="5"/>
    <x v="1"/>
    <x v="2"/>
    <x v="0"/>
    <x v="4"/>
    <x v="1534"/>
  </r>
  <r>
    <x v="1777"/>
    <x v="12"/>
    <x v="11"/>
    <x v="10"/>
    <x v="1"/>
    <x v="1"/>
    <n v="1"/>
    <n v="5069"/>
    <x v="1"/>
    <n v="5067"/>
    <x v="0"/>
    <x v="2"/>
    <x v="3"/>
    <x v="6"/>
    <x v="7"/>
    <x v="0"/>
    <x v="4"/>
    <x v="1535"/>
  </r>
  <r>
    <x v="1778"/>
    <x v="160"/>
    <x v="6"/>
    <x v="6"/>
    <x v="0"/>
    <x v="0"/>
    <n v="1"/>
    <n v="11270"/>
    <x v="2"/>
    <n v="7512"/>
    <x v="0"/>
    <x v="0"/>
    <x v="1"/>
    <x v="5"/>
    <x v="5"/>
    <x v="1"/>
    <x v="591"/>
    <x v="1536"/>
  </r>
  <r>
    <x v="1779"/>
    <x v="257"/>
    <x v="3"/>
    <x v="3"/>
    <x v="0"/>
    <x v="0"/>
    <n v="1"/>
    <n v="6246"/>
    <x v="1"/>
    <n v="6246"/>
    <x v="1"/>
    <x v="1"/>
    <x v="0"/>
    <x v="4"/>
    <x v="5"/>
    <x v="0"/>
    <x v="1"/>
    <x v="1537"/>
  </r>
  <r>
    <x v="1780"/>
    <x v="302"/>
    <x v="13"/>
    <x v="9"/>
    <x v="1"/>
    <x v="1"/>
    <n v="1"/>
    <n v="3699"/>
    <x v="2"/>
    <n v="2466"/>
    <x v="0"/>
    <x v="0"/>
    <x v="5"/>
    <x v="9"/>
    <x v="0"/>
    <x v="1"/>
    <x v="1080"/>
    <x v="1538"/>
  </r>
  <r>
    <x v="1781"/>
    <x v="322"/>
    <x v="6"/>
    <x v="6"/>
    <x v="0"/>
    <x v="0"/>
    <n v="1"/>
    <n v="11038"/>
    <x v="1"/>
    <n v="11037"/>
    <x v="0"/>
    <x v="1"/>
    <x v="5"/>
    <x v="8"/>
    <x v="4"/>
    <x v="0"/>
    <x v="2"/>
    <x v="1539"/>
  </r>
  <r>
    <x v="1782"/>
    <x v="125"/>
    <x v="9"/>
    <x v="8"/>
    <x v="0"/>
    <x v="0"/>
    <n v="1"/>
    <n v="10828"/>
    <x v="2"/>
    <n v="7218"/>
    <x v="0"/>
    <x v="2"/>
    <x v="5"/>
    <x v="2"/>
    <x v="0"/>
    <x v="1"/>
    <x v="1081"/>
    <x v="1540"/>
  </r>
  <r>
    <x v="1783"/>
    <x v="260"/>
    <x v="11"/>
    <x v="10"/>
    <x v="1"/>
    <x v="1"/>
    <n v="1"/>
    <n v="5668"/>
    <x v="2"/>
    <n v="3778"/>
    <x v="0"/>
    <x v="1"/>
    <x v="2"/>
    <x v="6"/>
    <x v="1"/>
    <x v="1"/>
    <x v="1082"/>
    <x v="1001"/>
  </r>
  <r>
    <x v="1784"/>
    <x v="95"/>
    <x v="0"/>
    <x v="0"/>
    <x v="1"/>
    <x v="1"/>
    <n v="1"/>
    <n v="7129"/>
    <x v="2"/>
    <n v="4752"/>
    <x v="0"/>
    <x v="1"/>
    <x v="5"/>
    <x v="6"/>
    <x v="3"/>
    <x v="1"/>
    <x v="1083"/>
    <x v="545"/>
  </r>
  <r>
    <x v="1785"/>
    <x v="269"/>
    <x v="1"/>
    <x v="1"/>
    <x v="0"/>
    <x v="0"/>
    <n v="1"/>
    <n v="6069"/>
    <x v="2"/>
    <n v="4046"/>
    <x v="0"/>
    <x v="1"/>
    <x v="0"/>
    <x v="3"/>
    <x v="5"/>
    <x v="0"/>
    <x v="1024"/>
    <x v="1467"/>
  </r>
  <r>
    <x v="1786"/>
    <x v="181"/>
    <x v="4"/>
    <x v="4"/>
    <x v="0"/>
    <x v="0"/>
    <n v="1"/>
    <n v="6268"/>
    <x v="2"/>
    <n v="4178"/>
    <x v="0"/>
    <x v="1"/>
    <x v="2"/>
    <x v="10"/>
    <x v="2"/>
    <x v="1"/>
    <x v="381"/>
    <x v="1541"/>
  </r>
  <r>
    <x v="1787"/>
    <x v="123"/>
    <x v="1"/>
    <x v="1"/>
    <x v="0"/>
    <x v="0"/>
    <n v="1"/>
    <n v="6761"/>
    <x v="2"/>
    <n v="4506"/>
    <x v="0"/>
    <x v="1"/>
    <x v="2"/>
    <x v="3"/>
    <x v="4"/>
    <x v="1"/>
    <x v="1084"/>
    <x v="319"/>
  </r>
  <r>
    <x v="1788"/>
    <x v="174"/>
    <x v="8"/>
    <x v="7"/>
    <x v="1"/>
    <x v="1"/>
    <n v="1"/>
    <n v="10624"/>
    <x v="1"/>
    <n v="10623"/>
    <x v="0"/>
    <x v="1"/>
    <x v="0"/>
    <x v="11"/>
    <x v="7"/>
    <x v="0"/>
    <x v="2"/>
    <x v="296"/>
  </r>
  <r>
    <x v="1789"/>
    <x v="117"/>
    <x v="12"/>
    <x v="11"/>
    <x v="1"/>
    <x v="1"/>
    <n v="1"/>
    <n v="5468"/>
    <x v="2"/>
    <n v="3644"/>
    <x v="0"/>
    <x v="0"/>
    <x v="2"/>
    <x v="5"/>
    <x v="9"/>
    <x v="1"/>
    <x v="1061"/>
    <x v="1542"/>
  </r>
  <r>
    <x v="1790"/>
    <x v="241"/>
    <x v="5"/>
    <x v="5"/>
    <x v="1"/>
    <x v="1"/>
    <n v="1"/>
    <n v="5659"/>
    <x v="0"/>
    <n v="1886"/>
    <x v="0"/>
    <x v="1"/>
    <x v="3"/>
    <x v="14"/>
    <x v="1"/>
    <x v="1"/>
    <x v="1085"/>
    <x v="1543"/>
  </r>
  <r>
    <x v="1791"/>
    <x v="11"/>
    <x v="10"/>
    <x v="9"/>
    <x v="1"/>
    <x v="1"/>
    <n v="1"/>
    <n v="6581"/>
    <x v="2"/>
    <n v="4386"/>
    <x v="0"/>
    <x v="0"/>
    <x v="4"/>
    <x v="8"/>
    <x v="5"/>
    <x v="1"/>
    <x v="1086"/>
    <x v="1544"/>
  </r>
  <r>
    <x v="1792"/>
    <x v="16"/>
    <x v="3"/>
    <x v="3"/>
    <x v="0"/>
    <x v="0"/>
    <n v="1"/>
    <n v="4923"/>
    <x v="2"/>
    <n v="3282"/>
    <x v="0"/>
    <x v="2"/>
    <x v="5"/>
    <x v="7"/>
    <x v="8"/>
    <x v="1"/>
    <x v="1087"/>
    <x v="1545"/>
  </r>
  <r>
    <x v="1793"/>
    <x v="139"/>
    <x v="2"/>
    <x v="2"/>
    <x v="0"/>
    <x v="0"/>
    <n v="1"/>
    <n v="7145"/>
    <x v="2"/>
    <n v="4762"/>
    <x v="0"/>
    <x v="2"/>
    <x v="3"/>
    <x v="2"/>
    <x v="3"/>
    <x v="1"/>
    <x v="1088"/>
    <x v="1546"/>
  </r>
  <r>
    <x v="1794"/>
    <x v="330"/>
    <x v="13"/>
    <x v="9"/>
    <x v="0"/>
    <x v="0"/>
    <n v="1"/>
    <n v="3061"/>
    <x v="2"/>
    <n v="2040"/>
    <x v="0"/>
    <x v="0"/>
    <x v="2"/>
    <x v="8"/>
    <x v="4"/>
    <x v="1"/>
    <x v="1089"/>
    <x v="1547"/>
  </r>
  <r>
    <x v="1795"/>
    <x v="301"/>
    <x v="7"/>
    <x v="6"/>
    <x v="0"/>
    <x v="0"/>
    <n v="1"/>
    <n v="7549"/>
    <x v="1"/>
    <n v="7548"/>
    <x v="0"/>
    <x v="0"/>
    <x v="0"/>
    <x v="13"/>
    <x v="2"/>
    <x v="0"/>
    <x v="2"/>
    <x v="1548"/>
  </r>
  <r>
    <x v="1796"/>
    <x v="352"/>
    <x v="2"/>
    <x v="2"/>
    <x v="0"/>
    <x v="0"/>
    <n v="1"/>
    <n v="7912"/>
    <x v="0"/>
    <n v="2637"/>
    <x v="0"/>
    <x v="2"/>
    <x v="1"/>
    <x v="5"/>
    <x v="7"/>
    <x v="1"/>
    <x v="1090"/>
    <x v="283"/>
  </r>
  <r>
    <x v="1797"/>
    <x v="70"/>
    <x v="3"/>
    <x v="3"/>
    <x v="0"/>
    <x v="0"/>
    <n v="1"/>
    <n v="6011"/>
    <x v="2"/>
    <n v="4006"/>
    <x v="0"/>
    <x v="0"/>
    <x v="2"/>
    <x v="8"/>
    <x v="8"/>
    <x v="1"/>
    <x v="1091"/>
    <x v="1549"/>
  </r>
  <r>
    <x v="1798"/>
    <x v="135"/>
    <x v="11"/>
    <x v="10"/>
    <x v="1"/>
    <x v="1"/>
    <n v="1"/>
    <n v="5460"/>
    <x v="0"/>
    <n v="1820"/>
    <x v="0"/>
    <x v="0"/>
    <x v="3"/>
    <x v="11"/>
    <x v="4"/>
    <x v="0"/>
    <x v="1092"/>
    <x v="1550"/>
  </r>
  <r>
    <x v="1799"/>
    <x v="62"/>
    <x v="5"/>
    <x v="5"/>
    <x v="0"/>
    <x v="0"/>
    <n v="1"/>
    <n v="5224"/>
    <x v="2"/>
    <n v="3482"/>
    <x v="0"/>
    <x v="1"/>
    <x v="0"/>
    <x v="0"/>
    <x v="1"/>
    <x v="1"/>
    <x v="1093"/>
    <x v="1551"/>
  </r>
  <r>
    <x v="1800"/>
    <x v="136"/>
    <x v="13"/>
    <x v="9"/>
    <x v="1"/>
    <x v="1"/>
    <n v="1"/>
    <n v="4641"/>
    <x v="0"/>
    <n v="1547"/>
    <x v="0"/>
    <x v="0"/>
    <x v="5"/>
    <x v="14"/>
    <x v="0"/>
    <x v="0"/>
    <x v="1094"/>
    <x v="1552"/>
  </r>
  <r>
    <x v="1801"/>
    <x v="17"/>
    <x v="7"/>
    <x v="6"/>
    <x v="0"/>
    <x v="0"/>
    <n v="1"/>
    <n v="10363"/>
    <x v="1"/>
    <n v="10362"/>
    <x v="0"/>
    <x v="0"/>
    <x v="4"/>
    <x v="11"/>
    <x v="6"/>
    <x v="0"/>
    <x v="2"/>
    <x v="1553"/>
  </r>
  <r>
    <x v="1802"/>
    <x v="111"/>
    <x v="2"/>
    <x v="2"/>
    <x v="1"/>
    <x v="1"/>
    <n v="1"/>
    <n v="6849"/>
    <x v="2"/>
    <n v="4566"/>
    <x v="0"/>
    <x v="1"/>
    <x v="0"/>
    <x v="0"/>
    <x v="8"/>
    <x v="1"/>
    <x v="1095"/>
    <x v="464"/>
  </r>
  <r>
    <x v="1803"/>
    <x v="312"/>
    <x v="9"/>
    <x v="8"/>
    <x v="1"/>
    <x v="1"/>
    <n v="1"/>
    <n v="9099"/>
    <x v="1"/>
    <n v="9099"/>
    <x v="1"/>
    <x v="1"/>
    <x v="3"/>
    <x v="2"/>
    <x v="1"/>
    <x v="0"/>
    <x v="1"/>
    <x v="1554"/>
  </r>
  <r>
    <x v="1804"/>
    <x v="77"/>
    <x v="3"/>
    <x v="3"/>
    <x v="1"/>
    <x v="1"/>
    <n v="1"/>
    <n v="6358"/>
    <x v="1"/>
    <n v="6357"/>
    <x v="0"/>
    <x v="1"/>
    <x v="1"/>
    <x v="0"/>
    <x v="3"/>
    <x v="0"/>
    <x v="2"/>
    <x v="550"/>
  </r>
  <r>
    <x v="1805"/>
    <x v="142"/>
    <x v="11"/>
    <x v="10"/>
    <x v="0"/>
    <x v="0"/>
    <n v="1"/>
    <n v="4207"/>
    <x v="1"/>
    <n v="4206"/>
    <x v="0"/>
    <x v="0"/>
    <x v="1"/>
    <x v="0"/>
    <x v="9"/>
    <x v="0"/>
    <x v="2"/>
    <x v="573"/>
  </r>
  <r>
    <x v="1806"/>
    <x v="70"/>
    <x v="13"/>
    <x v="9"/>
    <x v="0"/>
    <x v="0"/>
    <n v="1"/>
    <n v="3747"/>
    <x v="2"/>
    <n v="2498"/>
    <x v="0"/>
    <x v="1"/>
    <x v="2"/>
    <x v="9"/>
    <x v="6"/>
    <x v="0"/>
    <x v="1096"/>
    <x v="1555"/>
  </r>
  <r>
    <x v="1807"/>
    <x v="5"/>
    <x v="10"/>
    <x v="9"/>
    <x v="0"/>
    <x v="0"/>
    <n v="1"/>
    <n v="5857"/>
    <x v="0"/>
    <n v="1952"/>
    <x v="0"/>
    <x v="0"/>
    <x v="0"/>
    <x v="8"/>
    <x v="2"/>
    <x v="0"/>
    <x v="1097"/>
    <x v="1556"/>
  </r>
  <r>
    <x v="1808"/>
    <x v="151"/>
    <x v="0"/>
    <x v="0"/>
    <x v="0"/>
    <x v="0"/>
    <n v="1"/>
    <n v="4830"/>
    <x v="1"/>
    <n v="4830"/>
    <x v="1"/>
    <x v="2"/>
    <x v="2"/>
    <x v="1"/>
    <x v="1"/>
    <x v="1"/>
    <x v="1"/>
    <x v="367"/>
  </r>
  <r>
    <x v="1809"/>
    <x v="55"/>
    <x v="0"/>
    <x v="0"/>
    <x v="1"/>
    <x v="1"/>
    <n v="1"/>
    <n v="5006"/>
    <x v="1"/>
    <n v="5004"/>
    <x v="0"/>
    <x v="0"/>
    <x v="5"/>
    <x v="14"/>
    <x v="8"/>
    <x v="1"/>
    <x v="4"/>
    <x v="623"/>
  </r>
  <r>
    <x v="1810"/>
    <x v="176"/>
    <x v="12"/>
    <x v="11"/>
    <x v="1"/>
    <x v="1"/>
    <n v="1"/>
    <n v="5953"/>
    <x v="2"/>
    <n v="3968"/>
    <x v="0"/>
    <x v="1"/>
    <x v="3"/>
    <x v="12"/>
    <x v="4"/>
    <x v="0"/>
    <x v="1098"/>
    <x v="1557"/>
  </r>
  <r>
    <x v="1811"/>
    <x v="49"/>
    <x v="1"/>
    <x v="1"/>
    <x v="1"/>
    <x v="1"/>
    <n v="1"/>
    <n v="4806"/>
    <x v="1"/>
    <n v="4806"/>
    <x v="1"/>
    <x v="0"/>
    <x v="3"/>
    <x v="7"/>
    <x v="6"/>
    <x v="1"/>
    <x v="1"/>
    <x v="238"/>
  </r>
  <r>
    <x v="1812"/>
    <x v="265"/>
    <x v="6"/>
    <x v="6"/>
    <x v="1"/>
    <x v="1"/>
    <n v="1"/>
    <n v="11538"/>
    <x v="1"/>
    <n v="11538"/>
    <x v="1"/>
    <x v="1"/>
    <x v="0"/>
    <x v="14"/>
    <x v="9"/>
    <x v="0"/>
    <x v="1"/>
    <x v="1558"/>
  </r>
  <r>
    <x v="1813"/>
    <x v="166"/>
    <x v="2"/>
    <x v="2"/>
    <x v="1"/>
    <x v="1"/>
    <n v="1"/>
    <n v="6282"/>
    <x v="2"/>
    <n v="4188"/>
    <x v="0"/>
    <x v="0"/>
    <x v="5"/>
    <x v="11"/>
    <x v="2"/>
    <x v="0"/>
    <x v="1099"/>
    <x v="1559"/>
  </r>
  <r>
    <x v="1814"/>
    <x v="248"/>
    <x v="12"/>
    <x v="11"/>
    <x v="1"/>
    <x v="1"/>
    <n v="1"/>
    <n v="8907"/>
    <x v="2"/>
    <n v="5938"/>
    <x v="0"/>
    <x v="1"/>
    <x v="0"/>
    <x v="6"/>
    <x v="1"/>
    <x v="1"/>
    <x v="789"/>
    <x v="589"/>
  </r>
  <r>
    <x v="1815"/>
    <x v="22"/>
    <x v="13"/>
    <x v="9"/>
    <x v="1"/>
    <x v="1"/>
    <n v="1"/>
    <n v="3042"/>
    <x v="0"/>
    <n v="1014"/>
    <x v="0"/>
    <x v="1"/>
    <x v="2"/>
    <x v="6"/>
    <x v="3"/>
    <x v="1"/>
    <x v="1013"/>
    <x v="1560"/>
  </r>
  <r>
    <x v="1816"/>
    <x v="13"/>
    <x v="6"/>
    <x v="6"/>
    <x v="0"/>
    <x v="0"/>
    <n v="1"/>
    <n v="7670"/>
    <x v="0"/>
    <n v="2556"/>
    <x v="0"/>
    <x v="1"/>
    <x v="2"/>
    <x v="1"/>
    <x v="9"/>
    <x v="0"/>
    <x v="1100"/>
    <x v="1561"/>
  </r>
  <r>
    <x v="1817"/>
    <x v="282"/>
    <x v="7"/>
    <x v="6"/>
    <x v="0"/>
    <x v="0"/>
    <n v="1"/>
    <n v="9970"/>
    <x v="2"/>
    <n v="6646"/>
    <x v="0"/>
    <x v="0"/>
    <x v="0"/>
    <x v="3"/>
    <x v="0"/>
    <x v="0"/>
    <x v="154"/>
    <x v="1562"/>
  </r>
  <r>
    <x v="1818"/>
    <x v="154"/>
    <x v="5"/>
    <x v="5"/>
    <x v="1"/>
    <x v="1"/>
    <n v="1"/>
    <n v="5183"/>
    <x v="2"/>
    <n v="3454"/>
    <x v="0"/>
    <x v="0"/>
    <x v="4"/>
    <x v="12"/>
    <x v="0"/>
    <x v="1"/>
    <x v="168"/>
    <x v="250"/>
  </r>
  <r>
    <x v="1819"/>
    <x v="197"/>
    <x v="3"/>
    <x v="3"/>
    <x v="1"/>
    <x v="1"/>
    <n v="1"/>
    <n v="6990"/>
    <x v="2"/>
    <n v="4660"/>
    <x v="0"/>
    <x v="0"/>
    <x v="1"/>
    <x v="8"/>
    <x v="6"/>
    <x v="1"/>
    <x v="1101"/>
    <x v="1563"/>
  </r>
  <r>
    <x v="1820"/>
    <x v="336"/>
    <x v="3"/>
    <x v="3"/>
    <x v="0"/>
    <x v="0"/>
    <n v="1"/>
    <n v="6362"/>
    <x v="0"/>
    <n v="2120"/>
    <x v="0"/>
    <x v="0"/>
    <x v="2"/>
    <x v="6"/>
    <x v="5"/>
    <x v="1"/>
    <x v="1102"/>
    <x v="1564"/>
  </r>
  <r>
    <x v="1821"/>
    <x v="320"/>
    <x v="7"/>
    <x v="6"/>
    <x v="0"/>
    <x v="0"/>
    <n v="1"/>
    <n v="10898"/>
    <x v="0"/>
    <n v="3632"/>
    <x v="0"/>
    <x v="0"/>
    <x v="2"/>
    <x v="3"/>
    <x v="0"/>
    <x v="0"/>
    <x v="1103"/>
    <x v="843"/>
  </r>
  <r>
    <x v="1822"/>
    <x v="12"/>
    <x v="9"/>
    <x v="8"/>
    <x v="0"/>
    <x v="0"/>
    <n v="1"/>
    <n v="10215"/>
    <x v="1"/>
    <n v="10215"/>
    <x v="1"/>
    <x v="2"/>
    <x v="0"/>
    <x v="3"/>
    <x v="3"/>
    <x v="1"/>
    <x v="1"/>
    <x v="1565"/>
  </r>
  <r>
    <x v="1823"/>
    <x v="286"/>
    <x v="7"/>
    <x v="6"/>
    <x v="0"/>
    <x v="0"/>
    <n v="1"/>
    <n v="9853"/>
    <x v="2"/>
    <n v="6568"/>
    <x v="0"/>
    <x v="0"/>
    <x v="3"/>
    <x v="4"/>
    <x v="4"/>
    <x v="1"/>
    <x v="270"/>
    <x v="1566"/>
  </r>
  <r>
    <x v="1824"/>
    <x v="135"/>
    <x v="13"/>
    <x v="9"/>
    <x v="0"/>
    <x v="0"/>
    <n v="1"/>
    <n v="4127"/>
    <x v="2"/>
    <n v="2750"/>
    <x v="0"/>
    <x v="1"/>
    <x v="4"/>
    <x v="6"/>
    <x v="5"/>
    <x v="1"/>
    <x v="338"/>
    <x v="1567"/>
  </r>
  <r>
    <x v="1825"/>
    <x v="10"/>
    <x v="7"/>
    <x v="6"/>
    <x v="0"/>
    <x v="0"/>
    <n v="1"/>
    <n v="7252"/>
    <x v="1"/>
    <n v="7251"/>
    <x v="0"/>
    <x v="2"/>
    <x v="5"/>
    <x v="0"/>
    <x v="5"/>
    <x v="1"/>
    <x v="2"/>
    <x v="1568"/>
  </r>
  <r>
    <x v="1826"/>
    <x v="88"/>
    <x v="6"/>
    <x v="6"/>
    <x v="1"/>
    <x v="1"/>
    <n v="1"/>
    <n v="9826"/>
    <x v="0"/>
    <n v="3275"/>
    <x v="0"/>
    <x v="0"/>
    <x v="3"/>
    <x v="4"/>
    <x v="1"/>
    <x v="0"/>
    <x v="1104"/>
    <x v="1569"/>
  </r>
  <r>
    <x v="1827"/>
    <x v="65"/>
    <x v="6"/>
    <x v="6"/>
    <x v="1"/>
    <x v="1"/>
    <n v="1"/>
    <n v="8914"/>
    <x v="1"/>
    <n v="8913"/>
    <x v="0"/>
    <x v="1"/>
    <x v="4"/>
    <x v="9"/>
    <x v="3"/>
    <x v="0"/>
    <x v="2"/>
    <x v="1570"/>
  </r>
  <r>
    <x v="1828"/>
    <x v="234"/>
    <x v="12"/>
    <x v="11"/>
    <x v="0"/>
    <x v="0"/>
    <n v="1"/>
    <n v="7426"/>
    <x v="1"/>
    <n v="7425"/>
    <x v="0"/>
    <x v="0"/>
    <x v="2"/>
    <x v="4"/>
    <x v="9"/>
    <x v="0"/>
    <x v="2"/>
    <x v="1571"/>
  </r>
  <r>
    <x v="1829"/>
    <x v="239"/>
    <x v="5"/>
    <x v="5"/>
    <x v="1"/>
    <x v="1"/>
    <n v="1"/>
    <n v="5005"/>
    <x v="1"/>
    <n v="5004"/>
    <x v="0"/>
    <x v="1"/>
    <x v="0"/>
    <x v="3"/>
    <x v="7"/>
    <x v="1"/>
    <x v="2"/>
    <x v="623"/>
  </r>
  <r>
    <x v="1830"/>
    <x v="268"/>
    <x v="3"/>
    <x v="3"/>
    <x v="0"/>
    <x v="0"/>
    <n v="1"/>
    <n v="4208"/>
    <x v="2"/>
    <n v="2804"/>
    <x v="0"/>
    <x v="0"/>
    <x v="5"/>
    <x v="8"/>
    <x v="1"/>
    <x v="0"/>
    <x v="1105"/>
    <x v="1572"/>
  </r>
  <r>
    <x v="1831"/>
    <x v="7"/>
    <x v="3"/>
    <x v="3"/>
    <x v="0"/>
    <x v="0"/>
    <n v="1"/>
    <n v="4237"/>
    <x v="0"/>
    <n v="1412"/>
    <x v="0"/>
    <x v="0"/>
    <x v="4"/>
    <x v="1"/>
    <x v="8"/>
    <x v="1"/>
    <x v="1106"/>
    <x v="1573"/>
  </r>
  <r>
    <x v="1832"/>
    <x v="13"/>
    <x v="5"/>
    <x v="5"/>
    <x v="1"/>
    <x v="1"/>
    <n v="1"/>
    <n v="3608"/>
    <x v="1"/>
    <n v="3606"/>
    <x v="0"/>
    <x v="2"/>
    <x v="2"/>
    <x v="11"/>
    <x v="1"/>
    <x v="1"/>
    <x v="4"/>
    <x v="434"/>
  </r>
  <r>
    <x v="1833"/>
    <x v="288"/>
    <x v="0"/>
    <x v="0"/>
    <x v="0"/>
    <x v="0"/>
    <n v="1"/>
    <n v="4929"/>
    <x v="2"/>
    <n v="3286"/>
    <x v="0"/>
    <x v="1"/>
    <x v="4"/>
    <x v="12"/>
    <x v="0"/>
    <x v="1"/>
    <x v="1107"/>
    <x v="635"/>
  </r>
  <r>
    <x v="1834"/>
    <x v="36"/>
    <x v="11"/>
    <x v="10"/>
    <x v="0"/>
    <x v="0"/>
    <n v="1"/>
    <n v="4410"/>
    <x v="1"/>
    <n v="4410"/>
    <x v="1"/>
    <x v="2"/>
    <x v="5"/>
    <x v="3"/>
    <x v="4"/>
    <x v="1"/>
    <x v="1"/>
    <x v="1574"/>
  </r>
  <r>
    <x v="1835"/>
    <x v="324"/>
    <x v="5"/>
    <x v="5"/>
    <x v="1"/>
    <x v="1"/>
    <n v="1"/>
    <n v="3854"/>
    <x v="1"/>
    <n v="3852"/>
    <x v="0"/>
    <x v="1"/>
    <x v="5"/>
    <x v="6"/>
    <x v="5"/>
    <x v="0"/>
    <x v="4"/>
    <x v="155"/>
  </r>
  <r>
    <x v="1836"/>
    <x v="182"/>
    <x v="2"/>
    <x v="2"/>
    <x v="1"/>
    <x v="1"/>
    <n v="1"/>
    <n v="6359"/>
    <x v="1"/>
    <n v="6357"/>
    <x v="0"/>
    <x v="1"/>
    <x v="3"/>
    <x v="12"/>
    <x v="3"/>
    <x v="0"/>
    <x v="4"/>
    <x v="550"/>
  </r>
  <r>
    <x v="1837"/>
    <x v="341"/>
    <x v="9"/>
    <x v="8"/>
    <x v="0"/>
    <x v="0"/>
    <n v="1"/>
    <n v="9420"/>
    <x v="1"/>
    <n v="9420"/>
    <x v="1"/>
    <x v="2"/>
    <x v="3"/>
    <x v="6"/>
    <x v="2"/>
    <x v="1"/>
    <x v="1"/>
    <x v="1575"/>
  </r>
  <r>
    <x v="1838"/>
    <x v="345"/>
    <x v="7"/>
    <x v="6"/>
    <x v="0"/>
    <x v="0"/>
    <n v="1"/>
    <n v="8950"/>
    <x v="1"/>
    <n v="8949"/>
    <x v="0"/>
    <x v="1"/>
    <x v="2"/>
    <x v="8"/>
    <x v="1"/>
    <x v="0"/>
    <x v="2"/>
    <x v="1576"/>
  </r>
  <r>
    <x v="1839"/>
    <x v="341"/>
    <x v="7"/>
    <x v="6"/>
    <x v="1"/>
    <x v="1"/>
    <n v="1"/>
    <n v="8854"/>
    <x v="0"/>
    <n v="2951"/>
    <x v="0"/>
    <x v="1"/>
    <x v="5"/>
    <x v="13"/>
    <x v="1"/>
    <x v="1"/>
    <x v="1108"/>
    <x v="1577"/>
  </r>
  <r>
    <x v="1840"/>
    <x v="208"/>
    <x v="5"/>
    <x v="5"/>
    <x v="1"/>
    <x v="1"/>
    <n v="1"/>
    <n v="5390"/>
    <x v="2"/>
    <n v="3592"/>
    <x v="0"/>
    <x v="2"/>
    <x v="2"/>
    <x v="12"/>
    <x v="4"/>
    <x v="0"/>
    <x v="1109"/>
    <x v="1578"/>
  </r>
  <r>
    <x v="1841"/>
    <x v="198"/>
    <x v="11"/>
    <x v="10"/>
    <x v="1"/>
    <x v="1"/>
    <n v="1"/>
    <n v="4698"/>
    <x v="1"/>
    <n v="4698"/>
    <x v="1"/>
    <x v="0"/>
    <x v="0"/>
    <x v="11"/>
    <x v="2"/>
    <x v="1"/>
    <x v="1"/>
    <x v="1579"/>
  </r>
  <r>
    <x v="1842"/>
    <x v="329"/>
    <x v="10"/>
    <x v="9"/>
    <x v="0"/>
    <x v="0"/>
    <n v="1"/>
    <n v="7134"/>
    <x v="1"/>
    <n v="7134"/>
    <x v="1"/>
    <x v="0"/>
    <x v="0"/>
    <x v="1"/>
    <x v="0"/>
    <x v="0"/>
    <x v="1"/>
    <x v="1580"/>
  </r>
  <r>
    <x v="1843"/>
    <x v="253"/>
    <x v="3"/>
    <x v="3"/>
    <x v="0"/>
    <x v="0"/>
    <n v="1"/>
    <n v="6954"/>
    <x v="1"/>
    <n v="6954"/>
    <x v="1"/>
    <x v="2"/>
    <x v="4"/>
    <x v="14"/>
    <x v="6"/>
    <x v="1"/>
    <x v="1"/>
    <x v="1581"/>
  </r>
  <r>
    <x v="1844"/>
    <x v="257"/>
    <x v="1"/>
    <x v="1"/>
    <x v="0"/>
    <x v="0"/>
    <n v="1"/>
    <n v="4590"/>
    <x v="1"/>
    <n v="4590"/>
    <x v="1"/>
    <x v="0"/>
    <x v="3"/>
    <x v="8"/>
    <x v="6"/>
    <x v="1"/>
    <x v="1"/>
    <x v="201"/>
  </r>
  <r>
    <x v="1845"/>
    <x v="207"/>
    <x v="6"/>
    <x v="6"/>
    <x v="1"/>
    <x v="1"/>
    <n v="1"/>
    <n v="11434"/>
    <x v="0"/>
    <n v="3811"/>
    <x v="0"/>
    <x v="2"/>
    <x v="4"/>
    <x v="8"/>
    <x v="0"/>
    <x v="1"/>
    <x v="1110"/>
    <x v="1582"/>
  </r>
  <r>
    <x v="1846"/>
    <x v="104"/>
    <x v="1"/>
    <x v="1"/>
    <x v="1"/>
    <x v="1"/>
    <n v="1"/>
    <n v="6465"/>
    <x v="0"/>
    <n v="2155"/>
    <x v="0"/>
    <x v="1"/>
    <x v="1"/>
    <x v="0"/>
    <x v="6"/>
    <x v="1"/>
    <x v="1111"/>
    <x v="960"/>
  </r>
  <r>
    <x v="1847"/>
    <x v="276"/>
    <x v="10"/>
    <x v="9"/>
    <x v="1"/>
    <x v="1"/>
    <n v="1"/>
    <n v="7455"/>
    <x v="2"/>
    <n v="4970"/>
    <x v="0"/>
    <x v="1"/>
    <x v="3"/>
    <x v="2"/>
    <x v="8"/>
    <x v="0"/>
    <x v="1112"/>
    <x v="1583"/>
  </r>
  <r>
    <x v="1848"/>
    <x v="310"/>
    <x v="10"/>
    <x v="9"/>
    <x v="1"/>
    <x v="1"/>
    <n v="1"/>
    <n v="7682"/>
    <x v="0"/>
    <n v="2560"/>
    <x v="0"/>
    <x v="0"/>
    <x v="0"/>
    <x v="3"/>
    <x v="6"/>
    <x v="0"/>
    <x v="1113"/>
    <x v="1584"/>
  </r>
  <r>
    <x v="1849"/>
    <x v="364"/>
    <x v="9"/>
    <x v="8"/>
    <x v="1"/>
    <x v="1"/>
    <n v="1"/>
    <n v="14066"/>
    <x v="0"/>
    <n v="4688"/>
    <x v="0"/>
    <x v="0"/>
    <x v="4"/>
    <x v="3"/>
    <x v="2"/>
    <x v="0"/>
    <x v="1114"/>
    <x v="1192"/>
  </r>
  <r>
    <x v="1850"/>
    <x v="113"/>
    <x v="11"/>
    <x v="10"/>
    <x v="0"/>
    <x v="0"/>
    <n v="1"/>
    <n v="4999"/>
    <x v="1"/>
    <n v="4998"/>
    <x v="0"/>
    <x v="0"/>
    <x v="0"/>
    <x v="4"/>
    <x v="6"/>
    <x v="0"/>
    <x v="2"/>
    <x v="1585"/>
  </r>
  <r>
    <x v="1851"/>
    <x v="10"/>
    <x v="2"/>
    <x v="2"/>
    <x v="1"/>
    <x v="1"/>
    <n v="1"/>
    <n v="5125"/>
    <x v="1"/>
    <n v="5124"/>
    <x v="0"/>
    <x v="1"/>
    <x v="0"/>
    <x v="8"/>
    <x v="6"/>
    <x v="0"/>
    <x v="2"/>
    <x v="1586"/>
  </r>
  <r>
    <x v="1852"/>
    <x v="56"/>
    <x v="2"/>
    <x v="2"/>
    <x v="1"/>
    <x v="1"/>
    <n v="1"/>
    <n v="7426"/>
    <x v="1"/>
    <n v="7425"/>
    <x v="0"/>
    <x v="2"/>
    <x v="0"/>
    <x v="0"/>
    <x v="8"/>
    <x v="1"/>
    <x v="2"/>
    <x v="1571"/>
  </r>
  <r>
    <x v="1853"/>
    <x v="29"/>
    <x v="12"/>
    <x v="11"/>
    <x v="1"/>
    <x v="1"/>
    <n v="1"/>
    <n v="8060"/>
    <x v="1"/>
    <n v="8058"/>
    <x v="0"/>
    <x v="0"/>
    <x v="2"/>
    <x v="10"/>
    <x v="7"/>
    <x v="0"/>
    <x v="4"/>
    <x v="506"/>
  </r>
  <r>
    <x v="1854"/>
    <x v="186"/>
    <x v="6"/>
    <x v="6"/>
    <x v="1"/>
    <x v="1"/>
    <n v="1"/>
    <n v="8923"/>
    <x v="2"/>
    <n v="5948"/>
    <x v="0"/>
    <x v="1"/>
    <x v="0"/>
    <x v="7"/>
    <x v="9"/>
    <x v="0"/>
    <x v="1115"/>
    <x v="1587"/>
  </r>
  <r>
    <x v="1855"/>
    <x v="212"/>
    <x v="7"/>
    <x v="6"/>
    <x v="0"/>
    <x v="0"/>
    <n v="1"/>
    <n v="8741"/>
    <x v="0"/>
    <n v="2913"/>
    <x v="0"/>
    <x v="2"/>
    <x v="2"/>
    <x v="11"/>
    <x v="6"/>
    <x v="0"/>
    <x v="1116"/>
    <x v="1588"/>
  </r>
  <r>
    <x v="1856"/>
    <x v="326"/>
    <x v="2"/>
    <x v="2"/>
    <x v="1"/>
    <x v="1"/>
    <n v="1"/>
    <n v="6523"/>
    <x v="1"/>
    <n v="6522"/>
    <x v="0"/>
    <x v="0"/>
    <x v="2"/>
    <x v="8"/>
    <x v="3"/>
    <x v="1"/>
    <x v="2"/>
    <x v="1589"/>
  </r>
  <r>
    <x v="1857"/>
    <x v="10"/>
    <x v="1"/>
    <x v="1"/>
    <x v="1"/>
    <x v="1"/>
    <n v="1"/>
    <n v="6544"/>
    <x v="1"/>
    <n v="6543"/>
    <x v="0"/>
    <x v="0"/>
    <x v="1"/>
    <x v="4"/>
    <x v="7"/>
    <x v="1"/>
    <x v="2"/>
    <x v="1590"/>
  </r>
  <r>
    <x v="1858"/>
    <x v="314"/>
    <x v="4"/>
    <x v="4"/>
    <x v="0"/>
    <x v="0"/>
    <n v="1"/>
    <n v="4931"/>
    <x v="1"/>
    <n v="4929"/>
    <x v="0"/>
    <x v="1"/>
    <x v="4"/>
    <x v="6"/>
    <x v="5"/>
    <x v="0"/>
    <x v="4"/>
    <x v="1591"/>
  </r>
  <r>
    <x v="1859"/>
    <x v="223"/>
    <x v="1"/>
    <x v="1"/>
    <x v="1"/>
    <x v="1"/>
    <n v="1"/>
    <n v="5575"/>
    <x v="1"/>
    <n v="5574"/>
    <x v="0"/>
    <x v="0"/>
    <x v="3"/>
    <x v="6"/>
    <x v="8"/>
    <x v="1"/>
    <x v="2"/>
    <x v="977"/>
  </r>
  <r>
    <x v="1860"/>
    <x v="82"/>
    <x v="10"/>
    <x v="9"/>
    <x v="0"/>
    <x v="0"/>
    <n v="1"/>
    <n v="5323"/>
    <x v="0"/>
    <n v="1774"/>
    <x v="0"/>
    <x v="0"/>
    <x v="1"/>
    <x v="11"/>
    <x v="9"/>
    <x v="1"/>
    <x v="1071"/>
    <x v="204"/>
  </r>
  <r>
    <x v="1861"/>
    <x v="92"/>
    <x v="0"/>
    <x v="0"/>
    <x v="0"/>
    <x v="0"/>
    <n v="1"/>
    <n v="4885"/>
    <x v="0"/>
    <n v="1628"/>
    <x v="0"/>
    <x v="2"/>
    <x v="4"/>
    <x v="8"/>
    <x v="0"/>
    <x v="1"/>
    <x v="745"/>
    <x v="1592"/>
  </r>
  <r>
    <x v="1862"/>
    <x v="174"/>
    <x v="11"/>
    <x v="10"/>
    <x v="0"/>
    <x v="0"/>
    <n v="1"/>
    <n v="5404"/>
    <x v="1"/>
    <n v="5403"/>
    <x v="0"/>
    <x v="1"/>
    <x v="2"/>
    <x v="10"/>
    <x v="9"/>
    <x v="0"/>
    <x v="2"/>
    <x v="1593"/>
  </r>
  <r>
    <x v="1863"/>
    <x v="83"/>
    <x v="2"/>
    <x v="2"/>
    <x v="1"/>
    <x v="1"/>
    <n v="1"/>
    <n v="7606"/>
    <x v="2"/>
    <n v="5070"/>
    <x v="0"/>
    <x v="1"/>
    <x v="5"/>
    <x v="8"/>
    <x v="8"/>
    <x v="0"/>
    <x v="1117"/>
    <x v="1594"/>
  </r>
  <r>
    <x v="1864"/>
    <x v="348"/>
    <x v="3"/>
    <x v="3"/>
    <x v="0"/>
    <x v="0"/>
    <n v="1"/>
    <n v="6212"/>
    <x v="2"/>
    <n v="4140"/>
    <x v="0"/>
    <x v="2"/>
    <x v="0"/>
    <x v="4"/>
    <x v="2"/>
    <x v="0"/>
    <x v="1118"/>
    <x v="1595"/>
  </r>
  <r>
    <x v="1865"/>
    <x v="94"/>
    <x v="1"/>
    <x v="1"/>
    <x v="0"/>
    <x v="0"/>
    <n v="1"/>
    <n v="4700"/>
    <x v="2"/>
    <n v="3132"/>
    <x v="0"/>
    <x v="1"/>
    <x v="0"/>
    <x v="8"/>
    <x v="6"/>
    <x v="1"/>
    <x v="1119"/>
    <x v="650"/>
  </r>
  <r>
    <x v="1866"/>
    <x v="241"/>
    <x v="6"/>
    <x v="6"/>
    <x v="1"/>
    <x v="1"/>
    <n v="1"/>
    <n v="7510"/>
    <x v="0"/>
    <n v="2503"/>
    <x v="0"/>
    <x v="0"/>
    <x v="5"/>
    <x v="1"/>
    <x v="6"/>
    <x v="0"/>
    <x v="1120"/>
    <x v="488"/>
  </r>
  <r>
    <x v="1867"/>
    <x v="250"/>
    <x v="5"/>
    <x v="5"/>
    <x v="1"/>
    <x v="1"/>
    <n v="1"/>
    <n v="4218"/>
    <x v="1"/>
    <n v="4218"/>
    <x v="1"/>
    <x v="2"/>
    <x v="4"/>
    <x v="1"/>
    <x v="2"/>
    <x v="0"/>
    <x v="1"/>
    <x v="896"/>
  </r>
  <r>
    <x v="1868"/>
    <x v="115"/>
    <x v="12"/>
    <x v="11"/>
    <x v="0"/>
    <x v="0"/>
    <n v="1"/>
    <n v="7790"/>
    <x v="0"/>
    <n v="2596"/>
    <x v="0"/>
    <x v="0"/>
    <x v="4"/>
    <x v="2"/>
    <x v="4"/>
    <x v="1"/>
    <x v="267"/>
    <x v="1596"/>
  </r>
  <r>
    <x v="1869"/>
    <x v="190"/>
    <x v="1"/>
    <x v="1"/>
    <x v="1"/>
    <x v="1"/>
    <n v="1"/>
    <n v="6627"/>
    <x v="0"/>
    <n v="2209"/>
    <x v="0"/>
    <x v="0"/>
    <x v="0"/>
    <x v="2"/>
    <x v="2"/>
    <x v="1"/>
    <x v="1121"/>
    <x v="1597"/>
  </r>
  <r>
    <x v="1870"/>
    <x v="188"/>
    <x v="8"/>
    <x v="7"/>
    <x v="0"/>
    <x v="0"/>
    <n v="1"/>
    <n v="14635"/>
    <x v="1"/>
    <n v="14634"/>
    <x v="0"/>
    <x v="2"/>
    <x v="1"/>
    <x v="7"/>
    <x v="5"/>
    <x v="1"/>
    <x v="2"/>
    <x v="1598"/>
  </r>
  <r>
    <x v="1871"/>
    <x v="340"/>
    <x v="13"/>
    <x v="9"/>
    <x v="1"/>
    <x v="1"/>
    <n v="1"/>
    <n v="4400"/>
    <x v="0"/>
    <n v="1466"/>
    <x v="0"/>
    <x v="0"/>
    <x v="3"/>
    <x v="6"/>
    <x v="0"/>
    <x v="0"/>
    <x v="1122"/>
    <x v="1599"/>
  </r>
  <r>
    <x v="1872"/>
    <x v="330"/>
    <x v="11"/>
    <x v="10"/>
    <x v="0"/>
    <x v="0"/>
    <n v="1"/>
    <n v="5899"/>
    <x v="2"/>
    <n v="3932"/>
    <x v="0"/>
    <x v="2"/>
    <x v="1"/>
    <x v="5"/>
    <x v="6"/>
    <x v="0"/>
    <x v="223"/>
    <x v="1600"/>
  </r>
  <r>
    <x v="1873"/>
    <x v="333"/>
    <x v="13"/>
    <x v="9"/>
    <x v="0"/>
    <x v="0"/>
    <n v="1"/>
    <n v="3940"/>
    <x v="1"/>
    <n v="3939"/>
    <x v="0"/>
    <x v="0"/>
    <x v="4"/>
    <x v="10"/>
    <x v="9"/>
    <x v="0"/>
    <x v="2"/>
    <x v="1601"/>
  </r>
  <r>
    <x v="1874"/>
    <x v="49"/>
    <x v="4"/>
    <x v="4"/>
    <x v="0"/>
    <x v="0"/>
    <n v="1"/>
    <n v="4865"/>
    <x v="1"/>
    <n v="4863"/>
    <x v="0"/>
    <x v="0"/>
    <x v="4"/>
    <x v="0"/>
    <x v="0"/>
    <x v="0"/>
    <x v="4"/>
    <x v="869"/>
  </r>
  <r>
    <x v="1875"/>
    <x v="315"/>
    <x v="13"/>
    <x v="9"/>
    <x v="1"/>
    <x v="1"/>
    <n v="1"/>
    <n v="3313"/>
    <x v="1"/>
    <n v="3312"/>
    <x v="0"/>
    <x v="1"/>
    <x v="0"/>
    <x v="6"/>
    <x v="8"/>
    <x v="1"/>
    <x v="2"/>
    <x v="1602"/>
  </r>
  <r>
    <x v="1876"/>
    <x v="113"/>
    <x v="0"/>
    <x v="0"/>
    <x v="1"/>
    <x v="1"/>
    <n v="1"/>
    <n v="5433"/>
    <x v="1"/>
    <n v="5433"/>
    <x v="1"/>
    <x v="0"/>
    <x v="3"/>
    <x v="13"/>
    <x v="2"/>
    <x v="1"/>
    <x v="1"/>
    <x v="1603"/>
  </r>
  <r>
    <x v="1877"/>
    <x v="70"/>
    <x v="6"/>
    <x v="6"/>
    <x v="1"/>
    <x v="1"/>
    <n v="1"/>
    <n v="11655"/>
    <x v="2"/>
    <n v="7770"/>
    <x v="0"/>
    <x v="2"/>
    <x v="5"/>
    <x v="8"/>
    <x v="0"/>
    <x v="0"/>
    <x v="1123"/>
    <x v="1604"/>
  </r>
  <r>
    <x v="1878"/>
    <x v="51"/>
    <x v="9"/>
    <x v="8"/>
    <x v="0"/>
    <x v="0"/>
    <n v="1"/>
    <n v="8162"/>
    <x v="1"/>
    <n v="8160"/>
    <x v="0"/>
    <x v="2"/>
    <x v="2"/>
    <x v="8"/>
    <x v="1"/>
    <x v="0"/>
    <x v="4"/>
    <x v="1605"/>
  </r>
  <r>
    <x v="1879"/>
    <x v="331"/>
    <x v="6"/>
    <x v="6"/>
    <x v="0"/>
    <x v="0"/>
    <n v="1"/>
    <n v="10294"/>
    <x v="0"/>
    <n v="3431"/>
    <x v="0"/>
    <x v="2"/>
    <x v="2"/>
    <x v="12"/>
    <x v="7"/>
    <x v="0"/>
    <x v="1124"/>
    <x v="1606"/>
  </r>
  <r>
    <x v="1880"/>
    <x v="151"/>
    <x v="8"/>
    <x v="7"/>
    <x v="0"/>
    <x v="0"/>
    <n v="1"/>
    <n v="7326"/>
    <x v="0"/>
    <n v="2442"/>
    <x v="0"/>
    <x v="2"/>
    <x v="4"/>
    <x v="9"/>
    <x v="9"/>
    <x v="1"/>
    <x v="914"/>
    <x v="1307"/>
  </r>
  <r>
    <x v="1881"/>
    <x v="357"/>
    <x v="11"/>
    <x v="10"/>
    <x v="0"/>
    <x v="0"/>
    <n v="1"/>
    <n v="5268"/>
    <x v="1"/>
    <n v="5268"/>
    <x v="1"/>
    <x v="1"/>
    <x v="3"/>
    <x v="9"/>
    <x v="3"/>
    <x v="1"/>
    <x v="1"/>
    <x v="158"/>
  </r>
  <r>
    <x v="1882"/>
    <x v="281"/>
    <x v="11"/>
    <x v="10"/>
    <x v="0"/>
    <x v="0"/>
    <n v="1"/>
    <n v="5246"/>
    <x v="0"/>
    <n v="1748"/>
    <x v="0"/>
    <x v="0"/>
    <x v="4"/>
    <x v="14"/>
    <x v="4"/>
    <x v="0"/>
    <x v="74"/>
    <x v="84"/>
  </r>
  <r>
    <x v="1883"/>
    <x v="335"/>
    <x v="9"/>
    <x v="8"/>
    <x v="0"/>
    <x v="0"/>
    <n v="1"/>
    <n v="10905"/>
    <x v="1"/>
    <n v="10905"/>
    <x v="1"/>
    <x v="1"/>
    <x v="5"/>
    <x v="3"/>
    <x v="8"/>
    <x v="1"/>
    <x v="1"/>
    <x v="1607"/>
  </r>
  <r>
    <x v="1884"/>
    <x v="133"/>
    <x v="4"/>
    <x v="4"/>
    <x v="0"/>
    <x v="0"/>
    <n v="1"/>
    <n v="4020"/>
    <x v="0"/>
    <n v="1340"/>
    <x v="0"/>
    <x v="2"/>
    <x v="0"/>
    <x v="7"/>
    <x v="5"/>
    <x v="1"/>
    <x v="1125"/>
    <x v="1608"/>
  </r>
  <r>
    <x v="1885"/>
    <x v="357"/>
    <x v="9"/>
    <x v="8"/>
    <x v="1"/>
    <x v="1"/>
    <n v="1"/>
    <n v="12076"/>
    <x v="2"/>
    <n v="8050"/>
    <x v="0"/>
    <x v="1"/>
    <x v="4"/>
    <x v="0"/>
    <x v="9"/>
    <x v="0"/>
    <x v="1126"/>
    <x v="1609"/>
  </r>
  <r>
    <x v="1886"/>
    <x v="102"/>
    <x v="9"/>
    <x v="8"/>
    <x v="1"/>
    <x v="1"/>
    <n v="1"/>
    <n v="10343"/>
    <x v="2"/>
    <n v="6894"/>
    <x v="0"/>
    <x v="0"/>
    <x v="5"/>
    <x v="8"/>
    <x v="3"/>
    <x v="0"/>
    <x v="1127"/>
    <x v="1610"/>
  </r>
  <r>
    <x v="1887"/>
    <x v="193"/>
    <x v="3"/>
    <x v="3"/>
    <x v="0"/>
    <x v="0"/>
    <n v="1"/>
    <n v="4460"/>
    <x v="0"/>
    <n v="1486"/>
    <x v="0"/>
    <x v="1"/>
    <x v="5"/>
    <x v="9"/>
    <x v="4"/>
    <x v="1"/>
    <x v="1128"/>
    <x v="1611"/>
  </r>
  <r>
    <x v="1888"/>
    <x v="354"/>
    <x v="1"/>
    <x v="1"/>
    <x v="1"/>
    <x v="1"/>
    <n v="1"/>
    <n v="5265"/>
    <x v="1"/>
    <n v="5265"/>
    <x v="1"/>
    <x v="1"/>
    <x v="0"/>
    <x v="9"/>
    <x v="6"/>
    <x v="0"/>
    <x v="1"/>
    <x v="1612"/>
  </r>
  <r>
    <x v="1889"/>
    <x v="267"/>
    <x v="3"/>
    <x v="3"/>
    <x v="1"/>
    <x v="1"/>
    <n v="1"/>
    <n v="6815"/>
    <x v="0"/>
    <n v="2271"/>
    <x v="0"/>
    <x v="0"/>
    <x v="2"/>
    <x v="14"/>
    <x v="6"/>
    <x v="1"/>
    <x v="1129"/>
    <x v="1613"/>
  </r>
  <r>
    <x v="1890"/>
    <x v="341"/>
    <x v="4"/>
    <x v="4"/>
    <x v="0"/>
    <x v="0"/>
    <n v="1"/>
    <n v="5834"/>
    <x v="2"/>
    <n v="3888"/>
    <x v="0"/>
    <x v="2"/>
    <x v="0"/>
    <x v="13"/>
    <x v="1"/>
    <x v="1"/>
    <x v="1130"/>
    <x v="565"/>
  </r>
  <r>
    <x v="1891"/>
    <x v="232"/>
    <x v="12"/>
    <x v="11"/>
    <x v="0"/>
    <x v="0"/>
    <n v="1"/>
    <n v="5062"/>
    <x v="1"/>
    <n v="5061"/>
    <x v="0"/>
    <x v="1"/>
    <x v="0"/>
    <x v="8"/>
    <x v="2"/>
    <x v="1"/>
    <x v="2"/>
    <x v="1614"/>
  </r>
  <r>
    <x v="1892"/>
    <x v="250"/>
    <x v="5"/>
    <x v="5"/>
    <x v="0"/>
    <x v="0"/>
    <n v="1"/>
    <n v="5701"/>
    <x v="2"/>
    <n v="3800"/>
    <x v="0"/>
    <x v="2"/>
    <x v="2"/>
    <x v="6"/>
    <x v="1"/>
    <x v="1"/>
    <x v="1131"/>
    <x v="83"/>
  </r>
  <r>
    <x v="1893"/>
    <x v="133"/>
    <x v="1"/>
    <x v="1"/>
    <x v="0"/>
    <x v="0"/>
    <n v="1"/>
    <n v="5414"/>
    <x v="0"/>
    <n v="1804"/>
    <x v="0"/>
    <x v="0"/>
    <x v="3"/>
    <x v="7"/>
    <x v="4"/>
    <x v="1"/>
    <x v="1081"/>
    <x v="1615"/>
  </r>
  <r>
    <x v="1894"/>
    <x v="359"/>
    <x v="13"/>
    <x v="9"/>
    <x v="0"/>
    <x v="0"/>
    <n v="1"/>
    <n v="3729"/>
    <x v="1"/>
    <n v="3729"/>
    <x v="1"/>
    <x v="1"/>
    <x v="1"/>
    <x v="14"/>
    <x v="8"/>
    <x v="1"/>
    <x v="1"/>
    <x v="1426"/>
  </r>
  <r>
    <x v="1895"/>
    <x v="248"/>
    <x v="13"/>
    <x v="9"/>
    <x v="1"/>
    <x v="1"/>
    <n v="1"/>
    <n v="4677"/>
    <x v="1"/>
    <n v="4677"/>
    <x v="1"/>
    <x v="1"/>
    <x v="4"/>
    <x v="5"/>
    <x v="1"/>
    <x v="0"/>
    <x v="1"/>
    <x v="1616"/>
  </r>
  <r>
    <x v="1896"/>
    <x v="43"/>
    <x v="8"/>
    <x v="7"/>
    <x v="0"/>
    <x v="0"/>
    <n v="1"/>
    <n v="12378"/>
    <x v="0"/>
    <n v="4126"/>
    <x v="0"/>
    <x v="1"/>
    <x v="0"/>
    <x v="13"/>
    <x v="8"/>
    <x v="1"/>
    <x v="1132"/>
    <x v="1617"/>
  </r>
  <r>
    <x v="1897"/>
    <x v="8"/>
    <x v="13"/>
    <x v="9"/>
    <x v="0"/>
    <x v="0"/>
    <n v="1"/>
    <n v="3206"/>
    <x v="1"/>
    <n v="3204"/>
    <x v="0"/>
    <x v="0"/>
    <x v="2"/>
    <x v="13"/>
    <x v="1"/>
    <x v="1"/>
    <x v="4"/>
    <x v="1294"/>
  </r>
  <r>
    <x v="1898"/>
    <x v="269"/>
    <x v="12"/>
    <x v="11"/>
    <x v="0"/>
    <x v="0"/>
    <n v="1"/>
    <n v="5681"/>
    <x v="1"/>
    <n v="5679"/>
    <x v="0"/>
    <x v="2"/>
    <x v="0"/>
    <x v="6"/>
    <x v="6"/>
    <x v="1"/>
    <x v="4"/>
    <x v="1618"/>
  </r>
  <r>
    <x v="1899"/>
    <x v="122"/>
    <x v="6"/>
    <x v="6"/>
    <x v="0"/>
    <x v="0"/>
    <n v="1"/>
    <n v="8654"/>
    <x v="0"/>
    <n v="2884"/>
    <x v="0"/>
    <x v="2"/>
    <x v="4"/>
    <x v="5"/>
    <x v="8"/>
    <x v="0"/>
    <x v="1133"/>
    <x v="1619"/>
  </r>
  <r>
    <x v="1900"/>
    <x v="30"/>
    <x v="6"/>
    <x v="6"/>
    <x v="0"/>
    <x v="0"/>
    <n v="1"/>
    <n v="11756"/>
    <x v="1"/>
    <n v="11754"/>
    <x v="0"/>
    <x v="0"/>
    <x v="4"/>
    <x v="8"/>
    <x v="8"/>
    <x v="1"/>
    <x v="4"/>
    <x v="1620"/>
  </r>
  <r>
    <x v="1901"/>
    <x v="233"/>
    <x v="7"/>
    <x v="6"/>
    <x v="0"/>
    <x v="0"/>
    <n v="1"/>
    <n v="10574"/>
    <x v="2"/>
    <n v="7048"/>
    <x v="0"/>
    <x v="0"/>
    <x v="3"/>
    <x v="0"/>
    <x v="2"/>
    <x v="0"/>
    <x v="1134"/>
    <x v="1621"/>
  </r>
  <r>
    <x v="1902"/>
    <x v="255"/>
    <x v="3"/>
    <x v="3"/>
    <x v="0"/>
    <x v="0"/>
    <n v="1"/>
    <n v="5286"/>
    <x v="2"/>
    <n v="3524"/>
    <x v="0"/>
    <x v="1"/>
    <x v="5"/>
    <x v="14"/>
    <x v="3"/>
    <x v="0"/>
    <x v="353"/>
    <x v="1622"/>
  </r>
  <r>
    <x v="1903"/>
    <x v="351"/>
    <x v="7"/>
    <x v="6"/>
    <x v="1"/>
    <x v="1"/>
    <n v="1"/>
    <n v="8304"/>
    <x v="0"/>
    <n v="2768"/>
    <x v="0"/>
    <x v="1"/>
    <x v="2"/>
    <x v="0"/>
    <x v="6"/>
    <x v="0"/>
    <x v="1135"/>
    <x v="1623"/>
  </r>
  <r>
    <x v="1904"/>
    <x v="186"/>
    <x v="5"/>
    <x v="5"/>
    <x v="1"/>
    <x v="1"/>
    <n v="1"/>
    <n v="5561"/>
    <x v="1"/>
    <n v="5559"/>
    <x v="0"/>
    <x v="2"/>
    <x v="5"/>
    <x v="4"/>
    <x v="7"/>
    <x v="1"/>
    <x v="4"/>
    <x v="1168"/>
  </r>
  <r>
    <x v="1905"/>
    <x v="278"/>
    <x v="9"/>
    <x v="8"/>
    <x v="1"/>
    <x v="1"/>
    <n v="1"/>
    <n v="14067"/>
    <x v="0"/>
    <n v="4689"/>
    <x v="0"/>
    <x v="0"/>
    <x v="3"/>
    <x v="11"/>
    <x v="5"/>
    <x v="0"/>
    <x v="1114"/>
    <x v="333"/>
  </r>
  <r>
    <x v="1906"/>
    <x v="176"/>
    <x v="6"/>
    <x v="6"/>
    <x v="1"/>
    <x v="1"/>
    <n v="1"/>
    <n v="7555"/>
    <x v="2"/>
    <n v="5036"/>
    <x v="0"/>
    <x v="0"/>
    <x v="4"/>
    <x v="12"/>
    <x v="5"/>
    <x v="0"/>
    <x v="1136"/>
    <x v="1624"/>
  </r>
  <r>
    <x v="1907"/>
    <x v="114"/>
    <x v="7"/>
    <x v="6"/>
    <x v="0"/>
    <x v="0"/>
    <n v="1"/>
    <n v="11546"/>
    <x v="2"/>
    <n v="7696"/>
    <x v="0"/>
    <x v="0"/>
    <x v="3"/>
    <x v="3"/>
    <x v="1"/>
    <x v="0"/>
    <x v="1137"/>
    <x v="151"/>
  </r>
  <r>
    <x v="1908"/>
    <x v="355"/>
    <x v="10"/>
    <x v="9"/>
    <x v="0"/>
    <x v="0"/>
    <n v="1"/>
    <n v="6809"/>
    <x v="0"/>
    <n v="2269"/>
    <x v="0"/>
    <x v="0"/>
    <x v="0"/>
    <x v="4"/>
    <x v="5"/>
    <x v="0"/>
    <x v="1138"/>
    <x v="1625"/>
  </r>
  <r>
    <x v="1909"/>
    <x v="324"/>
    <x v="6"/>
    <x v="6"/>
    <x v="0"/>
    <x v="0"/>
    <n v="1"/>
    <n v="10417"/>
    <x v="0"/>
    <n v="3472"/>
    <x v="0"/>
    <x v="0"/>
    <x v="5"/>
    <x v="13"/>
    <x v="3"/>
    <x v="1"/>
    <x v="1139"/>
    <x v="27"/>
  </r>
  <r>
    <x v="1910"/>
    <x v="127"/>
    <x v="9"/>
    <x v="8"/>
    <x v="1"/>
    <x v="1"/>
    <n v="1"/>
    <n v="10198"/>
    <x v="1"/>
    <n v="10197"/>
    <x v="0"/>
    <x v="1"/>
    <x v="4"/>
    <x v="9"/>
    <x v="5"/>
    <x v="0"/>
    <x v="2"/>
    <x v="1626"/>
  </r>
  <r>
    <x v="1911"/>
    <x v="301"/>
    <x v="7"/>
    <x v="6"/>
    <x v="1"/>
    <x v="1"/>
    <n v="1"/>
    <n v="8231"/>
    <x v="1"/>
    <n v="8229"/>
    <x v="0"/>
    <x v="2"/>
    <x v="5"/>
    <x v="12"/>
    <x v="1"/>
    <x v="1"/>
    <x v="4"/>
    <x v="1627"/>
  </r>
  <r>
    <x v="1912"/>
    <x v="50"/>
    <x v="2"/>
    <x v="2"/>
    <x v="1"/>
    <x v="1"/>
    <n v="1"/>
    <n v="6725"/>
    <x v="2"/>
    <n v="4482"/>
    <x v="0"/>
    <x v="1"/>
    <x v="1"/>
    <x v="13"/>
    <x v="6"/>
    <x v="0"/>
    <x v="972"/>
    <x v="1628"/>
  </r>
  <r>
    <x v="1913"/>
    <x v="59"/>
    <x v="5"/>
    <x v="5"/>
    <x v="0"/>
    <x v="0"/>
    <n v="1"/>
    <n v="4236"/>
    <x v="2"/>
    <n v="2824"/>
    <x v="0"/>
    <x v="1"/>
    <x v="2"/>
    <x v="3"/>
    <x v="0"/>
    <x v="1"/>
    <x v="1140"/>
    <x v="1629"/>
  </r>
  <r>
    <x v="1914"/>
    <x v="121"/>
    <x v="2"/>
    <x v="2"/>
    <x v="0"/>
    <x v="0"/>
    <n v="1"/>
    <n v="7489"/>
    <x v="2"/>
    <n v="4992"/>
    <x v="0"/>
    <x v="1"/>
    <x v="0"/>
    <x v="3"/>
    <x v="0"/>
    <x v="0"/>
    <x v="647"/>
    <x v="1630"/>
  </r>
  <r>
    <x v="1915"/>
    <x v="279"/>
    <x v="10"/>
    <x v="9"/>
    <x v="1"/>
    <x v="1"/>
    <n v="1"/>
    <n v="6783"/>
    <x v="0"/>
    <n v="2261"/>
    <x v="0"/>
    <x v="1"/>
    <x v="2"/>
    <x v="12"/>
    <x v="8"/>
    <x v="0"/>
    <x v="1141"/>
    <x v="1631"/>
  </r>
  <r>
    <x v="1916"/>
    <x v="10"/>
    <x v="0"/>
    <x v="0"/>
    <x v="0"/>
    <x v="0"/>
    <n v="1"/>
    <n v="4644"/>
    <x v="2"/>
    <n v="3096"/>
    <x v="0"/>
    <x v="1"/>
    <x v="4"/>
    <x v="4"/>
    <x v="9"/>
    <x v="0"/>
    <x v="1142"/>
    <x v="1244"/>
  </r>
  <r>
    <x v="1917"/>
    <x v="291"/>
    <x v="5"/>
    <x v="5"/>
    <x v="1"/>
    <x v="1"/>
    <n v="1"/>
    <n v="3776"/>
    <x v="0"/>
    <n v="1258"/>
    <x v="0"/>
    <x v="1"/>
    <x v="0"/>
    <x v="6"/>
    <x v="4"/>
    <x v="1"/>
    <x v="1143"/>
    <x v="1632"/>
  </r>
  <r>
    <x v="1918"/>
    <x v="78"/>
    <x v="10"/>
    <x v="9"/>
    <x v="0"/>
    <x v="0"/>
    <n v="1"/>
    <n v="7851"/>
    <x v="1"/>
    <n v="7851"/>
    <x v="1"/>
    <x v="2"/>
    <x v="0"/>
    <x v="6"/>
    <x v="1"/>
    <x v="1"/>
    <x v="1"/>
    <x v="1633"/>
  </r>
  <r>
    <x v="1919"/>
    <x v="206"/>
    <x v="11"/>
    <x v="10"/>
    <x v="1"/>
    <x v="1"/>
    <n v="1"/>
    <n v="4689"/>
    <x v="0"/>
    <n v="1563"/>
    <x v="0"/>
    <x v="2"/>
    <x v="4"/>
    <x v="5"/>
    <x v="0"/>
    <x v="0"/>
    <x v="1144"/>
    <x v="1634"/>
  </r>
  <r>
    <x v="1920"/>
    <x v="284"/>
    <x v="9"/>
    <x v="8"/>
    <x v="1"/>
    <x v="1"/>
    <n v="1"/>
    <n v="12740"/>
    <x v="2"/>
    <n v="8492"/>
    <x v="0"/>
    <x v="1"/>
    <x v="3"/>
    <x v="8"/>
    <x v="6"/>
    <x v="1"/>
    <x v="445"/>
    <x v="1635"/>
  </r>
  <r>
    <x v="1921"/>
    <x v="24"/>
    <x v="10"/>
    <x v="9"/>
    <x v="1"/>
    <x v="1"/>
    <n v="1"/>
    <n v="6448"/>
    <x v="0"/>
    <n v="2149"/>
    <x v="0"/>
    <x v="0"/>
    <x v="2"/>
    <x v="9"/>
    <x v="6"/>
    <x v="0"/>
    <x v="1145"/>
    <x v="1636"/>
  </r>
  <r>
    <x v="1922"/>
    <x v="204"/>
    <x v="8"/>
    <x v="7"/>
    <x v="0"/>
    <x v="0"/>
    <n v="1"/>
    <n v="10463"/>
    <x v="1"/>
    <n v="10461"/>
    <x v="0"/>
    <x v="0"/>
    <x v="0"/>
    <x v="12"/>
    <x v="7"/>
    <x v="1"/>
    <x v="4"/>
    <x v="1637"/>
  </r>
  <r>
    <x v="1923"/>
    <x v="171"/>
    <x v="4"/>
    <x v="4"/>
    <x v="0"/>
    <x v="0"/>
    <n v="1"/>
    <n v="4253"/>
    <x v="2"/>
    <n v="2834"/>
    <x v="0"/>
    <x v="2"/>
    <x v="3"/>
    <x v="14"/>
    <x v="9"/>
    <x v="0"/>
    <x v="1146"/>
    <x v="1638"/>
  </r>
  <r>
    <x v="1924"/>
    <x v="309"/>
    <x v="1"/>
    <x v="1"/>
    <x v="0"/>
    <x v="0"/>
    <n v="1"/>
    <n v="6843"/>
    <x v="1"/>
    <n v="6843"/>
    <x v="1"/>
    <x v="1"/>
    <x v="1"/>
    <x v="5"/>
    <x v="4"/>
    <x v="0"/>
    <x v="1"/>
    <x v="1639"/>
  </r>
  <r>
    <x v="1925"/>
    <x v="304"/>
    <x v="8"/>
    <x v="7"/>
    <x v="0"/>
    <x v="0"/>
    <n v="1"/>
    <n v="14383"/>
    <x v="0"/>
    <n v="4794"/>
    <x v="0"/>
    <x v="0"/>
    <x v="5"/>
    <x v="13"/>
    <x v="2"/>
    <x v="0"/>
    <x v="1147"/>
    <x v="1640"/>
  </r>
  <r>
    <x v="1926"/>
    <x v="213"/>
    <x v="6"/>
    <x v="6"/>
    <x v="1"/>
    <x v="1"/>
    <n v="1"/>
    <n v="9449"/>
    <x v="0"/>
    <n v="3149"/>
    <x v="0"/>
    <x v="1"/>
    <x v="2"/>
    <x v="5"/>
    <x v="2"/>
    <x v="0"/>
    <x v="1148"/>
    <x v="1641"/>
  </r>
  <r>
    <x v="1927"/>
    <x v="123"/>
    <x v="4"/>
    <x v="4"/>
    <x v="1"/>
    <x v="1"/>
    <n v="1"/>
    <n v="4436"/>
    <x v="1"/>
    <n v="4434"/>
    <x v="0"/>
    <x v="2"/>
    <x v="2"/>
    <x v="0"/>
    <x v="7"/>
    <x v="1"/>
    <x v="4"/>
    <x v="1642"/>
  </r>
  <r>
    <x v="1928"/>
    <x v="322"/>
    <x v="2"/>
    <x v="2"/>
    <x v="1"/>
    <x v="1"/>
    <n v="1"/>
    <n v="7214"/>
    <x v="1"/>
    <n v="7212"/>
    <x v="0"/>
    <x v="2"/>
    <x v="4"/>
    <x v="0"/>
    <x v="8"/>
    <x v="1"/>
    <x v="4"/>
    <x v="1643"/>
  </r>
  <r>
    <x v="1929"/>
    <x v="161"/>
    <x v="6"/>
    <x v="6"/>
    <x v="0"/>
    <x v="0"/>
    <n v="1"/>
    <n v="9467"/>
    <x v="0"/>
    <n v="3155"/>
    <x v="0"/>
    <x v="1"/>
    <x v="2"/>
    <x v="7"/>
    <x v="1"/>
    <x v="1"/>
    <x v="1149"/>
    <x v="1644"/>
  </r>
  <r>
    <x v="1930"/>
    <x v="47"/>
    <x v="5"/>
    <x v="5"/>
    <x v="1"/>
    <x v="1"/>
    <n v="1"/>
    <n v="4265"/>
    <x v="1"/>
    <n v="4263"/>
    <x v="0"/>
    <x v="1"/>
    <x v="5"/>
    <x v="5"/>
    <x v="7"/>
    <x v="0"/>
    <x v="4"/>
    <x v="160"/>
  </r>
  <r>
    <x v="1931"/>
    <x v="201"/>
    <x v="0"/>
    <x v="0"/>
    <x v="0"/>
    <x v="0"/>
    <n v="1"/>
    <n v="7155"/>
    <x v="0"/>
    <n v="2385"/>
    <x v="0"/>
    <x v="1"/>
    <x v="1"/>
    <x v="10"/>
    <x v="5"/>
    <x v="1"/>
    <x v="1150"/>
    <x v="1233"/>
  </r>
  <r>
    <x v="1932"/>
    <x v="14"/>
    <x v="4"/>
    <x v="4"/>
    <x v="0"/>
    <x v="0"/>
    <n v="1"/>
    <n v="5414"/>
    <x v="0"/>
    <n v="1804"/>
    <x v="0"/>
    <x v="0"/>
    <x v="2"/>
    <x v="8"/>
    <x v="2"/>
    <x v="1"/>
    <x v="1081"/>
    <x v="1615"/>
  </r>
  <r>
    <x v="1933"/>
    <x v="105"/>
    <x v="3"/>
    <x v="3"/>
    <x v="0"/>
    <x v="0"/>
    <n v="1"/>
    <n v="5485"/>
    <x v="2"/>
    <n v="3656"/>
    <x v="0"/>
    <x v="1"/>
    <x v="1"/>
    <x v="3"/>
    <x v="1"/>
    <x v="1"/>
    <x v="939"/>
    <x v="1645"/>
  </r>
  <r>
    <x v="1934"/>
    <x v="166"/>
    <x v="2"/>
    <x v="2"/>
    <x v="0"/>
    <x v="0"/>
    <n v="1"/>
    <n v="6069"/>
    <x v="1"/>
    <n v="6069"/>
    <x v="1"/>
    <x v="1"/>
    <x v="1"/>
    <x v="8"/>
    <x v="7"/>
    <x v="0"/>
    <x v="1"/>
    <x v="1646"/>
  </r>
  <r>
    <x v="1935"/>
    <x v="182"/>
    <x v="11"/>
    <x v="10"/>
    <x v="0"/>
    <x v="0"/>
    <n v="1"/>
    <n v="4675"/>
    <x v="1"/>
    <n v="4674"/>
    <x v="0"/>
    <x v="1"/>
    <x v="3"/>
    <x v="13"/>
    <x v="9"/>
    <x v="1"/>
    <x v="2"/>
    <x v="1409"/>
  </r>
  <r>
    <x v="1936"/>
    <x v="304"/>
    <x v="2"/>
    <x v="2"/>
    <x v="0"/>
    <x v="0"/>
    <n v="1"/>
    <n v="6768"/>
    <x v="2"/>
    <n v="4512"/>
    <x v="0"/>
    <x v="0"/>
    <x v="2"/>
    <x v="9"/>
    <x v="4"/>
    <x v="0"/>
    <x v="1151"/>
    <x v="67"/>
  </r>
  <r>
    <x v="1937"/>
    <x v="14"/>
    <x v="13"/>
    <x v="9"/>
    <x v="0"/>
    <x v="0"/>
    <n v="1"/>
    <n v="3042"/>
    <x v="1"/>
    <n v="3042"/>
    <x v="1"/>
    <x v="1"/>
    <x v="4"/>
    <x v="0"/>
    <x v="2"/>
    <x v="1"/>
    <x v="1"/>
    <x v="1647"/>
  </r>
  <r>
    <x v="1938"/>
    <x v="50"/>
    <x v="0"/>
    <x v="0"/>
    <x v="0"/>
    <x v="0"/>
    <n v="1"/>
    <n v="7044"/>
    <x v="2"/>
    <n v="4696"/>
    <x v="0"/>
    <x v="1"/>
    <x v="5"/>
    <x v="10"/>
    <x v="8"/>
    <x v="0"/>
    <x v="1152"/>
    <x v="1648"/>
  </r>
  <r>
    <x v="1939"/>
    <x v="268"/>
    <x v="7"/>
    <x v="6"/>
    <x v="1"/>
    <x v="1"/>
    <n v="1"/>
    <n v="9362"/>
    <x v="2"/>
    <n v="6240"/>
    <x v="0"/>
    <x v="0"/>
    <x v="4"/>
    <x v="4"/>
    <x v="5"/>
    <x v="1"/>
    <x v="1021"/>
    <x v="1649"/>
  </r>
  <r>
    <x v="1940"/>
    <x v="94"/>
    <x v="6"/>
    <x v="6"/>
    <x v="0"/>
    <x v="0"/>
    <n v="1"/>
    <n v="10628"/>
    <x v="2"/>
    <n v="7084"/>
    <x v="0"/>
    <x v="1"/>
    <x v="1"/>
    <x v="1"/>
    <x v="9"/>
    <x v="0"/>
    <x v="1153"/>
    <x v="1650"/>
  </r>
  <r>
    <x v="1941"/>
    <x v="240"/>
    <x v="5"/>
    <x v="5"/>
    <x v="0"/>
    <x v="0"/>
    <n v="1"/>
    <n v="4554"/>
    <x v="2"/>
    <n v="3036"/>
    <x v="0"/>
    <x v="0"/>
    <x v="2"/>
    <x v="0"/>
    <x v="6"/>
    <x v="1"/>
    <x v="1154"/>
    <x v="1651"/>
  </r>
  <r>
    <x v="1942"/>
    <x v="320"/>
    <x v="3"/>
    <x v="3"/>
    <x v="0"/>
    <x v="0"/>
    <n v="1"/>
    <n v="4143"/>
    <x v="1"/>
    <n v="4143"/>
    <x v="1"/>
    <x v="1"/>
    <x v="5"/>
    <x v="12"/>
    <x v="6"/>
    <x v="1"/>
    <x v="1"/>
    <x v="1652"/>
  </r>
  <r>
    <x v="1943"/>
    <x v="21"/>
    <x v="9"/>
    <x v="8"/>
    <x v="1"/>
    <x v="1"/>
    <n v="1"/>
    <n v="11064"/>
    <x v="0"/>
    <n v="3688"/>
    <x v="0"/>
    <x v="2"/>
    <x v="5"/>
    <x v="9"/>
    <x v="9"/>
    <x v="1"/>
    <x v="1155"/>
    <x v="303"/>
  </r>
  <r>
    <x v="1944"/>
    <x v="110"/>
    <x v="10"/>
    <x v="9"/>
    <x v="1"/>
    <x v="1"/>
    <n v="1"/>
    <n v="6083"/>
    <x v="2"/>
    <n v="4054"/>
    <x v="0"/>
    <x v="0"/>
    <x v="3"/>
    <x v="0"/>
    <x v="4"/>
    <x v="1"/>
    <x v="1156"/>
    <x v="1448"/>
  </r>
  <r>
    <x v="1945"/>
    <x v="148"/>
    <x v="6"/>
    <x v="6"/>
    <x v="1"/>
    <x v="1"/>
    <n v="1"/>
    <n v="10546"/>
    <x v="1"/>
    <n v="10545"/>
    <x v="0"/>
    <x v="0"/>
    <x v="4"/>
    <x v="7"/>
    <x v="8"/>
    <x v="1"/>
    <x v="2"/>
    <x v="1653"/>
  </r>
  <r>
    <x v="1946"/>
    <x v="196"/>
    <x v="7"/>
    <x v="6"/>
    <x v="0"/>
    <x v="0"/>
    <n v="1"/>
    <n v="11206"/>
    <x v="1"/>
    <n v="11205"/>
    <x v="0"/>
    <x v="2"/>
    <x v="1"/>
    <x v="0"/>
    <x v="6"/>
    <x v="1"/>
    <x v="2"/>
    <x v="1654"/>
  </r>
  <r>
    <x v="1947"/>
    <x v="41"/>
    <x v="9"/>
    <x v="8"/>
    <x v="1"/>
    <x v="1"/>
    <n v="1"/>
    <n v="14515"/>
    <x v="0"/>
    <n v="4838"/>
    <x v="0"/>
    <x v="1"/>
    <x v="2"/>
    <x v="10"/>
    <x v="3"/>
    <x v="1"/>
    <x v="1157"/>
    <x v="1655"/>
  </r>
  <r>
    <x v="1948"/>
    <x v="254"/>
    <x v="6"/>
    <x v="6"/>
    <x v="1"/>
    <x v="1"/>
    <n v="1"/>
    <n v="10267"/>
    <x v="1"/>
    <n v="10266"/>
    <x v="0"/>
    <x v="1"/>
    <x v="1"/>
    <x v="8"/>
    <x v="3"/>
    <x v="0"/>
    <x v="2"/>
    <x v="1656"/>
  </r>
  <r>
    <x v="1949"/>
    <x v="179"/>
    <x v="13"/>
    <x v="9"/>
    <x v="0"/>
    <x v="0"/>
    <n v="1"/>
    <n v="3576"/>
    <x v="0"/>
    <n v="1192"/>
    <x v="0"/>
    <x v="1"/>
    <x v="0"/>
    <x v="12"/>
    <x v="5"/>
    <x v="1"/>
    <x v="1158"/>
    <x v="1657"/>
  </r>
  <r>
    <x v="1950"/>
    <x v="104"/>
    <x v="11"/>
    <x v="10"/>
    <x v="0"/>
    <x v="0"/>
    <n v="1"/>
    <n v="4267"/>
    <x v="1"/>
    <n v="4266"/>
    <x v="0"/>
    <x v="2"/>
    <x v="2"/>
    <x v="14"/>
    <x v="2"/>
    <x v="1"/>
    <x v="2"/>
    <x v="524"/>
  </r>
  <r>
    <x v="1951"/>
    <x v="43"/>
    <x v="2"/>
    <x v="2"/>
    <x v="0"/>
    <x v="0"/>
    <n v="1"/>
    <n v="6745"/>
    <x v="0"/>
    <n v="2248"/>
    <x v="0"/>
    <x v="1"/>
    <x v="2"/>
    <x v="10"/>
    <x v="1"/>
    <x v="1"/>
    <x v="460"/>
    <x v="172"/>
  </r>
  <r>
    <x v="1952"/>
    <x v="44"/>
    <x v="10"/>
    <x v="9"/>
    <x v="0"/>
    <x v="0"/>
    <n v="1"/>
    <n v="4567"/>
    <x v="0"/>
    <n v="1522"/>
    <x v="0"/>
    <x v="1"/>
    <x v="5"/>
    <x v="5"/>
    <x v="2"/>
    <x v="1"/>
    <x v="1159"/>
    <x v="1658"/>
  </r>
  <r>
    <x v="1953"/>
    <x v="335"/>
    <x v="8"/>
    <x v="7"/>
    <x v="1"/>
    <x v="1"/>
    <n v="1"/>
    <n v="7157"/>
    <x v="0"/>
    <n v="2385"/>
    <x v="0"/>
    <x v="2"/>
    <x v="2"/>
    <x v="2"/>
    <x v="9"/>
    <x v="0"/>
    <x v="1160"/>
    <x v="1233"/>
  </r>
  <r>
    <x v="1954"/>
    <x v="6"/>
    <x v="12"/>
    <x v="11"/>
    <x v="0"/>
    <x v="0"/>
    <n v="1"/>
    <n v="5925"/>
    <x v="0"/>
    <n v="1975"/>
    <x v="0"/>
    <x v="0"/>
    <x v="3"/>
    <x v="3"/>
    <x v="0"/>
    <x v="1"/>
    <x v="1161"/>
    <x v="1659"/>
  </r>
  <r>
    <x v="1955"/>
    <x v="186"/>
    <x v="2"/>
    <x v="2"/>
    <x v="1"/>
    <x v="1"/>
    <n v="1"/>
    <n v="6077"/>
    <x v="2"/>
    <n v="4050"/>
    <x v="0"/>
    <x v="2"/>
    <x v="0"/>
    <x v="6"/>
    <x v="2"/>
    <x v="0"/>
    <x v="1162"/>
    <x v="1209"/>
  </r>
  <r>
    <x v="1956"/>
    <x v="125"/>
    <x v="9"/>
    <x v="8"/>
    <x v="0"/>
    <x v="0"/>
    <n v="1"/>
    <n v="9189"/>
    <x v="1"/>
    <n v="9189"/>
    <x v="1"/>
    <x v="1"/>
    <x v="2"/>
    <x v="1"/>
    <x v="0"/>
    <x v="0"/>
    <x v="1"/>
    <x v="1660"/>
  </r>
  <r>
    <x v="1957"/>
    <x v="56"/>
    <x v="7"/>
    <x v="6"/>
    <x v="0"/>
    <x v="0"/>
    <n v="1"/>
    <n v="9637"/>
    <x v="1"/>
    <n v="9636"/>
    <x v="0"/>
    <x v="1"/>
    <x v="0"/>
    <x v="7"/>
    <x v="8"/>
    <x v="1"/>
    <x v="2"/>
    <x v="1661"/>
  </r>
  <r>
    <x v="1958"/>
    <x v="254"/>
    <x v="3"/>
    <x v="3"/>
    <x v="0"/>
    <x v="0"/>
    <n v="1"/>
    <n v="6475"/>
    <x v="2"/>
    <n v="4316"/>
    <x v="0"/>
    <x v="1"/>
    <x v="0"/>
    <x v="9"/>
    <x v="0"/>
    <x v="1"/>
    <x v="1163"/>
    <x v="1662"/>
  </r>
  <r>
    <x v="1959"/>
    <x v="27"/>
    <x v="13"/>
    <x v="9"/>
    <x v="1"/>
    <x v="1"/>
    <n v="1"/>
    <n v="4417"/>
    <x v="2"/>
    <n v="2944"/>
    <x v="0"/>
    <x v="2"/>
    <x v="1"/>
    <x v="9"/>
    <x v="2"/>
    <x v="0"/>
    <x v="1164"/>
    <x v="1663"/>
  </r>
  <r>
    <x v="1960"/>
    <x v="138"/>
    <x v="9"/>
    <x v="8"/>
    <x v="1"/>
    <x v="1"/>
    <n v="1"/>
    <n v="8937"/>
    <x v="0"/>
    <n v="2979"/>
    <x v="0"/>
    <x v="0"/>
    <x v="1"/>
    <x v="6"/>
    <x v="5"/>
    <x v="1"/>
    <x v="1165"/>
    <x v="1664"/>
  </r>
  <r>
    <x v="1961"/>
    <x v="311"/>
    <x v="9"/>
    <x v="8"/>
    <x v="0"/>
    <x v="0"/>
    <n v="1"/>
    <n v="11861"/>
    <x v="2"/>
    <n v="7906"/>
    <x v="0"/>
    <x v="0"/>
    <x v="4"/>
    <x v="10"/>
    <x v="0"/>
    <x v="0"/>
    <x v="1166"/>
    <x v="1665"/>
  </r>
  <r>
    <x v="1962"/>
    <x v="26"/>
    <x v="0"/>
    <x v="0"/>
    <x v="1"/>
    <x v="1"/>
    <n v="1"/>
    <n v="6085"/>
    <x v="1"/>
    <n v="6084"/>
    <x v="0"/>
    <x v="0"/>
    <x v="0"/>
    <x v="14"/>
    <x v="3"/>
    <x v="0"/>
    <x v="2"/>
    <x v="1666"/>
  </r>
  <r>
    <x v="1963"/>
    <x v="313"/>
    <x v="4"/>
    <x v="4"/>
    <x v="0"/>
    <x v="0"/>
    <n v="1"/>
    <n v="5282"/>
    <x v="2"/>
    <n v="3520"/>
    <x v="0"/>
    <x v="1"/>
    <x v="1"/>
    <x v="2"/>
    <x v="9"/>
    <x v="1"/>
    <x v="353"/>
    <x v="1667"/>
  </r>
  <r>
    <x v="1964"/>
    <x v="78"/>
    <x v="12"/>
    <x v="11"/>
    <x v="0"/>
    <x v="0"/>
    <n v="1"/>
    <n v="7950"/>
    <x v="2"/>
    <n v="5300"/>
    <x v="0"/>
    <x v="0"/>
    <x v="1"/>
    <x v="0"/>
    <x v="7"/>
    <x v="0"/>
    <x v="1167"/>
    <x v="1668"/>
  </r>
  <r>
    <x v="1965"/>
    <x v="169"/>
    <x v="6"/>
    <x v="6"/>
    <x v="0"/>
    <x v="0"/>
    <n v="1"/>
    <n v="7779"/>
    <x v="2"/>
    <n v="5186"/>
    <x v="0"/>
    <x v="1"/>
    <x v="0"/>
    <x v="5"/>
    <x v="1"/>
    <x v="1"/>
    <x v="1168"/>
    <x v="1669"/>
  </r>
  <r>
    <x v="1966"/>
    <x v="49"/>
    <x v="7"/>
    <x v="6"/>
    <x v="1"/>
    <x v="1"/>
    <n v="1"/>
    <n v="11118"/>
    <x v="0"/>
    <n v="3706"/>
    <x v="0"/>
    <x v="1"/>
    <x v="3"/>
    <x v="11"/>
    <x v="4"/>
    <x v="0"/>
    <x v="1169"/>
    <x v="1670"/>
  </r>
  <r>
    <x v="1967"/>
    <x v="135"/>
    <x v="3"/>
    <x v="3"/>
    <x v="1"/>
    <x v="1"/>
    <n v="1"/>
    <n v="4189"/>
    <x v="1"/>
    <n v="4188"/>
    <x v="0"/>
    <x v="0"/>
    <x v="3"/>
    <x v="7"/>
    <x v="6"/>
    <x v="1"/>
    <x v="2"/>
    <x v="1559"/>
  </r>
  <r>
    <x v="1968"/>
    <x v="178"/>
    <x v="0"/>
    <x v="0"/>
    <x v="0"/>
    <x v="0"/>
    <n v="1"/>
    <n v="6868"/>
    <x v="2"/>
    <n v="4578"/>
    <x v="0"/>
    <x v="0"/>
    <x v="1"/>
    <x v="13"/>
    <x v="3"/>
    <x v="0"/>
    <x v="522"/>
    <x v="66"/>
  </r>
  <r>
    <x v="1969"/>
    <x v="113"/>
    <x v="12"/>
    <x v="11"/>
    <x v="0"/>
    <x v="0"/>
    <n v="1"/>
    <n v="5841"/>
    <x v="1"/>
    <n v="5841"/>
    <x v="1"/>
    <x v="2"/>
    <x v="4"/>
    <x v="12"/>
    <x v="7"/>
    <x v="0"/>
    <x v="1"/>
    <x v="1671"/>
  </r>
  <r>
    <x v="1970"/>
    <x v="31"/>
    <x v="9"/>
    <x v="8"/>
    <x v="1"/>
    <x v="1"/>
    <n v="1"/>
    <n v="13281"/>
    <x v="1"/>
    <n v="13281"/>
    <x v="1"/>
    <x v="2"/>
    <x v="4"/>
    <x v="6"/>
    <x v="5"/>
    <x v="1"/>
    <x v="1"/>
    <x v="1672"/>
  </r>
  <r>
    <x v="1971"/>
    <x v="297"/>
    <x v="5"/>
    <x v="5"/>
    <x v="1"/>
    <x v="1"/>
    <n v="1"/>
    <n v="4597"/>
    <x v="1"/>
    <n v="4596"/>
    <x v="0"/>
    <x v="2"/>
    <x v="1"/>
    <x v="11"/>
    <x v="5"/>
    <x v="1"/>
    <x v="2"/>
    <x v="1673"/>
  </r>
  <r>
    <x v="1972"/>
    <x v="174"/>
    <x v="10"/>
    <x v="9"/>
    <x v="0"/>
    <x v="0"/>
    <n v="1"/>
    <n v="4946"/>
    <x v="1"/>
    <n v="4944"/>
    <x v="0"/>
    <x v="1"/>
    <x v="1"/>
    <x v="3"/>
    <x v="7"/>
    <x v="1"/>
    <x v="4"/>
    <x v="216"/>
  </r>
  <r>
    <x v="1973"/>
    <x v="354"/>
    <x v="2"/>
    <x v="2"/>
    <x v="1"/>
    <x v="1"/>
    <n v="1"/>
    <n v="7068"/>
    <x v="0"/>
    <n v="2356"/>
    <x v="0"/>
    <x v="0"/>
    <x v="5"/>
    <x v="10"/>
    <x v="8"/>
    <x v="1"/>
    <x v="1170"/>
    <x v="1674"/>
  </r>
  <r>
    <x v="1974"/>
    <x v="337"/>
    <x v="0"/>
    <x v="0"/>
    <x v="1"/>
    <x v="1"/>
    <n v="1"/>
    <n v="4233"/>
    <x v="0"/>
    <n v="1411"/>
    <x v="0"/>
    <x v="0"/>
    <x v="3"/>
    <x v="13"/>
    <x v="6"/>
    <x v="0"/>
    <x v="1171"/>
    <x v="228"/>
  </r>
  <r>
    <x v="1975"/>
    <x v="279"/>
    <x v="2"/>
    <x v="2"/>
    <x v="1"/>
    <x v="1"/>
    <n v="1"/>
    <n v="7181"/>
    <x v="2"/>
    <n v="4786"/>
    <x v="0"/>
    <x v="0"/>
    <x v="4"/>
    <x v="8"/>
    <x v="4"/>
    <x v="1"/>
    <x v="1172"/>
    <x v="1675"/>
  </r>
  <r>
    <x v="1976"/>
    <x v="260"/>
    <x v="10"/>
    <x v="9"/>
    <x v="1"/>
    <x v="1"/>
    <n v="1"/>
    <n v="4897"/>
    <x v="0"/>
    <n v="1632"/>
    <x v="0"/>
    <x v="0"/>
    <x v="0"/>
    <x v="0"/>
    <x v="8"/>
    <x v="1"/>
    <x v="1173"/>
    <x v="922"/>
  </r>
  <r>
    <x v="1977"/>
    <x v="174"/>
    <x v="0"/>
    <x v="0"/>
    <x v="1"/>
    <x v="1"/>
    <n v="1"/>
    <n v="6818"/>
    <x v="2"/>
    <n v="4544"/>
    <x v="0"/>
    <x v="2"/>
    <x v="5"/>
    <x v="14"/>
    <x v="7"/>
    <x v="1"/>
    <x v="1174"/>
    <x v="1676"/>
  </r>
  <r>
    <x v="1978"/>
    <x v="186"/>
    <x v="9"/>
    <x v="8"/>
    <x v="1"/>
    <x v="1"/>
    <n v="1"/>
    <n v="12352"/>
    <x v="1"/>
    <n v="12351"/>
    <x v="0"/>
    <x v="0"/>
    <x v="0"/>
    <x v="12"/>
    <x v="1"/>
    <x v="1"/>
    <x v="2"/>
    <x v="1677"/>
  </r>
  <r>
    <x v="1979"/>
    <x v="119"/>
    <x v="4"/>
    <x v="4"/>
    <x v="1"/>
    <x v="1"/>
    <n v="1"/>
    <n v="4681"/>
    <x v="2"/>
    <n v="3120"/>
    <x v="0"/>
    <x v="0"/>
    <x v="3"/>
    <x v="8"/>
    <x v="3"/>
    <x v="1"/>
    <x v="1175"/>
    <x v="1678"/>
  </r>
  <r>
    <x v="1980"/>
    <x v="301"/>
    <x v="0"/>
    <x v="0"/>
    <x v="0"/>
    <x v="0"/>
    <n v="1"/>
    <n v="7200"/>
    <x v="1"/>
    <n v="7200"/>
    <x v="1"/>
    <x v="2"/>
    <x v="5"/>
    <x v="12"/>
    <x v="0"/>
    <x v="1"/>
    <x v="1"/>
    <x v="1679"/>
  </r>
  <r>
    <x v="1981"/>
    <x v="208"/>
    <x v="0"/>
    <x v="0"/>
    <x v="0"/>
    <x v="0"/>
    <n v="1"/>
    <n v="5935"/>
    <x v="2"/>
    <n v="3956"/>
    <x v="0"/>
    <x v="1"/>
    <x v="0"/>
    <x v="9"/>
    <x v="1"/>
    <x v="1"/>
    <x v="1176"/>
    <x v="429"/>
  </r>
  <r>
    <x v="1982"/>
    <x v="261"/>
    <x v="10"/>
    <x v="9"/>
    <x v="0"/>
    <x v="0"/>
    <n v="1"/>
    <n v="7958"/>
    <x v="2"/>
    <n v="5304"/>
    <x v="0"/>
    <x v="2"/>
    <x v="0"/>
    <x v="11"/>
    <x v="9"/>
    <x v="0"/>
    <x v="1177"/>
    <x v="863"/>
  </r>
  <r>
    <x v="1983"/>
    <x v="226"/>
    <x v="6"/>
    <x v="6"/>
    <x v="1"/>
    <x v="1"/>
    <n v="1"/>
    <n v="7373"/>
    <x v="0"/>
    <n v="2457"/>
    <x v="0"/>
    <x v="0"/>
    <x v="2"/>
    <x v="7"/>
    <x v="4"/>
    <x v="1"/>
    <x v="1178"/>
    <x v="1439"/>
  </r>
  <r>
    <x v="1984"/>
    <x v="34"/>
    <x v="12"/>
    <x v="11"/>
    <x v="0"/>
    <x v="0"/>
    <n v="1"/>
    <n v="6825"/>
    <x v="0"/>
    <n v="2275"/>
    <x v="0"/>
    <x v="0"/>
    <x v="4"/>
    <x v="2"/>
    <x v="7"/>
    <x v="1"/>
    <x v="1179"/>
    <x v="1680"/>
  </r>
  <r>
    <x v="1985"/>
    <x v="118"/>
    <x v="4"/>
    <x v="4"/>
    <x v="0"/>
    <x v="0"/>
    <n v="1"/>
    <n v="6778"/>
    <x v="1"/>
    <n v="6777"/>
    <x v="0"/>
    <x v="2"/>
    <x v="5"/>
    <x v="7"/>
    <x v="1"/>
    <x v="0"/>
    <x v="2"/>
    <x v="930"/>
  </r>
  <r>
    <x v="1986"/>
    <x v="301"/>
    <x v="10"/>
    <x v="9"/>
    <x v="1"/>
    <x v="1"/>
    <n v="1"/>
    <n v="7165"/>
    <x v="0"/>
    <n v="2388"/>
    <x v="0"/>
    <x v="1"/>
    <x v="3"/>
    <x v="14"/>
    <x v="8"/>
    <x v="0"/>
    <x v="1180"/>
    <x v="1681"/>
  </r>
  <r>
    <x v="1987"/>
    <x v="324"/>
    <x v="2"/>
    <x v="2"/>
    <x v="0"/>
    <x v="0"/>
    <n v="1"/>
    <n v="7582"/>
    <x v="2"/>
    <n v="5054"/>
    <x v="0"/>
    <x v="0"/>
    <x v="1"/>
    <x v="5"/>
    <x v="2"/>
    <x v="1"/>
    <x v="1181"/>
    <x v="1682"/>
  </r>
  <r>
    <x v="1988"/>
    <x v="126"/>
    <x v="10"/>
    <x v="9"/>
    <x v="1"/>
    <x v="1"/>
    <n v="1"/>
    <n v="6794"/>
    <x v="0"/>
    <n v="2264"/>
    <x v="0"/>
    <x v="2"/>
    <x v="3"/>
    <x v="12"/>
    <x v="7"/>
    <x v="0"/>
    <x v="89"/>
    <x v="1683"/>
  </r>
  <r>
    <x v="1989"/>
    <x v="291"/>
    <x v="1"/>
    <x v="1"/>
    <x v="0"/>
    <x v="0"/>
    <n v="1"/>
    <n v="6959"/>
    <x v="2"/>
    <n v="4638"/>
    <x v="0"/>
    <x v="1"/>
    <x v="0"/>
    <x v="7"/>
    <x v="0"/>
    <x v="1"/>
    <x v="1182"/>
    <x v="210"/>
  </r>
  <r>
    <x v="1990"/>
    <x v="299"/>
    <x v="13"/>
    <x v="9"/>
    <x v="0"/>
    <x v="0"/>
    <n v="1"/>
    <n v="3590"/>
    <x v="2"/>
    <n v="2392"/>
    <x v="0"/>
    <x v="2"/>
    <x v="2"/>
    <x v="5"/>
    <x v="7"/>
    <x v="0"/>
    <x v="1183"/>
    <x v="1043"/>
  </r>
  <r>
    <x v="1991"/>
    <x v="118"/>
    <x v="10"/>
    <x v="9"/>
    <x v="0"/>
    <x v="0"/>
    <n v="1"/>
    <n v="5257"/>
    <x v="2"/>
    <n v="3504"/>
    <x v="0"/>
    <x v="2"/>
    <x v="2"/>
    <x v="8"/>
    <x v="0"/>
    <x v="0"/>
    <x v="1184"/>
    <x v="1684"/>
  </r>
  <r>
    <x v="1992"/>
    <x v="129"/>
    <x v="7"/>
    <x v="6"/>
    <x v="1"/>
    <x v="1"/>
    <n v="1"/>
    <n v="10167"/>
    <x v="0"/>
    <n v="3389"/>
    <x v="0"/>
    <x v="0"/>
    <x v="4"/>
    <x v="13"/>
    <x v="0"/>
    <x v="0"/>
    <x v="1185"/>
    <x v="1387"/>
  </r>
  <r>
    <x v="1993"/>
    <x v="236"/>
    <x v="13"/>
    <x v="9"/>
    <x v="1"/>
    <x v="1"/>
    <n v="1"/>
    <n v="3054"/>
    <x v="0"/>
    <n v="1018"/>
    <x v="0"/>
    <x v="1"/>
    <x v="0"/>
    <x v="11"/>
    <x v="4"/>
    <x v="0"/>
    <x v="1186"/>
    <x v="599"/>
  </r>
  <r>
    <x v="1994"/>
    <x v="168"/>
    <x v="10"/>
    <x v="9"/>
    <x v="0"/>
    <x v="0"/>
    <n v="1"/>
    <n v="7341"/>
    <x v="1"/>
    <n v="7341"/>
    <x v="1"/>
    <x v="0"/>
    <x v="4"/>
    <x v="9"/>
    <x v="8"/>
    <x v="1"/>
    <x v="1"/>
    <x v="424"/>
  </r>
  <r>
    <x v="1995"/>
    <x v="271"/>
    <x v="10"/>
    <x v="9"/>
    <x v="1"/>
    <x v="1"/>
    <n v="1"/>
    <n v="4597"/>
    <x v="1"/>
    <n v="4596"/>
    <x v="0"/>
    <x v="1"/>
    <x v="5"/>
    <x v="1"/>
    <x v="8"/>
    <x v="0"/>
    <x v="2"/>
    <x v="1673"/>
  </r>
  <r>
    <x v="1996"/>
    <x v="167"/>
    <x v="8"/>
    <x v="7"/>
    <x v="0"/>
    <x v="0"/>
    <n v="1"/>
    <n v="8025"/>
    <x v="1"/>
    <n v="8025"/>
    <x v="1"/>
    <x v="1"/>
    <x v="5"/>
    <x v="12"/>
    <x v="0"/>
    <x v="1"/>
    <x v="1"/>
    <x v="1685"/>
  </r>
  <r>
    <x v="1997"/>
    <x v="359"/>
    <x v="3"/>
    <x v="3"/>
    <x v="0"/>
    <x v="0"/>
    <n v="1"/>
    <n v="4252"/>
    <x v="0"/>
    <n v="1417"/>
    <x v="0"/>
    <x v="1"/>
    <x v="2"/>
    <x v="2"/>
    <x v="2"/>
    <x v="0"/>
    <x v="1187"/>
    <x v="1388"/>
  </r>
  <r>
    <x v="1998"/>
    <x v="188"/>
    <x v="8"/>
    <x v="7"/>
    <x v="1"/>
    <x v="1"/>
    <n v="1"/>
    <n v="10881"/>
    <x v="2"/>
    <n v="7254"/>
    <x v="0"/>
    <x v="2"/>
    <x v="5"/>
    <x v="7"/>
    <x v="9"/>
    <x v="0"/>
    <x v="1188"/>
    <x v="1686"/>
  </r>
  <r>
    <x v="1999"/>
    <x v="348"/>
    <x v="2"/>
    <x v="2"/>
    <x v="0"/>
    <x v="0"/>
    <n v="1"/>
    <n v="6805"/>
    <x v="1"/>
    <n v="6804"/>
    <x v="0"/>
    <x v="2"/>
    <x v="0"/>
    <x v="10"/>
    <x v="6"/>
    <x v="0"/>
    <x v="2"/>
    <x v="16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M37:O44" firstHeaderRow="0" firstDataRow="1" firstDataCol="1"/>
  <pivotFields count="19">
    <pivotField showAll="0"/>
    <pivotField numFmtId="164" showAll="0"/>
    <pivotField showAll="0"/>
    <pivotField showAll="0">
      <items count="13">
        <item x="1"/>
        <item x="7"/>
        <item x="9"/>
        <item x="2"/>
        <item x="6"/>
        <item x="0"/>
        <item x="8"/>
        <item x="4"/>
        <item x="11"/>
        <item x="3"/>
        <item x="5"/>
        <item x="10"/>
        <item t="default"/>
      </items>
    </pivotField>
    <pivotField showAll="0">
      <items count="3">
        <item x="0"/>
        <item x="1"/>
        <item t="default"/>
      </items>
    </pivotField>
    <pivotField numFmtId="1" showAll="0">
      <items count="3">
        <item x="1"/>
        <item x="0"/>
        <item t="default"/>
      </items>
    </pivotField>
    <pivotField numFmtId="1" showAll="0"/>
    <pivotField numFmtId="1" showAll="0"/>
    <pivotField numFmtId="1" showAll="0">
      <items count="4">
        <item x="0"/>
        <item x="2"/>
        <item x="1"/>
        <item t="default"/>
      </items>
    </pivotField>
    <pivotField numFmtId="1" showAll="0"/>
    <pivotField showAll="0">
      <items count="3">
        <item x="1"/>
        <item x="0"/>
        <item t="default"/>
      </items>
    </pivotField>
    <pivotField showAll="0">
      <items count="4">
        <item x="0"/>
        <item x="1"/>
        <item x="2"/>
        <item t="default"/>
      </items>
    </pivotField>
    <pivotField axis="axisRow" showAll="0" measureFilter="1" sortType="descending">
      <items count="7">
        <item x="2"/>
        <item x="4"/>
        <item x="0"/>
        <item x="3"/>
        <item x="1"/>
        <item x="5"/>
        <item t="default"/>
      </items>
      <autoSortScope>
        <pivotArea dataOnly="0" outline="0" fieldPosition="0">
          <references count="1">
            <reference field="4294967294" count="1" selected="0">
              <x v="0"/>
            </reference>
          </references>
        </pivotArea>
      </autoSortScope>
    </pivotField>
    <pivotField showAll="0">
      <items count="16">
        <item x="13"/>
        <item x="7"/>
        <item x="0"/>
        <item x="14"/>
        <item x="11"/>
        <item x="6"/>
        <item x="12"/>
        <item x="10"/>
        <item x="1"/>
        <item x="5"/>
        <item x="2"/>
        <item x="4"/>
        <item x="3"/>
        <item x="9"/>
        <item x="8"/>
        <item t="default"/>
      </items>
    </pivotField>
    <pivotField showAll="0">
      <items count="11">
        <item x="9"/>
        <item x="5"/>
        <item x="4"/>
        <item x="2"/>
        <item x="7"/>
        <item x="6"/>
        <item x="3"/>
        <item x="1"/>
        <item x="0"/>
        <item x="8"/>
        <item t="default"/>
      </items>
    </pivotField>
    <pivotField showAll="0">
      <items count="3">
        <item x="1"/>
        <item x="0"/>
        <item t="default"/>
      </items>
    </pivotField>
    <pivotField dataField="1" showAll="0"/>
    <pivotField dataField="1" showAll="0"/>
    <pivotField showAll="0" defaultSubtotal="0">
      <items count="14">
        <item x="0"/>
        <item x="1"/>
        <item x="2"/>
        <item x="3"/>
        <item x="4"/>
        <item x="5"/>
        <item x="6"/>
        <item x="7"/>
        <item x="8"/>
        <item x="9"/>
        <item x="10"/>
        <item x="11"/>
        <item x="12"/>
        <item x="13"/>
      </items>
    </pivotField>
  </pivotFields>
  <rowFields count="1">
    <field x="12"/>
  </rowFields>
  <rowItems count="7">
    <i>
      <x/>
    </i>
    <i>
      <x v="5"/>
    </i>
    <i>
      <x v="2"/>
    </i>
    <i>
      <x v="4"/>
    </i>
    <i>
      <x v="3"/>
    </i>
    <i>
      <x v="1"/>
    </i>
    <i t="grand">
      <x/>
    </i>
  </rowItems>
  <colFields count="1">
    <field x="-2"/>
  </colFields>
  <colItems count="2">
    <i>
      <x/>
    </i>
    <i i="1">
      <x v="1"/>
    </i>
  </colItems>
  <dataFields count="2">
    <dataField name="Sum of Revenue" fld="17" baseField="0" baseItem="0"/>
    <dataField name="Sum of pending Revenue" fld="16" baseField="0" baseItem="0"/>
  </dataFields>
  <chartFormats count="1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 chart="15" format="10">
      <pivotArea type="data" outline="0" fieldPosition="0">
        <references count="2">
          <reference field="4294967294" count="1" selected="0">
            <x v="1"/>
          </reference>
          <reference field="12" count="1" selected="0">
            <x v="3"/>
          </reference>
        </references>
      </pivotArea>
    </chartFormat>
    <chartFormat chart="15" format="11">
      <pivotArea type="data" outline="0" fieldPosition="0">
        <references count="2">
          <reference field="4294967294" count="1" selected="0">
            <x v="1"/>
          </reference>
          <reference field="12" count="1" selected="0">
            <x v="4"/>
          </reference>
        </references>
      </pivotArea>
    </chartFormat>
    <chartFormat chart="15" format="12">
      <pivotArea type="data" outline="0" fieldPosition="0">
        <references count="2">
          <reference field="4294967294" count="1" selected="0">
            <x v="1"/>
          </reference>
          <reference field="12" count="1" selected="0">
            <x v="5"/>
          </reference>
        </references>
      </pivotArea>
    </chartFormat>
    <chartFormat chart="15" format="13">
      <pivotArea type="data" outline="0" fieldPosition="0">
        <references count="2">
          <reference field="4294967294" count="1" selected="0">
            <x v="1"/>
          </reference>
          <reference field="12" count="1" selected="0">
            <x v="2"/>
          </reference>
        </references>
      </pivotArea>
    </chartFormat>
    <chartFormat chart="15" format="14">
      <pivotArea type="data" outline="0" fieldPosition="0">
        <references count="2">
          <reference field="4294967294" count="1" selected="0">
            <x v="1"/>
          </reference>
          <reference field="12" count="1" selected="0">
            <x v="1"/>
          </reference>
        </references>
      </pivotArea>
    </chartFormat>
    <chartFormat chart="15" format="15">
      <pivotArea type="data" outline="0" fieldPosition="0">
        <references count="2">
          <reference field="4294967294" count="1" selected="0">
            <x v="1"/>
          </reference>
          <reference field="12" count="1" selected="0">
            <x v="0"/>
          </reference>
        </references>
      </pivotArea>
    </chartFormat>
    <chartFormat chart="15" format="16">
      <pivotArea type="data" outline="0" fieldPosition="0">
        <references count="2">
          <reference field="4294967294" count="1" selected="0">
            <x v="0"/>
          </reference>
          <reference field="12" count="1" selected="0">
            <x v="0"/>
          </reference>
        </references>
      </pivotArea>
    </chartFormat>
    <chartFormat chart="15" format="17">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Q17:T33" firstHeaderRow="1" firstDataRow="2" firstDataCol="1"/>
  <pivotFields count="19">
    <pivotField showAll="0"/>
    <pivotField numFmtId="164" showAll="0"/>
    <pivotField axis="axisRow" showAll="0">
      <items count="15">
        <item x="8"/>
        <item x="1"/>
        <item x="9"/>
        <item x="10"/>
        <item x="3"/>
        <item x="0"/>
        <item x="4"/>
        <item x="13"/>
        <item x="12"/>
        <item x="5"/>
        <item x="2"/>
        <item x="6"/>
        <item x="7"/>
        <item x="11"/>
        <item t="default"/>
      </items>
    </pivotField>
    <pivotField showAll="0">
      <items count="13">
        <item x="1"/>
        <item x="7"/>
        <item x="9"/>
        <item x="2"/>
        <item x="6"/>
        <item x="0"/>
        <item x="8"/>
        <item x="4"/>
        <item x="11"/>
        <item x="3"/>
        <item x="5"/>
        <item x="10"/>
        <item t="default"/>
      </items>
    </pivotField>
    <pivotField showAll="0">
      <items count="3">
        <item x="0"/>
        <item x="1"/>
        <item t="default"/>
      </items>
    </pivotField>
    <pivotField numFmtId="1" showAll="0">
      <items count="3">
        <item x="1"/>
        <item x="0"/>
        <item t="default"/>
      </items>
    </pivotField>
    <pivotField numFmtId="1" showAll="0"/>
    <pivotField numFmtId="1" showAll="0"/>
    <pivotField numFmtId="1" showAll="0">
      <items count="4">
        <item x="0"/>
        <item x="2"/>
        <item x="1"/>
        <item t="default"/>
      </items>
    </pivotField>
    <pivotField numFmtId="1" showAll="0"/>
    <pivotField showAll="0">
      <items count="3">
        <item x="1"/>
        <item x="0"/>
        <item t="default"/>
      </items>
    </pivotField>
    <pivotField showAll="0">
      <items count="4">
        <item x="0"/>
        <item x="1"/>
        <item x="2"/>
        <item t="default"/>
      </items>
    </pivotField>
    <pivotField showAll="0">
      <items count="7">
        <item x="2"/>
        <item x="4"/>
        <item x="0"/>
        <item x="3"/>
        <item x="1"/>
        <item x="5"/>
        <item t="default"/>
      </items>
    </pivotField>
    <pivotField showAll="0">
      <items count="16">
        <item x="13"/>
        <item x="7"/>
        <item x="0"/>
        <item x="14"/>
        <item x="11"/>
        <item x="6"/>
        <item x="12"/>
        <item x="10"/>
        <item x="1"/>
        <item x="5"/>
        <item x="2"/>
        <item x="4"/>
        <item x="3"/>
        <item x="9"/>
        <item x="8"/>
        <item t="default"/>
      </items>
    </pivotField>
    <pivotField showAll="0">
      <items count="11">
        <item x="9"/>
        <item x="5"/>
        <item x="4"/>
        <item x="2"/>
        <item x="7"/>
        <item x="6"/>
        <item x="3"/>
        <item x="1"/>
        <item x="0"/>
        <item x="8"/>
        <item t="default"/>
      </items>
    </pivotField>
    <pivotField axis="axisCol" showAll="0">
      <items count="3">
        <item x="1"/>
        <item x="0"/>
        <item t="default"/>
      </items>
    </pivotField>
    <pivotField dataField="1" showAll="0"/>
    <pivotField showAll="0"/>
    <pivotField showAll="0" defaultSubtotal="0">
      <items count="14">
        <item x="0"/>
        <item x="1"/>
        <item x="2"/>
        <item x="3"/>
        <item x="4"/>
        <item x="5"/>
        <item x="6"/>
        <item x="7"/>
        <item x="8"/>
        <item x="9"/>
        <item x="10"/>
        <item x="11"/>
        <item x="12"/>
        <item x="13"/>
      </items>
    </pivotField>
  </pivotFields>
  <rowFields count="1">
    <field x="2"/>
  </rowFields>
  <rowItems count="15">
    <i>
      <x/>
    </i>
    <i>
      <x v="1"/>
    </i>
    <i>
      <x v="2"/>
    </i>
    <i>
      <x v="3"/>
    </i>
    <i>
      <x v="4"/>
    </i>
    <i>
      <x v="5"/>
    </i>
    <i>
      <x v="6"/>
    </i>
    <i>
      <x v="7"/>
    </i>
    <i>
      <x v="8"/>
    </i>
    <i>
      <x v="9"/>
    </i>
    <i>
      <x v="10"/>
    </i>
    <i>
      <x v="11"/>
    </i>
    <i>
      <x v="12"/>
    </i>
    <i>
      <x v="13"/>
    </i>
    <i t="grand">
      <x/>
    </i>
  </rowItems>
  <colFields count="1">
    <field x="15"/>
  </colFields>
  <colItems count="3">
    <i>
      <x/>
    </i>
    <i>
      <x v="1"/>
    </i>
    <i t="grand">
      <x/>
    </i>
  </colItems>
  <dataFields count="1">
    <dataField name="Sum of pending Revenue" fld="16" baseField="0" baseItem="0"/>
  </dataFields>
  <chartFormats count="3">
    <chartFormat chart="19" format="4" series="1">
      <pivotArea type="data" outline="0" fieldPosition="0">
        <references count="2">
          <reference field="4294967294" count="1" selected="0">
            <x v="0"/>
          </reference>
          <reference field="15" count="1" selected="0">
            <x v="0"/>
          </reference>
        </references>
      </pivotArea>
    </chartFormat>
    <chartFormat chart="19" format="5" series="1">
      <pivotArea type="data" outline="0" fieldPosition="0">
        <references count="2">
          <reference field="4294967294" count="1" selected="0">
            <x v="0"/>
          </reference>
          <reference field="15" count="1" selected="0">
            <x v="1"/>
          </reference>
        </references>
      </pivotArea>
    </chartFormat>
    <chartFormat chart="1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64:J67" firstHeaderRow="1" firstDataRow="1" firstDataCol="1"/>
  <pivotFields count="19">
    <pivotField dataField="1" showAll="0"/>
    <pivotField numFmtId="164" showAll="0"/>
    <pivotField showAll="0"/>
    <pivotField showAll="0">
      <items count="13">
        <item x="1"/>
        <item x="7"/>
        <item x="9"/>
        <item x="2"/>
        <item x="6"/>
        <item x="0"/>
        <item x="8"/>
        <item x="4"/>
        <item x="11"/>
        <item x="3"/>
        <item x="5"/>
        <item x="10"/>
        <item t="default"/>
      </items>
    </pivotField>
    <pivotField showAll="0">
      <items count="3">
        <item x="0"/>
        <item x="1"/>
        <item t="default"/>
      </items>
    </pivotField>
    <pivotField numFmtId="1" showAll="0">
      <items count="3">
        <item x="1"/>
        <item x="0"/>
        <item t="default"/>
      </items>
    </pivotField>
    <pivotField numFmtId="1" showAll="0"/>
    <pivotField numFmtId="1" showAll="0"/>
    <pivotField numFmtId="1" showAll="0">
      <items count="4">
        <item x="0"/>
        <item x="2"/>
        <item x="1"/>
        <item t="default"/>
      </items>
    </pivotField>
    <pivotField numFmtId="1" showAll="0"/>
    <pivotField showAll="0">
      <items count="3">
        <item x="1"/>
        <item x="0"/>
        <item t="default"/>
      </items>
    </pivotField>
    <pivotField showAll="0">
      <items count="4">
        <item x="0"/>
        <item x="1"/>
        <item x="2"/>
        <item t="default"/>
      </items>
    </pivotField>
    <pivotField showAll="0">
      <items count="7">
        <item x="2"/>
        <item x="4"/>
        <item x="0"/>
        <item x="3"/>
        <item x="1"/>
        <item x="5"/>
        <item t="default"/>
      </items>
    </pivotField>
    <pivotField showAll="0">
      <items count="16">
        <item x="13"/>
        <item x="7"/>
        <item x="0"/>
        <item x="14"/>
        <item x="11"/>
        <item x="6"/>
        <item x="12"/>
        <item x="10"/>
        <item x="1"/>
        <item x="5"/>
        <item x="2"/>
        <item x="4"/>
        <item x="3"/>
        <item x="9"/>
        <item x="8"/>
        <item t="default"/>
      </items>
    </pivotField>
    <pivotField showAll="0">
      <items count="11">
        <item x="9"/>
        <item x="5"/>
        <item x="4"/>
        <item x="2"/>
        <item x="7"/>
        <item x="6"/>
        <item x="3"/>
        <item x="1"/>
        <item x="0"/>
        <item x="8"/>
        <item t="default"/>
      </items>
    </pivotField>
    <pivotField axis="axisRow" showAll="0">
      <items count="3">
        <item x="1"/>
        <item x="0"/>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15"/>
  </rowFields>
  <rowItems count="3">
    <i>
      <x/>
    </i>
    <i>
      <x v="1"/>
    </i>
    <i t="grand">
      <x/>
    </i>
  </rowItems>
  <colItems count="1">
    <i/>
  </colItems>
  <dataFields count="1">
    <dataField name="Count of Student_ID" fld="0" subtotal="count" showDataAs="percentOfTotal" baseField="1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4">
  <location ref="Q9:S12" firstHeaderRow="0" firstDataRow="1" firstDataCol="1"/>
  <pivotFields count="19">
    <pivotField showAll="0"/>
    <pivotField numFmtId="164" showAll="0"/>
    <pivotField showAll="0"/>
    <pivotField showAll="0">
      <items count="13">
        <item x="1"/>
        <item x="7"/>
        <item x="9"/>
        <item x="2"/>
        <item x="6"/>
        <item x="0"/>
        <item x="8"/>
        <item x="4"/>
        <item x="11"/>
        <item x="3"/>
        <item x="5"/>
        <item x="10"/>
        <item t="default"/>
      </items>
    </pivotField>
    <pivotField showAll="0">
      <items count="3">
        <item x="0"/>
        <item x="1"/>
        <item t="default"/>
      </items>
    </pivotField>
    <pivotField numFmtId="1" showAll="0">
      <items count="3">
        <item x="1"/>
        <item x="0"/>
        <item t="default"/>
      </items>
    </pivotField>
    <pivotField numFmtId="1" showAll="0"/>
    <pivotField numFmtId="1" showAll="0"/>
    <pivotField numFmtId="1" showAll="0">
      <items count="4">
        <item x="0"/>
        <item x="2"/>
        <item x="1"/>
        <item t="default"/>
      </items>
    </pivotField>
    <pivotField numFmtId="1" showAll="0"/>
    <pivotField showAll="0">
      <items count="3">
        <item x="1"/>
        <item x="0"/>
        <item t="default"/>
      </items>
    </pivotField>
    <pivotField showAll="0">
      <items count="4">
        <item x="0"/>
        <item x="1"/>
        <item x="2"/>
        <item t="default"/>
      </items>
    </pivotField>
    <pivotField showAll="0">
      <items count="7">
        <item x="2"/>
        <item x="4"/>
        <item x="0"/>
        <item x="3"/>
        <item x="1"/>
        <item x="5"/>
        <item t="default"/>
      </items>
    </pivotField>
    <pivotField showAll="0">
      <items count="16">
        <item x="13"/>
        <item x="7"/>
        <item x="0"/>
        <item x="14"/>
        <item x="11"/>
        <item x="6"/>
        <item x="12"/>
        <item x="10"/>
        <item x="1"/>
        <item x="5"/>
        <item x="2"/>
        <item x="4"/>
        <item x="3"/>
        <item x="9"/>
        <item x="8"/>
        <item t="default"/>
      </items>
    </pivotField>
    <pivotField showAll="0">
      <items count="11">
        <item x="9"/>
        <item x="5"/>
        <item x="4"/>
        <item x="2"/>
        <item x="7"/>
        <item x="6"/>
        <item x="3"/>
        <item x="1"/>
        <item x="0"/>
        <item x="8"/>
        <item t="default"/>
      </items>
    </pivotField>
    <pivotField axis="axisRow" showAll="0">
      <items count="3">
        <item x="1"/>
        <item x="0"/>
        <item t="default"/>
      </items>
    </pivotField>
    <pivotField dataField="1" showAll="0">
      <items count="1190">
        <item x="1"/>
        <item x="2"/>
        <item x="4"/>
        <item x="615"/>
        <item x="919"/>
        <item x="1089"/>
        <item x="274"/>
        <item x="88"/>
        <item x="525"/>
        <item x="472"/>
        <item x="708"/>
        <item x="869"/>
        <item x="119"/>
        <item x="566"/>
        <item x="901"/>
        <item x="875"/>
        <item x="794"/>
        <item x="641"/>
        <item x="1183"/>
        <item x="876"/>
        <item x="81"/>
        <item x="930"/>
        <item x="537"/>
        <item x="943"/>
        <item x="1080"/>
        <item x="1096"/>
        <item x="833"/>
        <item x="762"/>
        <item x="172"/>
        <item x="210"/>
        <item x="656"/>
        <item x="215"/>
        <item x="429"/>
        <item x="415"/>
        <item x="570"/>
        <item x="994"/>
        <item x="980"/>
        <item x="548"/>
        <item x="114"/>
        <item x="730"/>
        <item x="553"/>
        <item x="676"/>
        <item x="127"/>
        <item x="130"/>
        <item x="1034"/>
        <item x="338"/>
        <item x="630"/>
        <item x="811"/>
        <item x="884"/>
        <item x="249"/>
        <item x="216"/>
        <item x="7"/>
        <item x="221"/>
        <item x="1105"/>
        <item x="1140"/>
        <item x="697"/>
        <item x="488"/>
        <item x="1146"/>
        <item x="451"/>
        <item x="716"/>
        <item x="18"/>
        <item x="199"/>
        <item x="941"/>
        <item x="674"/>
        <item x="649"/>
        <item x="1164"/>
        <item x="496"/>
        <item x="1014"/>
        <item x="430"/>
        <item x="1012"/>
        <item x="1017"/>
        <item x="648"/>
        <item x="896"/>
        <item x="422"/>
        <item x="734"/>
        <item x="313"/>
        <item x="92"/>
        <item x="1154"/>
        <item x="90"/>
        <item x="640"/>
        <item x="1023"/>
        <item x="808"/>
        <item x="410"/>
        <item x="926"/>
        <item x="990"/>
        <item x="920"/>
        <item x="1142"/>
        <item x="872"/>
        <item x="608"/>
        <item x="245"/>
        <item x="847"/>
        <item x="542"/>
        <item x="1175"/>
        <item x="581"/>
        <item x="394"/>
        <item x="434"/>
        <item x="1119"/>
        <item x="291"/>
        <item x="601"/>
        <item x="262"/>
        <item x="22"/>
        <item x="77"/>
        <item x="540"/>
        <item x="772"/>
        <item x="633"/>
        <item x="271"/>
        <item x="401"/>
        <item x="63"/>
        <item x="543"/>
        <item x="903"/>
        <item x="220"/>
        <item x="80"/>
        <item x="178"/>
        <item x="255"/>
        <item x="817"/>
        <item x="407"/>
        <item x="923"/>
        <item x="280"/>
        <item x="360"/>
        <item x="411"/>
        <item x="683"/>
        <item x="563"/>
        <item x="1087"/>
        <item x="185"/>
        <item x="1107"/>
        <item x="428"/>
        <item x="304"/>
        <item x="698"/>
        <item x="660"/>
        <item x="583"/>
        <item x="435"/>
        <item x="573"/>
        <item x="552"/>
        <item x="965"/>
        <item x="890"/>
        <item x="288"/>
        <item x="814"/>
        <item x="1037"/>
        <item x="861"/>
        <item x="945"/>
        <item x="478"/>
        <item x="952"/>
        <item x="43"/>
        <item x="500"/>
        <item x="138"/>
        <item x="287"/>
        <item x="242"/>
        <item x="168"/>
        <item x="285"/>
        <item x="588"/>
        <item x="452"/>
        <item x="17"/>
        <item x="79"/>
        <item x="1011"/>
        <item x="1093"/>
        <item x="951"/>
        <item x="556"/>
        <item x="992"/>
        <item x="1184"/>
        <item x="886"/>
        <item x="301"/>
        <item x="60"/>
        <item x="353"/>
        <item x="1060"/>
        <item x="881"/>
        <item x="222"/>
        <item x="735"/>
        <item x="167"/>
        <item x="85"/>
        <item x="418"/>
        <item x="11"/>
        <item x="682"/>
        <item x="653"/>
        <item x="420"/>
        <item x="560"/>
        <item x="961"/>
        <item x="457"/>
        <item x="1109"/>
        <item x="839"/>
        <item x="195"/>
        <item x="612"/>
        <item x="634"/>
        <item x="940"/>
        <item x="250"/>
        <item x="27"/>
        <item x="579"/>
        <item x="375"/>
        <item x="1057"/>
        <item x="442"/>
        <item x="1061"/>
        <item x="924"/>
        <item x="939"/>
        <item x="126"/>
        <item x="860"/>
        <item x="458"/>
        <item x="1029"/>
        <item x="502"/>
        <item x="725"/>
        <item x="144"/>
        <item x="461"/>
        <item x="949"/>
        <item x="98"/>
        <item x="938"/>
        <item x="576"/>
        <item x="798"/>
        <item x="844"/>
        <item x="385"/>
        <item x="933"/>
        <item x="1079"/>
        <item x="948"/>
        <item x="892"/>
        <item x="710"/>
        <item x="550"/>
        <item x="454"/>
        <item x="1082"/>
        <item x="680"/>
        <item x="631"/>
        <item x="1131"/>
        <item x="50"/>
        <item x="15"/>
        <item x="956"/>
        <item x="424"/>
        <item x="118"/>
        <item x="572"/>
        <item x="295"/>
        <item x="679"/>
        <item x="106"/>
        <item x="703"/>
        <item x="1074"/>
        <item x="820"/>
        <item x="529"/>
        <item x="687"/>
        <item x="1130"/>
        <item x="753"/>
        <item x="946"/>
        <item x="670"/>
        <item x="229"/>
        <item x="121"/>
        <item x="398"/>
        <item x="311"/>
        <item x="226"/>
        <item x="610"/>
        <item x="784"/>
        <item x="223"/>
        <item x="825"/>
        <item x="23"/>
        <item x="30"/>
        <item x="979"/>
        <item x="1176"/>
        <item x="290"/>
        <item x="1098"/>
        <item x="137"/>
        <item x="289"/>
        <item x="577"/>
        <item x="778"/>
        <item x="307"/>
        <item x="369"/>
        <item x="1091"/>
        <item x="382"/>
        <item x="439"/>
        <item x="57"/>
        <item x="238"/>
        <item x="1024"/>
        <item x="848"/>
        <item x="432"/>
        <item x="1162"/>
        <item x="1013"/>
        <item x="1156"/>
        <item x="571"/>
        <item x="495"/>
        <item x="1186"/>
        <item x="404"/>
        <item x="111"/>
        <item x="175"/>
        <item x="91"/>
        <item x="69"/>
        <item x="125"/>
        <item x="142"/>
        <item x="501"/>
        <item x="1018"/>
        <item x="24"/>
        <item x="1118"/>
        <item x="626"/>
        <item x="661"/>
        <item x="381"/>
        <item x="1099"/>
        <item x="866"/>
        <item x="386"/>
        <item x="203"/>
        <item x="456"/>
        <item x="567"/>
        <item x="366"/>
        <item x="757"/>
        <item x="723"/>
        <item x="931"/>
        <item x="297"/>
        <item x="211"/>
        <item x="517"/>
        <item x="213"/>
        <item x="1051"/>
        <item x="33"/>
        <item x="325"/>
        <item x="782"/>
        <item x="104"/>
        <item x="170"/>
        <item x="746"/>
        <item x="1163"/>
        <item x="889"/>
        <item x="770"/>
        <item x="694"/>
        <item x="38"/>
        <item x="921"/>
        <item x="1055"/>
        <item x="974"/>
        <item x="1028"/>
        <item x="326"/>
        <item x="812"/>
        <item x="1067"/>
        <item x="805"/>
        <item x="455"/>
        <item x="358"/>
        <item x="1086"/>
        <item x="314"/>
        <item x="37"/>
        <item x="70"/>
        <item x="468"/>
        <item x="929"/>
        <item x="176"/>
        <item x="658"/>
        <item x="807"/>
        <item x="989"/>
        <item x="972"/>
        <item x="332"/>
        <item x="711"/>
        <item x="905"/>
        <item x="1084"/>
        <item x="1151"/>
        <item x="153"/>
        <item x="699"/>
        <item x="843"/>
        <item x="39"/>
        <item x="5"/>
        <item x="917"/>
        <item x="568"/>
        <item x="1174"/>
        <item x="346"/>
        <item x="950"/>
        <item x="1095"/>
        <item x="370"/>
        <item x="8"/>
        <item x="792"/>
        <item x="522"/>
        <item x="554"/>
        <item x="1077"/>
        <item x="754"/>
        <item x="357"/>
        <item x="143"/>
        <item x="1182"/>
        <item x="13"/>
        <item x="589"/>
        <item x="72"/>
        <item x="1101"/>
        <item x="623"/>
        <item x="273"/>
        <item x="1152"/>
        <item x="865"/>
        <item x="558"/>
        <item x="714"/>
        <item x="19"/>
        <item x="991"/>
        <item x="836"/>
        <item x="387"/>
        <item x="800"/>
        <item x="1083"/>
        <item x="331"/>
        <item x="151"/>
        <item x="1088"/>
        <item x="1158"/>
        <item x="846"/>
        <item x="235"/>
        <item x="44"/>
        <item x="1172"/>
        <item x="197"/>
        <item x="42"/>
        <item x="239"/>
        <item x="173"/>
        <item x="426"/>
        <item x="742"/>
        <item x="1078"/>
        <item x="251"/>
        <item x="981"/>
        <item x="751"/>
        <item x="413"/>
        <item x="863"/>
        <item x="241"/>
        <item x="618"/>
        <item x="277"/>
        <item x="364"/>
        <item x="712"/>
        <item x="944"/>
        <item x="749"/>
        <item x="858"/>
        <item x="149"/>
        <item x="724"/>
        <item x="84"/>
        <item x="1112"/>
        <item x="305"/>
        <item x="402"/>
        <item x="10"/>
        <item x="647"/>
        <item x="958"/>
        <item x="374"/>
        <item x="1003"/>
        <item x="621"/>
        <item x="464"/>
        <item x="399"/>
        <item x="406"/>
        <item x="580"/>
        <item x="1143"/>
        <item x="1136"/>
        <item x="985"/>
        <item x="414"/>
        <item x="693"/>
        <item x="1181"/>
        <item x="479"/>
        <item x="1031"/>
        <item x="885"/>
        <item x="1117"/>
        <item x="6"/>
        <item x="733"/>
        <item x="557"/>
        <item x="1035"/>
        <item x="763"/>
        <item x="97"/>
        <item x="159"/>
        <item x="198"/>
        <item x="1076"/>
        <item x="390"/>
        <item x="113"/>
        <item x="1030"/>
        <item x="169"/>
        <item x="233"/>
        <item x="96"/>
        <item x="1168"/>
        <item x="935"/>
        <item x="1027"/>
        <item x="726"/>
        <item x="122"/>
        <item x="219"/>
        <item x="842"/>
        <item x="1167"/>
        <item x="748"/>
        <item x="1177"/>
        <item x="855"/>
        <item x="419"/>
        <item x="359"/>
        <item x="964"/>
        <item x="1125"/>
        <item x="599"/>
        <item x="526"/>
        <item x="533"/>
        <item x="993"/>
        <item x="485"/>
        <item x="963"/>
        <item x="145"/>
        <item x="21"/>
        <item x="180"/>
        <item x="665"/>
        <item x="871"/>
        <item x="511"/>
        <item x="635"/>
        <item x="1070"/>
        <item x="1020"/>
        <item x="611"/>
        <item x="214"/>
        <item x="324"/>
        <item x="850"/>
        <item x="624"/>
        <item x="854"/>
        <item x="678"/>
        <item x="936"/>
        <item x="177"/>
        <item x="218"/>
        <item x="883"/>
        <item x="882"/>
        <item x="201"/>
        <item x="1171"/>
        <item x="157"/>
        <item x="1106"/>
        <item x="689"/>
        <item x="969"/>
        <item x="1187"/>
        <item x="578"/>
        <item x="546"/>
        <item x="544"/>
        <item x="785"/>
        <item x="248"/>
        <item x="376"/>
        <item x="830"/>
        <item x="408"/>
        <item x="317"/>
        <item x="515"/>
        <item x="828"/>
        <item x="184"/>
        <item x="953"/>
        <item x="773"/>
        <item x="852"/>
        <item x="328"/>
        <item x="174"/>
        <item x="671"/>
        <item x="1072"/>
        <item x="1122"/>
        <item x="333"/>
        <item x="321"/>
        <item x="405"/>
        <item x="76"/>
        <item x="265"/>
        <item x="988"/>
        <item x="335"/>
        <item x="193"/>
        <item x="377"/>
        <item x="562"/>
        <item x="513"/>
        <item x="490"/>
        <item x="284"/>
        <item x="789"/>
        <item x="344"/>
        <item x="396"/>
        <item x="1128"/>
        <item x="1115"/>
        <item x="343"/>
        <item x="600"/>
        <item x="227"/>
        <item x="58"/>
        <item x="187"/>
        <item x="188"/>
        <item x="283"/>
        <item x="549"/>
        <item x="851"/>
        <item x="908"/>
        <item x="519"/>
        <item x="345"/>
        <item x="155"/>
        <item x="506"/>
        <item x="202"/>
        <item x="475"/>
        <item x="1159"/>
        <item x="877"/>
        <item x="329"/>
        <item x="107"/>
        <item x="68"/>
        <item x="531"/>
        <item x="1044"/>
        <item x="421"/>
        <item x="12"/>
        <item x="534"/>
        <item x="469"/>
        <item x="667"/>
        <item x="112"/>
        <item x="668"/>
        <item x="664"/>
        <item x="1094"/>
        <item x="737"/>
        <item x="354"/>
        <item x="163"/>
        <item x="977"/>
        <item x="932"/>
        <item x="986"/>
        <item x="1021"/>
        <item x="636"/>
        <item x="1144"/>
        <item x="105"/>
        <item x="740"/>
        <item x="767"/>
        <item x="49"/>
        <item x="133"/>
        <item x="547"/>
        <item x="998"/>
        <item x="780"/>
        <item x="171"/>
        <item x="606"/>
        <item x="838"/>
        <item x="190"/>
        <item x="692"/>
        <item x="230"/>
        <item x="739"/>
        <item x="498"/>
        <item x="450"/>
        <item x="982"/>
        <item x="722"/>
        <item x="134"/>
        <item x="873"/>
        <item x="719"/>
        <item x="449"/>
        <item x="592"/>
        <item x="292"/>
        <item x="1008"/>
        <item x="1040"/>
        <item x="651"/>
        <item x="765"/>
        <item x="745"/>
        <item x="910"/>
        <item x="819"/>
        <item x="425"/>
        <item x="1173"/>
        <item x="639"/>
        <item x="1045"/>
        <item x="759"/>
        <item x="34"/>
        <item x="150"/>
        <item x="695"/>
        <item x="270"/>
        <item x="306"/>
        <item x="741"/>
        <item x="466"/>
        <item x="259"/>
        <item x="1009"/>
        <item x="154"/>
        <item x="806"/>
        <item x="1019"/>
        <item x="781"/>
        <item x="1056"/>
        <item x="587"/>
        <item x="673"/>
        <item x="942"/>
        <item x="625"/>
        <item x="200"/>
        <item x="483"/>
        <item x="365"/>
        <item x="164"/>
        <item x="507"/>
        <item x="897"/>
        <item x="1052"/>
        <item x="228"/>
        <item x="1006"/>
        <item x="512"/>
        <item x="253"/>
        <item x="509"/>
        <item x="156"/>
        <item x="663"/>
        <item x="790"/>
        <item x="336"/>
        <item x="503"/>
        <item x="585"/>
        <item x="1000"/>
        <item x="771"/>
        <item x="672"/>
        <item x="379"/>
        <item x="786"/>
        <item x="141"/>
        <item x="1127"/>
        <item x="510"/>
        <item x="186"/>
        <item x="276"/>
        <item x="947"/>
        <item x="541"/>
        <item x="1039"/>
        <item x="51"/>
        <item x="279"/>
        <item x="74"/>
        <item x="967"/>
        <item x="1043"/>
        <item x="643"/>
        <item x="614"/>
        <item x="347"/>
        <item x="1134"/>
        <item x="55"/>
        <item x="204"/>
        <item x="662"/>
        <item x="809"/>
        <item x="822"/>
        <item x="1153"/>
        <item x="436"/>
        <item x="139"/>
        <item x="1071"/>
        <item x="538"/>
        <item x="966"/>
        <item x="681"/>
        <item x="627"/>
        <item x="505"/>
        <item x="532"/>
        <item x="918"/>
        <item x="395"/>
        <item x="446"/>
        <item x="254"/>
        <item x="594"/>
        <item x="1075"/>
        <item x="397"/>
        <item x="349"/>
        <item x="87"/>
        <item x="620"/>
        <item x="75"/>
        <item x="392"/>
        <item x="26"/>
        <item x="832"/>
        <item x="1081"/>
        <item x="996"/>
        <item x="499"/>
        <item x="1188"/>
        <item x="117"/>
        <item x="437"/>
        <item x="518"/>
        <item x="1092"/>
        <item x="690"/>
        <item x="1036"/>
        <item x="797"/>
        <item x="160"/>
        <item x="777"/>
        <item x="813"/>
        <item x="747"/>
        <item x="927"/>
        <item x="367"/>
        <item x="234"/>
        <item x="590"/>
        <item x="298"/>
        <item x="616"/>
        <item x="165"/>
        <item x="1025"/>
        <item x="702"/>
        <item x="182"/>
        <item x="423"/>
        <item x="776"/>
        <item x="1065"/>
        <item x="224"/>
        <item x="545"/>
        <item x="804"/>
        <item x="443"/>
        <item x="791"/>
        <item x="591"/>
        <item x="732"/>
        <item x="1085"/>
        <item x="1068"/>
        <item x="191"/>
        <item x="28"/>
        <item x="393"/>
        <item x="257"/>
        <item x="1073"/>
        <item x="604"/>
        <item x="1042"/>
        <item x="194"/>
        <item x="268"/>
        <item x="286"/>
        <item x="598"/>
        <item x="102"/>
        <item x="1137"/>
        <item x="685"/>
        <item x="409"/>
        <item x="1022"/>
        <item x="802"/>
        <item x="462"/>
        <item x="528"/>
        <item x="467"/>
        <item x="744"/>
        <item x="764"/>
        <item x="231"/>
        <item x="1123"/>
        <item x="561"/>
        <item x="508"/>
        <item x="1097"/>
        <item x="378"/>
        <item x="613"/>
        <item x="109"/>
        <item x="995"/>
        <item x="383"/>
        <item x="720"/>
        <item x="128"/>
        <item x="619"/>
        <item x="101"/>
        <item x="1161"/>
        <item x="1166"/>
        <item x="887"/>
        <item x="727"/>
        <item x="318"/>
        <item x="116"/>
        <item x="902"/>
        <item x="907"/>
        <item x="922"/>
        <item x="1047"/>
        <item x="1016"/>
        <item x="319"/>
        <item x="45"/>
        <item x="20"/>
        <item x="31"/>
        <item x="300"/>
        <item x="371"/>
        <item x="48"/>
        <item x="514"/>
        <item x="293"/>
        <item x="755"/>
        <item x="337"/>
        <item x="29"/>
        <item x="1126"/>
        <item x="373"/>
        <item x="738"/>
        <item x="1046"/>
        <item x="480"/>
        <item x="356"/>
        <item x="65"/>
        <item x="840"/>
        <item x="659"/>
        <item x="322"/>
        <item x="350"/>
        <item x="484"/>
        <item x="831"/>
        <item x="486"/>
        <item x="894"/>
        <item x="900"/>
        <item x="473"/>
        <item x="269"/>
        <item x="372"/>
        <item x="94"/>
        <item x="93"/>
        <item x="416"/>
        <item x="470"/>
        <item x="717"/>
        <item x="874"/>
        <item x="340"/>
        <item x="281"/>
        <item x="147"/>
        <item x="906"/>
        <item x="527"/>
        <item x="431"/>
        <item x="705"/>
        <item x="64"/>
        <item x="83"/>
        <item x="1033"/>
        <item x="934"/>
        <item x="244"/>
        <item x="779"/>
        <item x="628"/>
        <item x="1048"/>
        <item x="323"/>
        <item x="959"/>
        <item x="880"/>
        <item x="1102"/>
        <item x="445"/>
        <item x="975"/>
        <item x="252"/>
        <item x="247"/>
        <item x="400"/>
        <item x="810"/>
        <item x="701"/>
        <item x="302"/>
        <item x="1015"/>
        <item x="361"/>
        <item x="463"/>
        <item x="937"/>
        <item x="1145"/>
        <item x="327"/>
        <item x="1111"/>
        <item x="666"/>
        <item x="124"/>
        <item x="225"/>
        <item x="629"/>
        <item x="110"/>
        <item x="78"/>
        <item x="120"/>
        <item x="146"/>
        <item x="891"/>
        <item x="815"/>
        <item x="827"/>
        <item x="71"/>
        <item x="136"/>
        <item x="530"/>
        <item x="256"/>
        <item x="818"/>
        <item x="388"/>
        <item x="728"/>
        <item x="1002"/>
        <item x="441"/>
        <item x="196"/>
        <item x="709"/>
        <item x="729"/>
        <item x="299"/>
        <item x="1121"/>
        <item x="403"/>
        <item x="491"/>
        <item x="775"/>
        <item x="132"/>
        <item x="899"/>
        <item x="622"/>
        <item x="879"/>
        <item x="569"/>
        <item x="264"/>
        <item x="41"/>
        <item x="82"/>
        <item x="688"/>
        <item x="260"/>
        <item x="460"/>
        <item x="596"/>
        <item x="1141"/>
        <item x="89"/>
        <item x="564"/>
        <item x="524"/>
        <item x="384"/>
        <item x="140"/>
        <item x="1138"/>
        <item x="1129"/>
        <item x="983"/>
        <item x="1179"/>
        <item x="912"/>
        <item x="691"/>
        <item x="471"/>
        <item x="718"/>
        <item x="489"/>
        <item x="308"/>
        <item x="438"/>
        <item x="103"/>
        <item x="677"/>
        <item x="783"/>
        <item x="477"/>
        <item x="351"/>
        <item x="206"/>
        <item x="960"/>
        <item x="862"/>
        <item x="574"/>
        <item x="605"/>
        <item x="312"/>
        <item x="497"/>
        <item x="9"/>
        <item x="278"/>
        <item x="523"/>
        <item x="16"/>
        <item x="0"/>
        <item x="684"/>
        <item x="61"/>
        <item x="1170"/>
        <item x="481"/>
        <item x="997"/>
        <item x="895"/>
        <item x="309"/>
        <item x="1150"/>
        <item x="864"/>
        <item x="1160"/>
        <item x="444"/>
        <item x="1180"/>
        <item x="36"/>
        <item x="192"/>
        <item x="731"/>
        <item x="315"/>
        <item x="645"/>
        <item x="821"/>
        <item x="909"/>
        <item x="696"/>
        <item x="282"/>
        <item x="707"/>
        <item x="275"/>
        <item x="898"/>
        <item x="129"/>
        <item x="389"/>
        <item x="417"/>
        <item x="66"/>
        <item x="868"/>
        <item x="752"/>
        <item x="296"/>
        <item x="320"/>
        <item x="582"/>
        <item x="914"/>
        <item x="1050"/>
        <item x="916"/>
        <item x="756"/>
        <item x="652"/>
        <item x="47"/>
        <item x="54"/>
        <item x="100"/>
        <item x="1007"/>
        <item x="1178"/>
        <item x="1010"/>
        <item x="465"/>
        <item x="339"/>
        <item x="796"/>
        <item x="1005"/>
        <item x="1004"/>
        <item x="272"/>
        <item x="108"/>
        <item x="700"/>
        <item x="217"/>
        <item x="913"/>
        <item x="46"/>
        <item x="487"/>
        <item x="59"/>
        <item x="348"/>
        <item x="330"/>
        <item x="1120"/>
        <item x="584"/>
        <item x="342"/>
        <item x="516"/>
        <item x="95"/>
        <item x="246"/>
        <item x="115"/>
        <item x="448"/>
        <item x="493"/>
        <item x="637"/>
        <item x="955"/>
        <item x="162"/>
        <item x="893"/>
        <item x="859"/>
        <item x="1100"/>
        <item x="1113"/>
        <item x="56"/>
        <item x="984"/>
        <item x="3"/>
        <item x="267"/>
        <item x="294"/>
        <item x="632"/>
        <item x="987"/>
        <item x="760"/>
        <item x="232"/>
        <item x="1069"/>
        <item x="1032"/>
        <item x="1090"/>
        <item x="189"/>
        <item x="236"/>
        <item x="743"/>
        <item x="161"/>
        <item x="207"/>
        <item x="686"/>
        <item x="152"/>
        <item x="750"/>
        <item x="14"/>
        <item x="1054"/>
        <item x="575"/>
        <item x="433"/>
        <item x="788"/>
        <item x="704"/>
        <item x="803"/>
        <item x="363"/>
        <item x="642"/>
        <item x="1135"/>
        <item x="53"/>
        <item x="391"/>
        <item x="52"/>
        <item x="835"/>
        <item x="303"/>
        <item x="973"/>
        <item x="845"/>
        <item x="520"/>
        <item x="669"/>
        <item x="504"/>
        <item x="1133"/>
        <item x="911"/>
        <item x="1116"/>
        <item x="603"/>
        <item x="179"/>
        <item x="1108"/>
        <item x="841"/>
        <item x="1165"/>
        <item x="447"/>
        <item x="261"/>
        <item x="355"/>
        <item x="824"/>
        <item x="551"/>
        <item x="954"/>
        <item x="736"/>
        <item x="368"/>
        <item x="183"/>
        <item x="334"/>
        <item x="928"/>
        <item x="1001"/>
        <item x="999"/>
        <item x="535"/>
        <item x="1148"/>
        <item x="1062"/>
        <item x="1149"/>
        <item x="801"/>
        <item x="310"/>
        <item x="856"/>
        <item x="316"/>
        <item x="867"/>
        <item x="609"/>
        <item x="25"/>
        <item x="1104"/>
        <item x="258"/>
        <item x="706"/>
        <item x="878"/>
        <item x="32"/>
        <item x="826"/>
        <item x="492"/>
        <item x="768"/>
        <item x="1066"/>
        <item x="657"/>
        <item x="853"/>
        <item x="135"/>
        <item x="1063"/>
        <item x="758"/>
        <item x="341"/>
        <item x="62"/>
        <item x="1185"/>
        <item x="968"/>
        <item x="617"/>
        <item x="1053"/>
        <item x="655"/>
        <item x="1124"/>
        <item x="870"/>
        <item x="715"/>
        <item x="971"/>
        <item x="565"/>
        <item x="1139"/>
        <item x="1058"/>
        <item x="555"/>
        <item x="35"/>
        <item x="482"/>
        <item x="266"/>
        <item x="638"/>
        <item x="240"/>
        <item x="99"/>
        <item x="1103"/>
        <item x="925"/>
        <item x="131"/>
        <item x="453"/>
        <item x="263"/>
        <item x="1049"/>
        <item x="459"/>
        <item x="1155"/>
        <item x="1064"/>
        <item x="209"/>
        <item x="1169"/>
        <item x="237"/>
        <item x="799"/>
        <item x="766"/>
        <item x="205"/>
        <item x="166"/>
        <item x="1059"/>
        <item x="586"/>
        <item x="539"/>
        <item x="849"/>
        <item x="957"/>
        <item x="888"/>
        <item x="1110"/>
        <item x="646"/>
        <item x="427"/>
        <item x="978"/>
        <item x="73"/>
        <item x="970"/>
        <item x="362"/>
        <item x="650"/>
        <item x="67"/>
        <item x="774"/>
        <item x="857"/>
        <item x="837"/>
        <item x="607"/>
        <item x="654"/>
        <item x="158"/>
        <item x="962"/>
        <item x="675"/>
        <item x="243"/>
        <item x="412"/>
        <item x="816"/>
        <item x="829"/>
        <item x="769"/>
        <item x="474"/>
        <item x="1132"/>
        <item x="521"/>
        <item x="212"/>
        <item x="559"/>
        <item x="380"/>
        <item x="181"/>
        <item x="644"/>
        <item x="721"/>
        <item x="602"/>
        <item x="823"/>
        <item x="904"/>
        <item x="536"/>
        <item x="40"/>
        <item x="795"/>
        <item x="352"/>
        <item x="976"/>
        <item x="793"/>
        <item x="476"/>
        <item x="787"/>
        <item x="208"/>
        <item x="834"/>
        <item x="1114"/>
        <item x="1038"/>
        <item x="593"/>
        <item x="1041"/>
        <item x="1147"/>
        <item x="148"/>
        <item x="1157"/>
        <item x="597"/>
        <item x="440"/>
        <item x="123"/>
        <item x="761"/>
        <item x="915"/>
        <item x="86"/>
        <item x="713"/>
        <item x="1026"/>
        <item x="595"/>
        <item x="494"/>
        <item t="default"/>
      </items>
    </pivotField>
    <pivotField dataField="1" showAll="0"/>
    <pivotField showAll="0" defaultSubtotal="0">
      <items count="14">
        <item x="0"/>
        <item x="1"/>
        <item x="2"/>
        <item x="3"/>
        <item x="4"/>
        <item x="5"/>
        <item x="6"/>
        <item x="7"/>
        <item x="8"/>
        <item x="9"/>
        <item x="10"/>
        <item x="11"/>
        <item x="12"/>
        <item x="13"/>
      </items>
    </pivotField>
  </pivotFields>
  <rowFields count="1">
    <field x="15"/>
  </rowFields>
  <rowItems count="3">
    <i>
      <x/>
    </i>
    <i>
      <x v="1"/>
    </i>
    <i t="grand">
      <x/>
    </i>
  </rowItems>
  <colFields count="1">
    <field x="-2"/>
  </colFields>
  <colItems count="2">
    <i>
      <x/>
    </i>
    <i i="1">
      <x v="1"/>
    </i>
  </colItems>
  <dataFields count="2">
    <dataField name="Sum of Revenue" fld="17" baseField="0" baseItem="0"/>
    <dataField name="Sum of pending Revenue" fld="16" baseField="0" baseItem="0"/>
  </dataFields>
  <chartFormats count="8">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59" format="0" series="1">
      <pivotArea type="data" outline="0" fieldPosition="0">
        <references count="1">
          <reference field="4294967294" count="1" selected="0">
            <x v="0"/>
          </reference>
        </references>
      </pivotArea>
    </chartFormat>
    <chartFormat chart="59" format="1" series="1">
      <pivotArea type="data" outline="0" fieldPosition="0">
        <references count="1">
          <reference field="4294967294" count="1" selected="0">
            <x v="1"/>
          </reference>
        </references>
      </pivotArea>
    </chartFormat>
    <chartFormat chart="60" format="2" series="1">
      <pivotArea type="data" outline="0" fieldPosition="0">
        <references count="1">
          <reference field="4294967294" count="1" selected="0">
            <x v="0"/>
          </reference>
        </references>
      </pivotArea>
    </chartFormat>
    <chartFormat chart="60" format="3" series="1">
      <pivotArea type="data" outline="0" fieldPosition="0">
        <references count="1">
          <reference field="4294967294" count="1" selected="0">
            <x v="1"/>
          </reference>
        </references>
      </pivotArea>
    </chartFormat>
    <chartFormat chart="61" format="4" series="1">
      <pivotArea type="data" outline="0" fieldPosition="0">
        <references count="1">
          <reference field="4294967294" count="1" selected="0">
            <x v="0"/>
          </reference>
        </references>
      </pivotArea>
    </chartFormat>
    <chartFormat chart="6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72:I73" firstHeaderRow="1" firstDataRow="1" firstDataCol="0"/>
  <pivotFields count="19">
    <pivotField showAll="0"/>
    <pivotField numFmtId="164" showAll="0"/>
    <pivotField showAll="0"/>
    <pivotField showAll="0">
      <items count="13">
        <item x="1"/>
        <item x="7"/>
        <item x="9"/>
        <item x="2"/>
        <item x="6"/>
        <item x="0"/>
        <item x="8"/>
        <item x="4"/>
        <item x="11"/>
        <item x="3"/>
        <item x="5"/>
        <item x="10"/>
        <item t="default"/>
      </items>
    </pivotField>
    <pivotField showAll="0">
      <items count="3">
        <item x="0"/>
        <item x="1"/>
        <item t="default"/>
      </items>
    </pivotField>
    <pivotField numFmtId="1" showAll="0">
      <items count="3">
        <item x="1"/>
        <item x="0"/>
        <item t="default"/>
      </items>
    </pivotField>
    <pivotField numFmtId="1" showAll="0"/>
    <pivotField numFmtId="1" showAll="0"/>
    <pivotField numFmtId="1" showAll="0">
      <items count="4">
        <item x="0"/>
        <item x="2"/>
        <item x="1"/>
        <item t="default"/>
      </items>
    </pivotField>
    <pivotField numFmtId="1" showAll="0"/>
    <pivotField showAll="0">
      <items count="3">
        <item x="1"/>
        <item x="0"/>
        <item t="default"/>
      </items>
    </pivotField>
    <pivotField showAll="0">
      <items count="4">
        <item x="0"/>
        <item x="1"/>
        <item x="2"/>
        <item t="default"/>
      </items>
    </pivotField>
    <pivotField showAll="0">
      <items count="7">
        <item x="2"/>
        <item x="4"/>
        <item x="0"/>
        <item x="3"/>
        <item x="1"/>
        <item x="5"/>
        <item t="default"/>
      </items>
    </pivotField>
    <pivotField showAll="0">
      <items count="16">
        <item x="13"/>
        <item x="7"/>
        <item x="0"/>
        <item x="14"/>
        <item x="11"/>
        <item x="6"/>
        <item x="12"/>
        <item x="10"/>
        <item x="1"/>
        <item x="5"/>
        <item x="2"/>
        <item x="4"/>
        <item x="3"/>
        <item x="9"/>
        <item x="8"/>
        <item t="default"/>
      </items>
    </pivotField>
    <pivotField showAll="0">
      <items count="11">
        <item x="9"/>
        <item x="5"/>
        <item x="4"/>
        <item x="2"/>
        <item x="7"/>
        <item x="6"/>
        <item x="3"/>
        <item x="1"/>
        <item x="0"/>
        <item x="8"/>
        <item t="default"/>
      </items>
    </pivotField>
    <pivotField showAll="0">
      <items count="3">
        <item x="1"/>
        <item x="0"/>
        <item t="default"/>
      </items>
    </pivotField>
    <pivotField dataField="1" showAll="0"/>
    <pivotField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pending Revenu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8">
  <location ref="I47:L61" firstHeaderRow="1" firstDataRow="2" firstDataCol="1"/>
  <pivotFields count="19">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64" showAll="0"/>
    <pivotField showAll="0">
      <items count="15">
        <item x="8"/>
        <item x="1"/>
        <item x="9"/>
        <item x="10"/>
        <item x="3"/>
        <item x="0"/>
        <item x="4"/>
        <item x="13"/>
        <item x="12"/>
        <item x="5"/>
        <item x="2"/>
        <item x="6"/>
        <item x="7"/>
        <item x="11"/>
        <item t="default"/>
      </items>
    </pivotField>
    <pivotField axis="axisRow" showAll="0">
      <items count="13">
        <item x="1"/>
        <item x="7"/>
        <item x="9"/>
        <item x="2"/>
        <item x="6"/>
        <item x="0"/>
        <item x="8"/>
        <item x="4"/>
        <item x="11"/>
        <item x="3"/>
        <item x="5"/>
        <item x="10"/>
        <item t="default"/>
      </items>
    </pivotField>
    <pivotField axis="axisCol" showAll="0">
      <items count="3">
        <item x="0"/>
        <item x="1"/>
        <item t="default"/>
      </items>
    </pivotField>
    <pivotField numFmtId="1" showAll="0">
      <items count="3">
        <item x="1"/>
        <item x="0"/>
        <item t="default"/>
      </items>
    </pivotField>
    <pivotField numFmtId="1" showAll="0"/>
    <pivotField numFmtId="1" showAll="0"/>
    <pivotField numFmtId="1" showAll="0">
      <items count="4">
        <item x="0"/>
        <item x="2"/>
        <item x="1"/>
        <item t="default"/>
      </items>
    </pivotField>
    <pivotField numFmtId="1" showAll="0"/>
    <pivotField showAll="0">
      <items count="3">
        <item x="1"/>
        <item x="0"/>
        <item t="default"/>
      </items>
    </pivotField>
    <pivotField showAll="0">
      <items count="4">
        <item x="0"/>
        <item x="1"/>
        <item x="2"/>
        <item t="default"/>
      </items>
    </pivotField>
    <pivotField showAll="0">
      <items count="7">
        <item x="2"/>
        <item x="4"/>
        <item x="0"/>
        <item x="3"/>
        <item x="1"/>
        <item x="5"/>
        <item t="default"/>
      </items>
    </pivotField>
    <pivotField showAll="0">
      <items count="16">
        <item x="13"/>
        <item x="7"/>
        <item x="0"/>
        <item x="14"/>
        <item x="11"/>
        <item x="6"/>
        <item x="12"/>
        <item x="10"/>
        <item x="1"/>
        <item x="5"/>
        <item x="2"/>
        <item x="4"/>
        <item x="3"/>
        <item x="9"/>
        <item x="8"/>
        <item t="default"/>
      </items>
    </pivotField>
    <pivotField showAll="0">
      <items count="11">
        <item x="9"/>
        <item x="5"/>
        <item x="4"/>
        <item x="2"/>
        <item x="7"/>
        <item x="6"/>
        <item x="3"/>
        <item x="1"/>
        <item x="0"/>
        <item x="8"/>
        <item t="default"/>
      </items>
    </pivotField>
    <pivotField showAll="0">
      <items count="3">
        <item x="1"/>
        <item x="0"/>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3"/>
  </rowFields>
  <rowItems count="13">
    <i>
      <x/>
    </i>
    <i>
      <x v="1"/>
    </i>
    <i>
      <x v="2"/>
    </i>
    <i>
      <x v="3"/>
    </i>
    <i>
      <x v="4"/>
    </i>
    <i>
      <x v="5"/>
    </i>
    <i>
      <x v="6"/>
    </i>
    <i>
      <x v="7"/>
    </i>
    <i>
      <x v="8"/>
    </i>
    <i>
      <x v="9"/>
    </i>
    <i>
      <x v="10"/>
    </i>
    <i>
      <x v="11"/>
    </i>
    <i t="grand">
      <x/>
    </i>
  </rowItems>
  <colFields count="1">
    <field x="4"/>
  </colFields>
  <colItems count="3">
    <i>
      <x/>
    </i>
    <i>
      <x v="1"/>
    </i>
    <i t="grand">
      <x/>
    </i>
  </colItems>
  <dataFields count="1">
    <dataField name="Count of Student_ID" fld="0" subtotal="count" baseField="0" baseItem="0"/>
  </dataFields>
  <chartFormats count="5">
    <chartFormat chart="71" format="3" series="1">
      <pivotArea type="data" outline="0" fieldPosition="0">
        <references count="1">
          <reference field="4294967294" count="1" selected="0">
            <x v="0"/>
          </reference>
        </references>
      </pivotArea>
    </chartFormat>
    <chartFormat chart="71" format="4" series="1">
      <pivotArea type="data" outline="0" fieldPosition="0">
        <references count="2">
          <reference field="4294967294" count="1" selected="0">
            <x v="0"/>
          </reference>
          <reference field="4" count="1" selected="0">
            <x v="0"/>
          </reference>
        </references>
      </pivotArea>
    </chartFormat>
    <chartFormat chart="73" format="7" series="1">
      <pivotArea type="data" outline="0" fieldPosition="0">
        <references count="2">
          <reference field="4294967294" count="1" selected="0">
            <x v="0"/>
          </reference>
          <reference field="4" count="1" selected="0">
            <x v="0"/>
          </reference>
        </references>
      </pivotArea>
    </chartFormat>
    <chartFormat chart="73" format="8" series="1">
      <pivotArea type="data" outline="0" fieldPosition="0">
        <references count="2">
          <reference field="4294967294" count="1" selected="0">
            <x v="0"/>
          </reference>
          <reference field="4" count="1" selected="0">
            <x v="1"/>
          </reference>
        </references>
      </pivotArea>
    </chartFormat>
    <chartFormat chart="7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1">
  <location ref="I28:J39" firstHeaderRow="1" firstDataRow="1" firstDataCol="1"/>
  <pivotFields count="19">
    <pivotField dataField="1" showAll="0"/>
    <pivotField numFmtId="164" showAll="0"/>
    <pivotField axis="axisRow" showAll="0" measureFilter="1" sortType="ascending">
      <items count="15">
        <item x="8"/>
        <item x="1"/>
        <item x="9"/>
        <item x="10"/>
        <item x="3"/>
        <item x="0"/>
        <item x="4"/>
        <item x="13"/>
        <item x="12"/>
        <item x="5"/>
        <item x="2"/>
        <item x="6"/>
        <item x="7"/>
        <item x="11"/>
        <item t="default"/>
      </items>
      <autoSortScope>
        <pivotArea dataOnly="0" outline="0" fieldPosition="0">
          <references count="1">
            <reference field="4294967294" count="1" selected="0">
              <x v="0"/>
            </reference>
          </references>
        </pivotArea>
      </autoSortScope>
    </pivotField>
    <pivotField showAll="0">
      <items count="13">
        <item x="1"/>
        <item x="7"/>
        <item x="9"/>
        <item x="2"/>
        <item x="6"/>
        <item x="0"/>
        <item x="8"/>
        <item x="4"/>
        <item x="11"/>
        <item x="3"/>
        <item x="5"/>
        <item x="10"/>
        <item t="default"/>
      </items>
    </pivotField>
    <pivotField showAll="0">
      <items count="3">
        <item x="0"/>
        <item x="1"/>
        <item t="default"/>
      </items>
    </pivotField>
    <pivotField numFmtId="1" showAll="0">
      <items count="3">
        <item x="1"/>
        <item x="0"/>
        <item t="default"/>
      </items>
    </pivotField>
    <pivotField numFmtId="1" showAll="0"/>
    <pivotField numFmtId="1" showAll="0"/>
    <pivotField numFmtId="1" showAll="0">
      <items count="4">
        <item x="0"/>
        <item x="2"/>
        <item x="1"/>
        <item t="default"/>
      </items>
    </pivotField>
    <pivotField numFmtId="1" showAll="0"/>
    <pivotField showAll="0">
      <items count="3">
        <item x="1"/>
        <item x="0"/>
        <item t="default"/>
      </items>
    </pivotField>
    <pivotField showAll="0">
      <items count="4">
        <item x="0"/>
        <item x="1"/>
        <item x="2"/>
        <item t="default"/>
      </items>
    </pivotField>
    <pivotField showAll="0">
      <items count="7">
        <item x="2"/>
        <item x="4"/>
        <item x="0"/>
        <item x="3"/>
        <item x="1"/>
        <item x="5"/>
        <item t="default"/>
      </items>
    </pivotField>
    <pivotField showAll="0">
      <items count="16">
        <item x="13"/>
        <item x="7"/>
        <item x="0"/>
        <item x="14"/>
        <item x="11"/>
        <item x="6"/>
        <item x="12"/>
        <item x="10"/>
        <item x="1"/>
        <item x="5"/>
        <item x="2"/>
        <item x="4"/>
        <item x="3"/>
        <item x="9"/>
        <item x="8"/>
        <item t="default"/>
      </items>
    </pivotField>
    <pivotField showAll="0">
      <items count="11">
        <item x="9"/>
        <item x="5"/>
        <item x="4"/>
        <item x="2"/>
        <item x="7"/>
        <item x="6"/>
        <item x="3"/>
        <item x="1"/>
        <item x="0"/>
        <item x="8"/>
        <item t="default"/>
      </items>
    </pivotField>
    <pivotField showAll="0">
      <items count="3">
        <item x="1"/>
        <item x="0"/>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2"/>
  </rowFields>
  <rowItems count="11">
    <i>
      <x/>
    </i>
    <i>
      <x v="5"/>
    </i>
    <i>
      <x v="6"/>
    </i>
    <i>
      <x v="7"/>
    </i>
    <i>
      <x v="10"/>
    </i>
    <i>
      <x v="4"/>
    </i>
    <i>
      <x v="9"/>
    </i>
    <i>
      <x v="1"/>
    </i>
    <i>
      <x v="2"/>
    </i>
    <i>
      <x v="3"/>
    </i>
    <i t="grand">
      <x/>
    </i>
  </rowItems>
  <colItems count="1">
    <i/>
  </colItems>
  <dataFields count="1">
    <dataField name="Count of Student_ID" fld="0" subtotal="count" baseField="0" baseItem="0"/>
  </dataFields>
  <chartFormats count="21">
    <chartFormat chart="8"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 chart="40" format="5">
      <pivotArea type="data" outline="0" fieldPosition="0">
        <references count="2">
          <reference field="4294967294" count="1" selected="0">
            <x v="0"/>
          </reference>
          <reference field="2" count="1" selected="0">
            <x v="13"/>
          </reference>
        </references>
      </pivotArea>
    </chartFormat>
    <chartFormat chart="40" format="6">
      <pivotArea type="data" outline="0" fieldPosition="0">
        <references count="2">
          <reference field="4294967294" count="1" selected="0">
            <x v="0"/>
          </reference>
          <reference field="2" count="1" selected="0">
            <x v="12"/>
          </reference>
        </references>
      </pivotArea>
    </chartFormat>
    <chartFormat chart="40" format="7">
      <pivotArea type="data" outline="0" fieldPosition="0">
        <references count="2">
          <reference field="4294967294" count="1" selected="0">
            <x v="0"/>
          </reference>
          <reference field="2" count="1" selected="0">
            <x v="11"/>
          </reference>
        </references>
      </pivotArea>
    </chartFormat>
    <chartFormat chart="40" format="8">
      <pivotArea type="data" outline="0" fieldPosition="0">
        <references count="2">
          <reference field="4294967294" count="1" selected="0">
            <x v="0"/>
          </reference>
          <reference field="2" count="1" selected="0">
            <x v="10"/>
          </reference>
        </references>
      </pivotArea>
    </chartFormat>
    <chartFormat chart="40" format="9">
      <pivotArea type="data" outline="0" fieldPosition="0">
        <references count="2">
          <reference field="4294967294" count="1" selected="0">
            <x v="0"/>
          </reference>
          <reference field="2" count="1" selected="0">
            <x v="9"/>
          </reference>
        </references>
      </pivotArea>
    </chartFormat>
    <chartFormat chart="40" format="10">
      <pivotArea type="data" outline="0" fieldPosition="0">
        <references count="2">
          <reference field="4294967294" count="1" selected="0">
            <x v="0"/>
          </reference>
          <reference field="2" count="1" selected="0">
            <x v="8"/>
          </reference>
        </references>
      </pivotArea>
    </chartFormat>
    <chartFormat chart="40" format="11">
      <pivotArea type="data" outline="0" fieldPosition="0">
        <references count="2">
          <reference field="4294967294" count="1" selected="0">
            <x v="0"/>
          </reference>
          <reference field="2" count="1" selected="0">
            <x v="7"/>
          </reference>
        </references>
      </pivotArea>
    </chartFormat>
    <chartFormat chart="40" format="12">
      <pivotArea type="data" outline="0" fieldPosition="0">
        <references count="2">
          <reference field="4294967294" count="1" selected="0">
            <x v="0"/>
          </reference>
          <reference field="2" count="1" selected="0">
            <x v="6"/>
          </reference>
        </references>
      </pivotArea>
    </chartFormat>
    <chartFormat chart="40" format="13">
      <pivotArea type="data" outline="0" fieldPosition="0">
        <references count="2">
          <reference field="4294967294" count="1" selected="0">
            <x v="0"/>
          </reference>
          <reference field="2" count="1" selected="0">
            <x v="5"/>
          </reference>
        </references>
      </pivotArea>
    </chartFormat>
    <chartFormat chart="40" format="14">
      <pivotArea type="data" outline="0" fieldPosition="0">
        <references count="2">
          <reference field="4294967294" count="1" selected="0">
            <x v="0"/>
          </reference>
          <reference field="2" count="1" selected="0">
            <x v="4"/>
          </reference>
        </references>
      </pivotArea>
    </chartFormat>
    <chartFormat chart="40" format="15">
      <pivotArea type="data" outline="0" fieldPosition="0">
        <references count="2">
          <reference field="4294967294" count="1" selected="0">
            <x v="0"/>
          </reference>
          <reference field="2" count="1" selected="0">
            <x v="3"/>
          </reference>
        </references>
      </pivotArea>
    </chartFormat>
    <chartFormat chart="40" format="16">
      <pivotArea type="data" outline="0" fieldPosition="0">
        <references count="2">
          <reference field="4294967294" count="1" selected="0">
            <x v="0"/>
          </reference>
          <reference field="2" count="1" selected="0">
            <x v="2"/>
          </reference>
        </references>
      </pivotArea>
    </chartFormat>
    <chartFormat chart="40" format="17">
      <pivotArea type="data" outline="0" fieldPosition="0">
        <references count="2">
          <reference field="4294967294" count="1" selected="0">
            <x v="0"/>
          </reference>
          <reference field="2" count="1" selected="0">
            <x v="1"/>
          </reference>
        </references>
      </pivotArea>
    </chartFormat>
    <chartFormat chart="40" format="18">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I3:J16" firstHeaderRow="1" firstDataRow="1" firstDataCol="1"/>
  <pivotFields count="19">
    <pivotField dataField="1" showAll="0"/>
    <pivotField numFmtId="164" showAll="0"/>
    <pivotField showAll="0"/>
    <pivotField showAll="0">
      <items count="13">
        <item x="1"/>
        <item x="7"/>
        <item x="9"/>
        <item x="2"/>
        <item x="6"/>
        <item x="0"/>
        <item x="8"/>
        <item x="4"/>
        <item x="11"/>
        <item x="3"/>
        <item x="5"/>
        <item x="10"/>
        <item t="default"/>
      </items>
    </pivotField>
    <pivotField showAll="0">
      <items count="3">
        <item x="0"/>
        <item x="1"/>
        <item t="default"/>
      </items>
    </pivotField>
    <pivotField numFmtId="1" showAll="0">
      <items count="3">
        <item x="1"/>
        <item x="0"/>
        <item t="default"/>
      </items>
    </pivotField>
    <pivotField numFmtId="1" showAll="0"/>
    <pivotField numFmtId="1" showAll="0"/>
    <pivotField numFmtId="1" showAll="0">
      <items count="4">
        <item x="0"/>
        <item x="2"/>
        <item x="1"/>
        <item t="default"/>
      </items>
    </pivotField>
    <pivotField numFmtId="1" showAll="0"/>
    <pivotField showAll="0">
      <items count="3">
        <item x="1"/>
        <item x="0"/>
        <item t="default"/>
      </items>
    </pivotField>
    <pivotField showAll="0">
      <items count="4">
        <item x="0"/>
        <item x="1"/>
        <item x="2"/>
        <item t="default"/>
      </items>
    </pivotField>
    <pivotField showAll="0">
      <items count="7">
        <item x="2"/>
        <item x="4"/>
        <item x="0"/>
        <item x="3"/>
        <item x="1"/>
        <item x="5"/>
        <item t="default"/>
      </items>
    </pivotField>
    <pivotField showAll="0">
      <items count="16">
        <item x="13"/>
        <item x="7"/>
        <item x="0"/>
        <item x="14"/>
        <item x="11"/>
        <item x="6"/>
        <item x="12"/>
        <item x="10"/>
        <item x="1"/>
        <item x="5"/>
        <item x="2"/>
        <item x="4"/>
        <item x="3"/>
        <item x="9"/>
        <item x="8"/>
        <item t="default"/>
      </items>
    </pivotField>
    <pivotField showAll="0">
      <items count="11">
        <item x="9"/>
        <item x="5"/>
        <item x="4"/>
        <item x="2"/>
        <item x="7"/>
        <item x="6"/>
        <item x="3"/>
        <item x="1"/>
        <item x="0"/>
        <item x="8"/>
        <item t="default"/>
      </items>
    </pivotField>
    <pivotField showAll="0">
      <items count="3">
        <item x="1"/>
        <item x="0"/>
        <item t="default"/>
      </items>
    </pivotField>
    <pivotField showAll="0"/>
    <pivotField showAll="0"/>
    <pivotField axis="axisRow" showAll="0" defaultSubtotal="0">
      <items count="14">
        <item x="0"/>
        <item x="1"/>
        <item x="2"/>
        <item x="3"/>
        <item x="4"/>
        <item x="5"/>
        <item x="6"/>
        <item x="7"/>
        <item x="8"/>
        <item x="9"/>
        <item x="10"/>
        <item x="11"/>
        <item x="12"/>
        <item x="13"/>
      </items>
    </pivotField>
  </pivotFields>
  <rowFields count="1">
    <field x="18"/>
  </rowFields>
  <rowItems count="13">
    <i>
      <x v="1"/>
    </i>
    <i>
      <x v="2"/>
    </i>
    <i>
      <x v="3"/>
    </i>
    <i>
      <x v="4"/>
    </i>
    <i>
      <x v="5"/>
    </i>
    <i>
      <x v="6"/>
    </i>
    <i>
      <x v="7"/>
    </i>
    <i>
      <x v="8"/>
    </i>
    <i>
      <x v="9"/>
    </i>
    <i>
      <x v="10"/>
    </i>
    <i>
      <x v="11"/>
    </i>
    <i>
      <x v="12"/>
    </i>
    <i t="grand">
      <x/>
    </i>
  </rowItems>
  <colItems count="1">
    <i/>
  </colItems>
  <dataFields count="1">
    <dataField name="Count of Student_ID" fld="0" subtotal="count" baseField="0" baseItem="0"/>
  </dataFields>
  <chartFormats count="5">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8" count="1" selected="0">
            <x v="8"/>
          </reference>
        </references>
      </pivotArea>
    </chartFormat>
    <chartFormat chart="7" format="6">
      <pivotArea type="data" outline="0" fieldPosition="0">
        <references count="2">
          <reference field="4294967294" count="1" selected="0">
            <x v="0"/>
          </reference>
          <reference field="18" count="1" selected="0">
            <x v="9"/>
          </reference>
        </references>
      </pivotArea>
    </chartFormat>
    <chartFormat chart="7" format="7">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69:I70" firstHeaderRow="1" firstDataRow="1" firstDataCol="0"/>
  <pivotFields count="19">
    <pivotField showAll="0"/>
    <pivotField numFmtId="164" showAll="0"/>
    <pivotField showAll="0"/>
    <pivotField showAll="0">
      <items count="13">
        <item x="1"/>
        <item x="7"/>
        <item x="9"/>
        <item x="2"/>
        <item x="6"/>
        <item x="0"/>
        <item x="8"/>
        <item x="4"/>
        <item x="11"/>
        <item x="3"/>
        <item x="5"/>
        <item x="10"/>
        <item t="default"/>
      </items>
    </pivotField>
    <pivotField showAll="0">
      <items count="3">
        <item x="0"/>
        <item x="1"/>
        <item t="default"/>
      </items>
    </pivotField>
    <pivotField numFmtId="1" showAll="0">
      <items count="3">
        <item x="1"/>
        <item x="0"/>
        <item t="default"/>
      </items>
    </pivotField>
    <pivotField numFmtId="1" showAll="0"/>
    <pivotField dataField="1" numFmtId="1" showAll="0"/>
    <pivotField numFmtId="1" showAll="0">
      <items count="4">
        <item x="0"/>
        <item x="2"/>
        <item x="1"/>
        <item t="default"/>
      </items>
    </pivotField>
    <pivotField numFmtId="1" showAll="0"/>
    <pivotField showAll="0">
      <items count="3">
        <item x="1"/>
        <item x="0"/>
        <item t="default"/>
      </items>
    </pivotField>
    <pivotField showAll="0">
      <items count="4">
        <item x="0"/>
        <item x="1"/>
        <item x="2"/>
        <item t="default"/>
      </items>
    </pivotField>
    <pivotField showAll="0">
      <items count="7">
        <item x="2"/>
        <item x="4"/>
        <item x="0"/>
        <item x="3"/>
        <item x="1"/>
        <item x="5"/>
        <item t="default"/>
      </items>
    </pivotField>
    <pivotField showAll="0">
      <items count="16">
        <item x="13"/>
        <item x="7"/>
        <item x="0"/>
        <item x="14"/>
        <item x="11"/>
        <item x="6"/>
        <item x="12"/>
        <item x="10"/>
        <item x="1"/>
        <item x="5"/>
        <item x="2"/>
        <item x="4"/>
        <item x="3"/>
        <item x="9"/>
        <item x="8"/>
        <item t="default"/>
      </items>
    </pivotField>
    <pivotField showAll="0">
      <items count="11">
        <item x="9"/>
        <item x="5"/>
        <item x="4"/>
        <item x="2"/>
        <item x="7"/>
        <item x="6"/>
        <item x="3"/>
        <item x="1"/>
        <item x="0"/>
        <item x="8"/>
        <item t="default"/>
      </items>
    </pivotField>
    <pivotField showAll="0">
      <items count="3">
        <item x="1"/>
        <item x="0"/>
        <item t="default"/>
      </items>
    </pivotField>
    <pivotField showAll="0"/>
    <pivotField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Course_Fee_AE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78:I79" firstHeaderRow="1" firstDataRow="1" firstDataCol="0"/>
  <pivotFields count="19">
    <pivotField showAll="0"/>
    <pivotField numFmtId="164" showAll="0"/>
    <pivotField showAll="0"/>
    <pivotField showAll="0">
      <items count="13">
        <item x="1"/>
        <item x="7"/>
        <item x="9"/>
        <item x="2"/>
        <item x="6"/>
        <item x="0"/>
        <item x="8"/>
        <item x="4"/>
        <item x="11"/>
        <item x="3"/>
        <item x="5"/>
        <item x="10"/>
        <item t="default"/>
      </items>
    </pivotField>
    <pivotField showAll="0">
      <items count="3">
        <item x="0"/>
        <item x="1"/>
        <item t="default"/>
      </items>
    </pivotField>
    <pivotField numFmtId="1" showAll="0">
      <items count="3">
        <item x="1"/>
        <item x="0"/>
        <item t="default"/>
      </items>
    </pivotField>
    <pivotField numFmtId="1" showAll="0"/>
    <pivotField dataField="1" numFmtId="1" showAll="0"/>
    <pivotField numFmtId="1" showAll="0">
      <items count="4">
        <item x="0"/>
        <item x="2"/>
        <item x="1"/>
        <item t="default"/>
      </items>
    </pivotField>
    <pivotField numFmtId="1" showAll="0"/>
    <pivotField showAll="0">
      <items count="3">
        <item x="1"/>
        <item x="0"/>
        <item t="default"/>
      </items>
    </pivotField>
    <pivotField showAll="0">
      <items count="4">
        <item x="0"/>
        <item x="1"/>
        <item x="2"/>
        <item t="default"/>
      </items>
    </pivotField>
    <pivotField showAll="0">
      <items count="7">
        <item x="2"/>
        <item x="4"/>
        <item x="0"/>
        <item x="3"/>
        <item x="1"/>
        <item x="5"/>
        <item t="default"/>
      </items>
    </pivotField>
    <pivotField showAll="0"/>
    <pivotField showAll="0">
      <items count="11">
        <item x="9"/>
        <item x="5"/>
        <item x="4"/>
        <item x="2"/>
        <item x="7"/>
        <item x="6"/>
        <item x="3"/>
        <item x="1"/>
        <item x="0"/>
        <item x="8"/>
        <item t="default"/>
      </items>
    </pivotField>
    <pivotField showAll="0">
      <items count="3">
        <item x="1"/>
        <item x="0"/>
        <item t="default"/>
      </items>
    </pivotField>
    <pivotField showAll="0"/>
    <pivotField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Course_Fee_AED" fld="7" subtotal="average" baseField="0" baseItem="93433948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Q3:R6" firstHeaderRow="1" firstDataRow="1" firstDataCol="1"/>
  <pivotFields count="19">
    <pivotField dataField="1" showAll="0"/>
    <pivotField numFmtId="164" showAll="0"/>
    <pivotField showAll="0"/>
    <pivotField showAll="0">
      <items count="13">
        <item x="1"/>
        <item x="7"/>
        <item x="9"/>
        <item x="2"/>
        <item x="6"/>
        <item x="0"/>
        <item x="8"/>
        <item x="4"/>
        <item x="11"/>
        <item x="3"/>
        <item x="5"/>
        <item x="10"/>
        <item t="default"/>
      </items>
    </pivotField>
    <pivotField showAll="0">
      <items count="3">
        <item x="0"/>
        <item x="1"/>
        <item t="default"/>
      </items>
    </pivotField>
    <pivotField numFmtId="1" showAll="0">
      <items count="3">
        <item x="1"/>
        <item x="0"/>
        <item t="default"/>
      </items>
    </pivotField>
    <pivotField numFmtId="1" showAll="0"/>
    <pivotField numFmtId="1" showAll="0"/>
    <pivotField numFmtId="1" showAll="0">
      <items count="4">
        <item x="0"/>
        <item x="2"/>
        <item x="1"/>
        <item t="default"/>
      </items>
    </pivotField>
    <pivotField numFmtId="1" showAll="0"/>
    <pivotField axis="axisRow" showAll="0">
      <items count="3">
        <item x="1"/>
        <item x="0"/>
        <item t="default"/>
      </items>
    </pivotField>
    <pivotField showAll="0">
      <items count="4">
        <item x="0"/>
        <item x="1"/>
        <item x="2"/>
        <item t="default"/>
      </items>
    </pivotField>
    <pivotField showAll="0">
      <items count="7">
        <item x="2"/>
        <item x="4"/>
        <item x="0"/>
        <item x="3"/>
        <item x="1"/>
        <item x="5"/>
        <item t="default"/>
      </items>
    </pivotField>
    <pivotField showAll="0">
      <items count="16">
        <item x="13"/>
        <item x="7"/>
        <item x="0"/>
        <item x="14"/>
        <item x="11"/>
        <item x="6"/>
        <item x="12"/>
        <item x="10"/>
        <item x="1"/>
        <item x="5"/>
        <item x="2"/>
        <item x="4"/>
        <item x="3"/>
        <item x="9"/>
        <item x="8"/>
        <item t="default"/>
      </items>
    </pivotField>
    <pivotField showAll="0">
      <items count="11">
        <item x="9"/>
        <item x="5"/>
        <item x="4"/>
        <item x="2"/>
        <item x="7"/>
        <item x="6"/>
        <item x="3"/>
        <item x="1"/>
        <item x="0"/>
        <item x="8"/>
        <item t="default"/>
      </items>
    </pivotField>
    <pivotField showAll="0">
      <items count="3">
        <item x="1"/>
        <item x="0"/>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10"/>
  </rowFields>
  <rowItems count="3">
    <i>
      <x/>
    </i>
    <i>
      <x v="1"/>
    </i>
    <i t="grand">
      <x/>
    </i>
  </rowItems>
  <colItems count="1">
    <i/>
  </colItems>
  <dataFields count="1">
    <dataField name="Count of Student_ID" fld="0" subtotal="count" baseField="0" baseItem="0"/>
  </dataFields>
  <chartFormats count="6">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0" count="1" selected="0">
            <x v="0"/>
          </reference>
        </references>
      </pivotArea>
    </chartFormat>
    <chartFormat chart="10" format="8">
      <pivotArea type="data" outline="0" fieldPosition="0">
        <references count="2">
          <reference field="4294967294" count="1" selected="0">
            <x v="0"/>
          </reference>
          <reference field="10" count="1" selected="0">
            <x v="1"/>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10" count="1" selected="0">
            <x v="0"/>
          </reference>
        </references>
      </pivotArea>
    </chartFormat>
    <chartFormat chart="12" format="14">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2:E48" firstHeaderRow="1" firstDataRow="1" firstDataCol="1"/>
  <pivotFields count="19">
    <pivotField dataField="1" showAll="0"/>
    <pivotField numFmtId="164" showAll="0"/>
    <pivotField showAll="0"/>
    <pivotField showAll="0">
      <items count="13">
        <item x="1"/>
        <item x="7"/>
        <item x="9"/>
        <item x="2"/>
        <item x="6"/>
        <item x="0"/>
        <item x="8"/>
        <item x="4"/>
        <item x="11"/>
        <item x="3"/>
        <item x="5"/>
        <item x="10"/>
        <item t="default"/>
      </items>
    </pivotField>
    <pivotField showAll="0">
      <items count="3">
        <item x="0"/>
        <item x="1"/>
        <item t="default"/>
      </items>
    </pivotField>
    <pivotField numFmtId="1" showAll="0">
      <items count="3">
        <item x="1"/>
        <item x="0"/>
        <item t="default"/>
      </items>
    </pivotField>
    <pivotField numFmtId="1" showAll="0"/>
    <pivotField numFmtId="1" showAll="0"/>
    <pivotField numFmtId="1" showAll="0">
      <items count="4">
        <item x="0"/>
        <item x="2"/>
        <item x="1"/>
        <item t="default"/>
      </items>
    </pivotField>
    <pivotField numFmtId="1" showAll="0"/>
    <pivotField showAll="0">
      <items count="3">
        <item x="1"/>
        <item x="0"/>
        <item t="default"/>
      </items>
    </pivotField>
    <pivotField showAll="0">
      <items count="4">
        <item x="0"/>
        <item x="1"/>
        <item x="2"/>
        <item t="default"/>
      </items>
    </pivotField>
    <pivotField showAll="0">
      <items count="7">
        <item x="2"/>
        <item x="4"/>
        <item x="0"/>
        <item x="3"/>
        <item x="1"/>
        <item x="5"/>
        <item t="default"/>
      </items>
    </pivotField>
    <pivotField axis="axisRow" showAll="0">
      <items count="16">
        <item x="13"/>
        <item x="7"/>
        <item x="0"/>
        <item x="14"/>
        <item x="11"/>
        <item x="6"/>
        <item x="12"/>
        <item x="10"/>
        <item x="1"/>
        <item x="5"/>
        <item x="2"/>
        <item x="4"/>
        <item x="3"/>
        <item x="9"/>
        <item x="8"/>
        <item t="default"/>
      </items>
    </pivotField>
    <pivotField showAll="0">
      <items count="11">
        <item x="9"/>
        <item x="5"/>
        <item x="4"/>
        <item x="2"/>
        <item x="7"/>
        <item x="6"/>
        <item x="3"/>
        <item x="1"/>
        <item x="0"/>
        <item x="8"/>
        <item t="default"/>
      </items>
    </pivotField>
    <pivotField showAll="0">
      <items count="3">
        <item x="1"/>
        <item x="0"/>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13"/>
  </rowFields>
  <rowItems count="16">
    <i>
      <x/>
    </i>
    <i>
      <x v="1"/>
    </i>
    <i>
      <x v="2"/>
    </i>
    <i>
      <x v="3"/>
    </i>
    <i>
      <x v="4"/>
    </i>
    <i>
      <x v="5"/>
    </i>
    <i>
      <x v="6"/>
    </i>
    <i>
      <x v="7"/>
    </i>
    <i>
      <x v="8"/>
    </i>
    <i>
      <x v="9"/>
    </i>
    <i>
      <x v="10"/>
    </i>
    <i>
      <x v="11"/>
    </i>
    <i>
      <x v="12"/>
    </i>
    <i>
      <x v="13"/>
    </i>
    <i>
      <x v="14"/>
    </i>
    <i t="grand">
      <x/>
    </i>
  </rowItems>
  <colItems count="1">
    <i/>
  </colItems>
  <dataFields count="1">
    <dataField name="Count of Stu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M3:O18" firstHeaderRow="0" firstDataRow="1" firstDataCol="1"/>
  <pivotFields count="19">
    <pivotField showAll="0"/>
    <pivotField numFmtId="164" showAll="0"/>
    <pivotField axis="axisRow" showAll="0">
      <items count="15">
        <item x="8"/>
        <item x="1"/>
        <item x="9"/>
        <item x="10"/>
        <item x="3"/>
        <item x="0"/>
        <item x="4"/>
        <item x="13"/>
        <item x="12"/>
        <item x="5"/>
        <item x="2"/>
        <item x="6"/>
        <item x="7"/>
        <item x="11"/>
        <item t="default"/>
      </items>
    </pivotField>
    <pivotField showAll="0">
      <items count="13">
        <item x="1"/>
        <item x="7"/>
        <item x="9"/>
        <item x="2"/>
        <item x="6"/>
        <item x="0"/>
        <item x="8"/>
        <item x="4"/>
        <item x="11"/>
        <item x="3"/>
        <item x="5"/>
        <item x="10"/>
        <item t="default"/>
      </items>
    </pivotField>
    <pivotField showAll="0">
      <items count="3">
        <item x="0"/>
        <item x="1"/>
        <item t="default"/>
      </items>
    </pivotField>
    <pivotField numFmtId="1" showAll="0">
      <items count="3">
        <item x="1"/>
        <item x="0"/>
        <item t="default"/>
      </items>
    </pivotField>
    <pivotField numFmtId="1" showAll="0"/>
    <pivotField numFmtId="1" showAll="0"/>
    <pivotField numFmtId="1" showAll="0">
      <items count="4">
        <item x="0"/>
        <item x="2"/>
        <item x="1"/>
        <item t="default"/>
      </items>
    </pivotField>
    <pivotField numFmtId="1" showAll="0"/>
    <pivotField showAll="0">
      <items count="3">
        <item x="1"/>
        <item x="0"/>
        <item t="default"/>
      </items>
    </pivotField>
    <pivotField showAll="0">
      <items count="4">
        <item x="0"/>
        <item x="1"/>
        <item x="2"/>
        <item t="default"/>
      </items>
    </pivotField>
    <pivotField showAll="0">
      <items count="7">
        <item x="2"/>
        <item x="4"/>
        <item x="0"/>
        <item x="3"/>
        <item x="1"/>
        <item x="5"/>
        <item t="default"/>
      </items>
    </pivotField>
    <pivotField showAll="0">
      <items count="16">
        <item x="13"/>
        <item x="7"/>
        <item x="0"/>
        <item x="14"/>
        <item x="11"/>
        <item x="6"/>
        <item x="12"/>
        <item x="10"/>
        <item x="1"/>
        <item x="5"/>
        <item x="2"/>
        <item x="4"/>
        <item x="3"/>
        <item x="9"/>
        <item x="8"/>
        <item t="default"/>
      </items>
    </pivotField>
    <pivotField showAll="0">
      <items count="11">
        <item x="9"/>
        <item x="5"/>
        <item x="4"/>
        <item x="2"/>
        <item x="7"/>
        <item x="6"/>
        <item x="3"/>
        <item x="1"/>
        <item x="0"/>
        <item x="8"/>
        <item t="default"/>
      </items>
    </pivotField>
    <pivotField showAll="0">
      <items count="3">
        <item x="1"/>
        <item x="0"/>
        <item t="default"/>
      </items>
    </pivotField>
    <pivotField dataField="1" showAll="0"/>
    <pivotField dataField="1" showAll="0"/>
    <pivotField showAll="0" defaultSubtotal="0">
      <items count="14">
        <item x="0"/>
        <item x="1"/>
        <item x="2"/>
        <item x="3"/>
        <item x="4"/>
        <item x="5"/>
        <item x="6"/>
        <item x="7"/>
        <item x="8"/>
        <item x="9"/>
        <item x="10"/>
        <item x="11"/>
        <item x="12"/>
        <item x="13"/>
      </items>
    </pivotField>
  </pivotFields>
  <rowFields count="1">
    <field x="2"/>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um of Revenue" fld="17" baseField="0" baseItem="0"/>
    <dataField name="Sum of pending Revenue" fld="16" baseField="0" baseItem="0"/>
  </dataFields>
  <chartFormats count="4">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75:I76" firstHeaderRow="1" firstDataRow="1" firstDataCol="0"/>
  <pivotFields count="19">
    <pivotField showAll="0"/>
    <pivotField numFmtId="164" showAll="0"/>
    <pivotField showAll="0"/>
    <pivotField showAll="0">
      <items count="13">
        <item x="1"/>
        <item x="7"/>
        <item x="9"/>
        <item x="2"/>
        <item x="6"/>
        <item x="0"/>
        <item x="8"/>
        <item x="4"/>
        <item x="11"/>
        <item x="3"/>
        <item x="5"/>
        <item x="10"/>
        <item t="default"/>
      </items>
    </pivotField>
    <pivotField showAll="0">
      <items count="3">
        <item x="0"/>
        <item x="1"/>
        <item t="default"/>
      </items>
    </pivotField>
    <pivotField numFmtId="1" showAll="0">
      <items count="3">
        <item x="1"/>
        <item x="0"/>
        <item t="default"/>
      </items>
    </pivotField>
    <pivotField numFmtId="1" showAll="0"/>
    <pivotField numFmtId="1" showAll="0"/>
    <pivotField numFmtId="1" showAll="0">
      <items count="4">
        <item x="0"/>
        <item x="2"/>
        <item x="1"/>
        <item t="default"/>
      </items>
    </pivotField>
    <pivotField numFmtId="1" showAll="0"/>
    <pivotField showAll="0">
      <items count="3">
        <item x="1"/>
        <item x="0"/>
        <item t="default"/>
      </items>
    </pivotField>
    <pivotField showAll="0">
      <items count="4">
        <item x="0"/>
        <item x="1"/>
        <item x="2"/>
        <item t="default"/>
      </items>
    </pivotField>
    <pivotField showAll="0">
      <items count="7">
        <item x="2"/>
        <item x="4"/>
        <item x="0"/>
        <item x="3"/>
        <item x="1"/>
        <item x="5"/>
        <item t="default"/>
      </items>
    </pivotField>
    <pivotField showAll="0">
      <items count="16">
        <item x="13"/>
        <item x="7"/>
        <item x="0"/>
        <item x="14"/>
        <item x="11"/>
        <item x="6"/>
        <item x="12"/>
        <item x="10"/>
        <item x="1"/>
        <item x="5"/>
        <item x="2"/>
        <item x="4"/>
        <item x="3"/>
        <item x="9"/>
        <item x="8"/>
        <item t="default"/>
      </items>
    </pivotField>
    <pivotField showAll="0">
      <items count="11">
        <item x="9"/>
        <item x="5"/>
        <item x="4"/>
        <item x="2"/>
        <item x="7"/>
        <item x="6"/>
        <item x="3"/>
        <item x="1"/>
        <item x="0"/>
        <item x="8"/>
        <item t="default"/>
      </items>
    </pivotField>
    <pivotField showAll="0">
      <items count="3">
        <item x="1"/>
        <item x="0"/>
        <item t="default"/>
      </items>
    </pivotField>
    <pivotField showAll="0"/>
    <pivotField dataField="1"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Revenue"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M21:N34" firstHeaderRow="1" firstDataRow="1" firstDataCol="1"/>
  <pivotFields count="19">
    <pivotField showAll="0"/>
    <pivotField numFmtId="164" showAll="0"/>
    <pivotField showAll="0"/>
    <pivotField showAll="0">
      <items count="13">
        <item x="1"/>
        <item x="7"/>
        <item x="9"/>
        <item x="2"/>
        <item x="6"/>
        <item x="0"/>
        <item x="8"/>
        <item x="4"/>
        <item x="11"/>
        <item x="3"/>
        <item x="5"/>
        <item x="10"/>
        <item t="default"/>
      </items>
    </pivotField>
    <pivotField showAll="0">
      <items count="3">
        <item x="0"/>
        <item x="1"/>
        <item t="default"/>
      </items>
    </pivotField>
    <pivotField numFmtId="1" showAll="0">
      <items count="3">
        <item x="1"/>
        <item x="0"/>
        <item t="default"/>
      </items>
    </pivotField>
    <pivotField numFmtId="1" showAll="0"/>
    <pivotField numFmtId="1" showAll="0"/>
    <pivotField numFmtId="1" showAll="0">
      <items count="4">
        <item x="0"/>
        <item x="2"/>
        <item x="1"/>
        <item t="default"/>
      </items>
    </pivotField>
    <pivotField numFmtId="1" showAll="0"/>
    <pivotField showAll="0">
      <items count="3">
        <item x="1"/>
        <item x="0"/>
        <item t="default"/>
      </items>
    </pivotField>
    <pivotField showAll="0">
      <items count="4">
        <item x="0"/>
        <item x="1"/>
        <item x="2"/>
        <item t="default"/>
      </items>
    </pivotField>
    <pivotField showAll="0">
      <items count="7">
        <item x="2"/>
        <item x="4"/>
        <item x="0"/>
        <item x="3"/>
        <item x="1"/>
        <item x="5"/>
        <item t="default"/>
      </items>
    </pivotField>
    <pivotField showAll="0">
      <items count="16">
        <item x="13"/>
        <item x="7"/>
        <item x="0"/>
        <item x="14"/>
        <item x="11"/>
        <item x="6"/>
        <item x="12"/>
        <item x="10"/>
        <item x="1"/>
        <item x="5"/>
        <item x="2"/>
        <item x="4"/>
        <item x="3"/>
        <item x="9"/>
        <item x="8"/>
        <item t="default"/>
      </items>
    </pivotField>
    <pivotField showAll="0">
      <items count="11">
        <item x="9"/>
        <item x="5"/>
        <item x="4"/>
        <item x="2"/>
        <item x="7"/>
        <item x="6"/>
        <item x="3"/>
        <item x="1"/>
        <item x="0"/>
        <item x="8"/>
        <item t="default"/>
      </items>
    </pivotField>
    <pivotField showAll="0">
      <items count="3">
        <item x="1"/>
        <item x="0"/>
        <item t="default"/>
      </items>
    </pivotField>
    <pivotField showAll="0"/>
    <pivotField dataField="1" showAll="0"/>
    <pivotField axis="axisRow" showAll="0" defaultSubtotal="0">
      <items count="14">
        <item x="0"/>
        <item x="1"/>
        <item x="2"/>
        <item x="3"/>
        <item x="4"/>
        <item x="5"/>
        <item x="6"/>
        <item x="7"/>
        <item x="8"/>
        <item x="9"/>
        <item x="10"/>
        <item x="11"/>
        <item x="12"/>
        <item x="13"/>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Revenue" fld="17" baseField="0" baseItem="0"/>
  </dataFields>
  <chartFormats count="16">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8" count="1" selected="0">
            <x v="8"/>
          </reference>
        </references>
      </pivotArea>
    </chartFormat>
    <chartFormat chart="7" format="6">
      <pivotArea type="data" outline="0" fieldPosition="0">
        <references count="2">
          <reference field="4294967294" count="1" selected="0">
            <x v="0"/>
          </reference>
          <reference field="18" count="1" selected="0">
            <x v="10"/>
          </reference>
        </references>
      </pivotArea>
    </chartFormat>
    <chartFormat chart="7" format="7">
      <pivotArea type="data" outline="0" fieldPosition="0">
        <references count="2">
          <reference field="4294967294" count="1" selected="0">
            <x v="0"/>
          </reference>
          <reference field="18" count="1" selected="0">
            <x v="9"/>
          </reference>
        </references>
      </pivotArea>
    </chartFormat>
    <chartFormat chart="7" format="8">
      <pivotArea type="data" outline="0" fieldPosition="0">
        <references count="2">
          <reference field="4294967294" count="1" selected="0">
            <x v="0"/>
          </reference>
          <reference field="18" count="1" selected="0">
            <x v="12"/>
          </reference>
        </references>
      </pivotArea>
    </chartFormat>
    <chartFormat chart="7" format="9">
      <pivotArea type="data" outline="0" fieldPosition="0">
        <references count="2">
          <reference field="4294967294" count="1" selected="0">
            <x v="0"/>
          </reference>
          <reference field="18" count="1" selected="0">
            <x v="3"/>
          </reference>
        </references>
      </pivotArea>
    </chartFormat>
    <chartFormat chart="7" format="10">
      <pivotArea type="data" outline="0" fieldPosition="0">
        <references count="2">
          <reference field="4294967294" count="1" selected="0">
            <x v="0"/>
          </reference>
          <reference field="18" count="1" selected="0">
            <x v="11"/>
          </reference>
        </references>
      </pivotArea>
    </chartFormat>
    <chartFormat chart="7" format="10">
      <pivotArea type="data" outline="0" fieldPosition="0">
        <references count="2">
          <reference field="4294967294" count="1" selected="0">
            <x v="0"/>
          </reference>
          <reference field="18" count="1" selected="0">
            <x v="11"/>
          </reference>
        </references>
      </pivotArea>
    </chartFormat>
    <chartFormat chart="7" format="11">
      <pivotArea type="data" outline="0" fieldPosition="0">
        <references count="2">
          <reference field="4294967294" count="1" selected="0">
            <x v="0"/>
          </reference>
          <reference field="18" count="1" selected="0">
            <x v="7"/>
          </reference>
        </references>
      </pivotArea>
    </chartFormat>
    <chartFormat chart="7" format="12">
      <pivotArea type="data" outline="0" fieldPosition="0">
        <references count="2">
          <reference field="4294967294" count="1" selected="0">
            <x v="0"/>
          </reference>
          <reference field="18" count="1" selected="0">
            <x v="6"/>
          </reference>
        </references>
      </pivotArea>
    </chartFormat>
    <chartFormat chart="7" format="13">
      <pivotArea type="data" outline="0" fieldPosition="0">
        <references count="2">
          <reference field="4294967294" count="1" selected="0">
            <x v="0"/>
          </reference>
          <reference field="18" count="1" selected="0">
            <x v="5"/>
          </reference>
        </references>
      </pivotArea>
    </chartFormat>
    <chartFormat chart="7" format="14">
      <pivotArea type="data" outline="0" fieldPosition="0">
        <references count="2">
          <reference field="4294967294" count="1" selected="0">
            <x v="0"/>
          </reference>
          <reference field="18" count="1" selected="0">
            <x v="4"/>
          </reference>
        </references>
      </pivotArea>
    </chartFormat>
    <chartFormat chart="7" format="15">
      <pivotArea type="data" outline="0" fieldPosition="0">
        <references count="2">
          <reference field="4294967294" count="1" selected="0">
            <x v="0"/>
          </reference>
          <reference field="18" count="1" selected="0">
            <x v="1"/>
          </reference>
        </references>
      </pivotArea>
    </chartFormat>
    <chartFormat chart="7" format="16">
      <pivotArea type="data" outline="0" fieldPosition="0">
        <references count="2">
          <reference field="4294967294" count="1" selected="0">
            <x v="0"/>
          </reference>
          <reference field="18" count="1" selected="0">
            <x v="2"/>
          </reference>
        </references>
      </pivotArea>
    </chartFormat>
    <chartFormat chart="7" format="16">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I21:J25" firstHeaderRow="1" firstDataRow="1" firstDataCol="1"/>
  <pivotFields count="19">
    <pivotField dataField="1" showAll="0"/>
    <pivotField numFmtId="164" showAll="0"/>
    <pivotField showAll="0"/>
    <pivotField showAll="0">
      <items count="13">
        <item x="1"/>
        <item x="7"/>
        <item x="9"/>
        <item x="2"/>
        <item x="6"/>
        <item x="0"/>
        <item x="8"/>
        <item x="4"/>
        <item x="11"/>
        <item x="3"/>
        <item x="5"/>
        <item x="10"/>
        <item t="default"/>
      </items>
    </pivotField>
    <pivotField showAll="0">
      <items count="3">
        <item x="0"/>
        <item x="1"/>
        <item t="default"/>
      </items>
    </pivotField>
    <pivotField numFmtId="1" showAll="0">
      <items count="3">
        <item x="1"/>
        <item x="0"/>
        <item t="default"/>
      </items>
    </pivotField>
    <pivotField numFmtId="1" showAll="0"/>
    <pivotField numFmtId="1" showAll="0"/>
    <pivotField numFmtId="1" showAll="0">
      <items count="4">
        <item x="0"/>
        <item x="2"/>
        <item x="1"/>
        <item t="default"/>
      </items>
    </pivotField>
    <pivotField numFmtId="1" showAll="0"/>
    <pivotField showAll="0">
      <items count="3">
        <item x="1"/>
        <item x="0"/>
        <item t="default"/>
      </items>
    </pivotField>
    <pivotField axis="axisRow" showAll="0">
      <items count="4">
        <item x="0"/>
        <item x="1"/>
        <item x="2"/>
        <item t="default"/>
      </items>
    </pivotField>
    <pivotField showAll="0">
      <items count="7">
        <item x="2"/>
        <item x="4"/>
        <item x="0"/>
        <item x="3"/>
        <item x="1"/>
        <item x="5"/>
        <item t="default"/>
      </items>
    </pivotField>
    <pivotField showAll="0">
      <items count="16">
        <item x="13"/>
        <item x="7"/>
        <item x="0"/>
        <item x="14"/>
        <item x="11"/>
        <item x="6"/>
        <item x="12"/>
        <item x="10"/>
        <item x="1"/>
        <item x="5"/>
        <item x="2"/>
        <item x="4"/>
        <item x="3"/>
        <item x="9"/>
        <item x="8"/>
        <item t="default"/>
      </items>
    </pivotField>
    <pivotField showAll="0">
      <items count="11">
        <item x="9"/>
        <item x="5"/>
        <item x="4"/>
        <item x="2"/>
        <item x="7"/>
        <item x="6"/>
        <item x="3"/>
        <item x="1"/>
        <item x="0"/>
        <item x="8"/>
        <item t="default"/>
      </items>
    </pivotField>
    <pivotField showAll="0">
      <items count="3">
        <item x="1"/>
        <item x="0"/>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11"/>
  </rowFields>
  <rowItems count="4">
    <i>
      <x/>
    </i>
    <i>
      <x v="1"/>
    </i>
    <i>
      <x v="2"/>
    </i>
    <i t="grand">
      <x/>
    </i>
  </rowItems>
  <colItems count="1">
    <i/>
  </colItems>
  <dataFields count="1">
    <dataField name="Count of Student_ID" fld="0" subtotal="count" baseField="0" baseItem="0"/>
  </dataFields>
  <chartFormats count="12">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1" count="1" selected="0">
            <x v="0"/>
          </reference>
        </references>
      </pivotArea>
    </chartFormat>
    <chartFormat chart="7" format="2">
      <pivotArea type="data" outline="0" fieldPosition="0">
        <references count="2">
          <reference field="4294967294" count="1" selected="0">
            <x v="0"/>
          </reference>
          <reference field="11" count="1" selected="0">
            <x v="1"/>
          </reference>
        </references>
      </pivotArea>
    </chartFormat>
    <chartFormat chart="7" format="3">
      <pivotArea type="data" outline="0" fieldPosition="0">
        <references count="2">
          <reference field="4294967294" count="1" selected="0">
            <x v="0"/>
          </reference>
          <reference field="11"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1" count="1" selected="0">
            <x v="0"/>
          </reference>
        </references>
      </pivotArea>
    </chartFormat>
    <chartFormat chart="9" format="10">
      <pivotArea type="data" outline="0" fieldPosition="0">
        <references count="2">
          <reference field="4294967294" count="1" selected="0">
            <x v="0"/>
          </reference>
          <reference field="11" count="1" selected="0">
            <x v="1"/>
          </reference>
        </references>
      </pivotArea>
    </chartFormat>
    <chartFormat chart="9" format="11">
      <pivotArea type="data" outline="0" fieldPosition="0">
        <references count="2">
          <reference field="4294967294" count="1" selected="0">
            <x v="0"/>
          </reference>
          <reference field="11" count="1" selected="0">
            <x v="2"/>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11" count="1" selected="0">
            <x v="0"/>
          </reference>
        </references>
      </pivotArea>
    </chartFormat>
    <chartFormat chart="11" format="18">
      <pivotArea type="data" outline="0" fieldPosition="0">
        <references count="2">
          <reference field="4294967294" count="1" selected="0">
            <x v="0"/>
          </reference>
          <reference field="11" count="1" selected="0">
            <x v="1"/>
          </reference>
        </references>
      </pivotArea>
    </chartFormat>
    <chartFormat chart="11" format="19">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4">
  <location ref="D71:E78" firstHeaderRow="1" firstDataRow="1" firstDataCol="1"/>
  <pivotFields count="19">
    <pivotField dataField="1" showAll="0"/>
    <pivotField numFmtId="164" showAll="0"/>
    <pivotField showAll="0">
      <items count="15">
        <item x="8"/>
        <item x="1"/>
        <item x="9"/>
        <item x="10"/>
        <item x="3"/>
        <item x="0"/>
        <item x="4"/>
        <item x="13"/>
        <item x="12"/>
        <item x="5"/>
        <item x="2"/>
        <item x="6"/>
        <item x="7"/>
        <item x="11"/>
        <item t="default"/>
      </items>
    </pivotField>
    <pivotField showAll="0">
      <items count="13">
        <item x="1"/>
        <item x="7"/>
        <item x="9"/>
        <item x="2"/>
        <item x="6"/>
        <item x="0"/>
        <item x="8"/>
        <item x="4"/>
        <item x="11"/>
        <item x="3"/>
        <item x="5"/>
        <item x="10"/>
        <item t="default"/>
      </items>
    </pivotField>
    <pivotField showAll="0">
      <items count="3">
        <item x="0"/>
        <item x="1"/>
        <item t="default"/>
      </items>
    </pivotField>
    <pivotField numFmtId="1" showAll="0">
      <items count="3">
        <item x="1"/>
        <item x="0"/>
        <item t="default"/>
      </items>
    </pivotField>
    <pivotField numFmtId="1" showAll="0"/>
    <pivotField numFmtId="1" showAll="0"/>
    <pivotField numFmtId="1" showAll="0">
      <items count="4">
        <item x="0"/>
        <item x="2"/>
        <item x="1"/>
        <item t="default"/>
      </items>
    </pivotField>
    <pivotField numFmtId="1" showAll="0"/>
    <pivotField showAll="0">
      <items count="3">
        <item x="1"/>
        <item x="0"/>
        <item t="default"/>
      </items>
    </pivotField>
    <pivotField showAll="0">
      <items count="4">
        <item x="0"/>
        <item x="1"/>
        <item x="2"/>
        <item t="default"/>
      </items>
    </pivotField>
    <pivotField axis="axisRow" showAll="0">
      <items count="7">
        <item x="2"/>
        <item x="4"/>
        <item x="0"/>
        <item x="3"/>
        <item x="1"/>
        <item x="5"/>
        <item t="default"/>
      </items>
    </pivotField>
    <pivotField showAll="0">
      <items count="16">
        <item x="13"/>
        <item x="7"/>
        <item x="0"/>
        <item x="14"/>
        <item x="11"/>
        <item x="6"/>
        <item x="12"/>
        <item x="10"/>
        <item x="1"/>
        <item x="5"/>
        <item x="2"/>
        <item x="4"/>
        <item x="3"/>
        <item x="9"/>
        <item x="8"/>
        <item t="default"/>
      </items>
    </pivotField>
    <pivotField showAll="0">
      <items count="11">
        <item x="9"/>
        <item x="5"/>
        <item x="4"/>
        <item x="2"/>
        <item x="7"/>
        <item x="6"/>
        <item x="3"/>
        <item x="1"/>
        <item x="0"/>
        <item x="8"/>
        <item t="default"/>
      </items>
    </pivotField>
    <pivotField showAll="0">
      <items count="3">
        <item x="1"/>
        <item x="0"/>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12"/>
  </rowFields>
  <rowItems count="7">
    <i>
      <x/>
    </i>
    <i>
      <x v="1"/>
    </i>
    <i>
      <x v="2"/>
    </i>
    <i>
      <x v="3"/>
    </i>
    <i>
      <x v="4"/>
    </i>
    <i>
      <x v="5"/>
    </i>
    <i t="grand">
      <x/>
    </i>
  </rowItems>
  <colItems count="1">
    <i/>
  </colItems>
  <dataFields count="1">
    <dataField name="Count of Student_ID" fld="0" subtotal="count" baseField="0" baseItem="0"/>
  </dataFields>
  <chartFormats count="12">
    <chartFormat chart="38"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1" format="4" series="1">
      <pivotArea type="data" outline="0" fieldPosition="0">
        <references count="1">
          <reference field="4294967294" count="1" selected="0">
            <x v="0"/>
          </reference>
        </references>
      </pivotArea>
    </chartFormat>
    <chartFormat chart="51" format="5">
      <pivotArea type="data" outline="0" fieldPosition="0">
        <references count="2">
          <reference field="4294967294" count="1" selected="0">
            <x v="0"/>
          </reference>
          <reference field="12" count="1" selected="0">
            <x v="5"/>
          </reference>
        </references>
      </pivotArea>
    </chartFormat>
    <chartFormat chart="51" format="6">
      <pivotArea type="data" outline="0" fieldPosition="0">
        <references count="2">
          <reference field="4294967294" count="1" selected="0">
            <x v="0"/>
          </reference>
          <reference field="12" count="1" selected="0">
            <x v="4"/>
          </reference>
        </references>
      </pivotArea>
    </chartFormat>
    <chartFormat chart="51" format="7">
      <pivotArea type="data" outline="0" fieldPosition="0">
        <references count="2">
          <reference field="4294967294" count="1" selected="0">
            <x v="0"/>
          </reference>
          <reference field="12" count="1" selected="0">
            <x v="3"/>
          </reference>
        </references>
      </pivotArea>
    </chartFormat>
    <chartFormat chart="51" format="8">
      <pivotArea type="data" outline="0" fieldPosition="0">
        <references count="2">
          <reference field="4294967294" count="1" selected="0">
            <x v="0"/>
          </reference>
          <reference field="12" count="1" selected="0">
            <x v="2"/>
          </reference>
        </references>
      </pivotArea>
    </chartFormat>
    <chartFormat chart="51" format="9">
      <pivotArea type="data" outline="0" fieldPosition="0">
        <references count="2">
          <reference field="4294967294" count="1" selected="0">
            <x v="0"/>
          </reference>
          <reference field="12" count="1" selected="0">
            <x v="1"/>
          </reference>
        </references>
      </pivotArea>
    </chartFormat>
    <chartFormat chart="51" format="10">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52:E67" firstHeaderRow="1" firstDataRow="1" firstDataCol="1"/>
  <pivotFields count="19">
    <pivotField dataField="1" showAll="0"/>
    <pivotField numFmtId="164" showAll="0"/>
    <pivotField axis="axisRow" showAll="0">
      <items count="15">
        <item x="8"/>
        <item x="1"/>
        <item x="9"/>
        <item x="10"/>
        <item x="3"/>
        <item x="0"/>
        <item x="4"/>
        <item x="13"/>
        <item x="12"/>
        <item x="5"/>
        <item x="2"/>
        <item x="6"/>
        <item x="7"/>
        <item x="11"/>
        <item t="default"/>
      </items>
    </pivotField>
    <pivotField showAll="0">
      <items count="13">
        <item x="1"/>
        <item x="7"/>
        <item x="9"/>
        <item x="2"/>
        <item x="6"/>
        <item x="0"/>
        <item x="8"/>
        <item x="4"/>
        <item x="11"/>
        <item x="3"/>
        <item x="5"/>
        <item x="10"/>
        <item t="default"/>
      </items>
    </pivotField>
    <pivotField showAll="0">
      <items count="3">
        <item x="0"/>
        <item x="1"/>
        <item t="default"/>
      </items>
    </pivotField>
    <pivotField numFmtId="1" showAll="0">
      <items count="3">
        <item x="1"/>
        <item x="0"/>
        <item t="default"/>
      </items>
    </pivotField>
    <pivotField numFmtId="1" showAll="0"/>
    <pivotField numFmtId="1" showAll="0"/>
    <pivotField numFmtId="1" showAll="0">
      <items count="4">
        <item x="0"/>
        <item x="2"/>
        <item x="1"/>
        <item t="default"/>
      </items>
    </pivotField>
    <pivotField numFmtId="1" showAll="0"/>
    <pivotField showAll="0">
      <items count="3">
        <item x="1"/>
        <item x="0"/>
        <item t="default"/>
      </items>
    </pivotField>
    <pivotField showAll="0">
      <items count="4">
        <item x="0"/>
        <item x="1"/>
        <item x="2"/>
        <item t="default"/>
      </items>
    </pivotField>
    <pivotField showAll="0">
      <items count="7">
        <item x="2"/>
        <item x="4"/>
        <item x="0"/>
        <item x="3"/>
        <item x="1"/>
        <item x="5"/>
        <item t="default"/>
      </items>
    </pivotField>
    <pivotField showAll="0">
      <items count="16">
        <item x="13"/>
        <item x="7"/>
        <item x="0"/>
        <item x="14"/>
        <item x="11"/>
        <item x="6"/>
        <item x="12"/>
        <item x="10"/>
        <item x="1"/>
        <item x="5"/>
        <item x="2"/>
        <item x="4"/>
        <item x="3"/>
        <item x="9"/>
        <item x="8"/>
        <item t="default"/>
      </items>
    </pivotField>
    <pivotField showAll="0">
      <items count="11">
        <item x="9"/>
        <item x="5"/>
        <item x="4"/>
        <item x="2"/>
        <item x="7"/>
        <item x="6"/>
        <item x="3"/>
        <item x="1"/>
        <item x="0"/>
        <item x="8"/>
        <item t="default"/>
      </items>
    </pivotField>
    <pivotField showAll="0">
      <items count="3">
        <item x="1"/>
        <item x="0"/>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2"/>
  </rowFields>
  <rowItems count="15">
    <i>
      <x/>
    </i>
    <i>
      <x v="1"/>
    </i>
    <i>
      <x v="2"/>
    </i>
    <i>
      <x v="3"/>
    </i>
    <i>
      <x v="4"/>
    </i>
    <i>
      <x v="5"/>
    </i>
    <i>
      <x v="6"/>
    </i>
    <i>
      <x v="7"/>
    </i>
    <i>
      <x v="8"/>
    </i>
    <i>
      <x v="9"/>
    </i>
    <i>
      <x v="10"/>
    </i>
    <i>
      <x v="11"/>
    </i>
    <i>
      <x v="12"/>
    </i>
    <i>
      <x v="13"/>
    </i>
    <i t="grand">
      <x/>
    </i>
  </rowItems>
  <colItems count="1">
    <i/>
  </colItems>
  <dataFields count="1">
    <dataField name="Count of Stu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rse_Category1" sourceName="Course_Category">
  <pivotTables>
    <pivotTable tabId="2" name="PivotTable1"/>
    <pivotTable tabId="2" name="PivotTable10"/>
    <pivotTable tabId="2" name="PivotTable11"/>
    <pivotTable tabId="2" name="PivotTable15"/>
    <pivotTable tabId="2" name="PivotTable16"/>
    <pivotTable tabId="2" name="PivotTable2"/>
    <pivotTable tabId="2" name="PivotTable3"/>
    <pivotTable tabId="2" name="PivotTable4"/>
    <pivotTable tabId="2" name="PivotTable6"/>
    <pivotTable tabId="2" name="PivotTable7"/>
    <pivotTable tabId="2" name="PivotTable8"/>
    <pivotTable tabId="2" name="PivotTable9"/>
    <pivotTable tabId="2" name="PivotTable17"/>
    <pivotTable tabId="2" name="PivotTable14"/>
    <pivotTable tabId="2" name="PivotTable12"/>
    <pivotTable tabId="2" name="PivotTable13"/>
    <pivotTable tabId="2" name="PivotTable5"/>
    <pivotTable tabId="2" name="PivotTable19"/>
  </pivotTables>
  <data>
    <tabular pivotCacheId="1">
      <items count="12">
        <i x="1" s="1"/>
        <i x="7" s="1"/>
        <i x="9" s="1"/>
        <i x="2" s="1"/>
        <i x="6" s="1"/>
        <i x="0" s="1"/>
        <i x="8" s="1"/>
        <i x="4" s="1"/>
        <i x="11" s="1"/>
        <i x="3" s="1"/>
        <i x="5"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nstructor_Name" sourceName="Instructor_Name">
  <pivotTables>
    <pivotTable tabId="2" name="PivotTable1"/>
    <pivotTable tabId="2" name="PivotTable10"/>
    <pivotTable tabId="2" name="PivotTable11"/>
    <pivotTable tabId="2" name="PivotTable15"/>
    <pivotTable tabId="2" name="PivotTable16"/>
    <pivotTable tabId="2" name="PivotTable17"/>
    <pivotTable tabId="2" name="PivotTable2"/>
    <pivotTable tabId="2" name="PivotTable3"/>
    <pivotTable tabId="2" name="PivotTable4"/>
    <pivotTable tabId="2" name="PivotTable6"/>
    <pivotTable tabId="2" name="PivotTable7"/>
    <pivotTable tabId="2" name="PivotTable8"/>
    <pivotTable tabId="2" name="PivotTable9"/>
    <pivotTable tabId="2" name="PivotTable14"/>
    <pivotTable tabId="2" name="PivotTable12"/>
    <pivotTable tabId="2" name="PivotTable13"/>
    <pivotTable tabId="2" name="PivotTable5"/>
  </pivotTables>
  <data>
    <tabular pivotCacheId="1">
      <items count="15">
        <i x="13" s="1"/>
        <i x="7" s="1"/>
        <i x="0" s="1"/>
        <i x="14" s="1"/>
        <i x="11" s="1"/>
        <i x="6" s="1"/>
        <i x="12" s="1"/>
        <i x="10" s="1"/>
        <i x="1" s="1"/>
        <i x="5" s="1"/>
        <i x="2" s="1"/>
        <i x="4" s="1"/>
        <i x="3" s="1"/>
        <i x="9"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Nationality" sourceName="Nationality">
  <pivotTables>
    <pivotTable tabId="2" name="PivotTable1"/>
    <pivotTable tabId="2" name="PivotTable10"/>
    <pivotTable tabId="2" name="PivotTable11"/>
    <pivotTable tabId="2" name="PivotTable15"/>
    <pivotTable tabId="2" name="PivotTable16"/>
    <pivotTable tabId="2" name="PivotTable17"/>
    <pivotTable tabId="2" name="PivotTable2"/>
    <pivotTable tabId="2" name="PivotTable3"/>
    <pivotTable tabId="2" name="PivotTable4"/>
    <pivotTable tabId="2" name="PivotTable6"/>
    <pivotTable tabId="2" name="PivotTable7"/>
    <pivotTable tabId="2" name="PivotTable8"/>
    <pivotTable tabId="2" name="PivotTable9"/>
    <pivotTable tabId="2" name="PivotTable14"/>
    <pivotTable tabId="2" name="PivotTable12"/>
    <pivotTable tabId="2" name="PivotTable13"/>
    <pivotTable tabId="2" name="PivotTable5"/>
    <pivotTable tabId="2" name="PivotTable19"/>
  </pivotTables>
  <data>
    <tabular pivotCacheId="1">
      <items count="10">
        <i x="9" s="1"/>
        <i x="5" s="1"/>
        <i x="4" s="1"/>
        <i x="2" s="1"/>
        <i x="7" s="1"/>
        <i x="6" s="1"/>
        <i x="3" s="1"/>
        <i x="1" s="1"/>
        <i x="0"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Terms_Completed" sourceName="Terms_Completed">
  <pivotTables>
    <pivotTable tabId="2" name="PivotTable7"/>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2"/>
    <pivotTable tabId="2" name="PivotTable3"/>
    <pivotTable tabId="2" name="PivotTable4"/>
    <pivotTable tabId="2" name="PivotTable5"/>
    <pivotTable tabId="2" name="PivotTable6"/>
    <pivotTable tabId="2" name="PivotTable8"/>
    <pivotTable tabId="2" name="PivotTable9"/>
    <pivotTable tabId="2" name="PivotTable19"/>
  </pivotTables>
  <data>
    <tabular pivotCacheId="1">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ayment_Status" sourceName="Payment_Status">
  <pivotTables>
    <pivotTable tabId="2" name="PivotTable11"/>
    <pivotTable tabId="2" name="PivotTable1"/>
    <pivotTable tabId="2" name="PivotTable10"/>
    <pivotTable tabId="2" name="PivotTable12"/>
    <pivotTable tabId="2" name="PivotTable13"/>
    <pivotTable tabId="2" name="PivotTable14"/>
    <pivotTable tabId="2" name="PivotTable15"/>
    <pivotTable tabId="2" name="PivotTable16"/>
    <pivotTable tabId="2" name="PivotTable17"/>
    <pivotTable tabId="2" name="PivotTable19"/>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Completion_Status" sourceName="Completion_Status">
  <pivotTables>
    <pivotTable tabId="2" name="PivotTable11"/>
    <pivotTable tabId="2" name="PivotTable1"/>
    <pivotTable tabId="2" name="PivotTable10"/>
    <pivotTable tabId="2" name="PivotTable12"/>
    <pivotTable tabId="2" name="PivotTable13"/>
    <pivotTable tabId="2" name="PivotTable14"/>
    <pivotTable tabId="2" name="PivotTable15"/>
    <pivotTable tabId="2" name="PivotTable16"/>
    <pivotTable tabId="2" name="PivotTable17"/>
    <pivotTable tabId="2" name="PivotTable19"/>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Course_Level" sourceName="Course_Level">
  <pivotTables>
    <pivotTable tabId="2" name="PivotTable7"/>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9"/>
    <pivotTable tabId="2" name="PivotTable2"/>
    <pivotTable tabId="2" name="PivotTable3"/>
    <pivotTable tabId="2" name="PivotTable4"/>
    <pivotTable tabId="2" name="PivotTable5"/>
    <pivotTable tabId="2" name="PivotTable6"/>
    <pivotTable tabId="2" name="PivotTable8"/>
    <pivotTable tabId="2" name="PivotTable9"/>
  </pivotTables>
  <data>
    <tabular pivotCacheId="1">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Duration_months" sourceName="Duration_months">
  <pivotTables>
    <pivotTable tabId="2" name="PivotTable7"/>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9"/>
    <pivotTable tabId="2" name="PivotTable2"/>
    <pivotTable tabId="2" name="PivotTable3"/>
    <pivotTable tabId="2" name="PivotTable4"/>
    <pivotTable tabId="2" name="PivotTable5"/>
    <pivotTable tabId="2" name="PivotTable6"/>
    <pivotTable tabId="2" name="PivotTable8"/>
    <pivotTable tabId="2" name="PivotTable9"/>
  </pivotTables>
  <data>
    <tabular pivotCacheId="1">
      <items count="2">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Mode" sourceName="Mode">
  <pivotTables>
    <pivotTable tabId="2" name="PivotTable7"/>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9"/>
    <pivotTable tabId="2" name="PivotTable2"/>
    <pivotTable tabId="2" name="PivotTable3"/>
    <pivotTable tabId="2" name="PivotTable4"/>
    <pivotTable tabId="2" name="PivotTable5"/>
    <pivotTable tabId="2" name="PivotTable6"/>
    <pivotTable tabId="2" name="PivotTable8"/>
    <pivotTable tabId="2" name="PivotTable9"/>
  </pivotTables>
  <data>
    <tabular pivotCacheId="1">
      <items count="3">
        <i x="0" s="1"/>
        <i x="1"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2" name="PivotTable8"/>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9"/>
    <pivotTable tabId="2" name="PivotTable2"/>
    <pivotTable tabId="2" name="PivotTable3"/>
    <pivotTable tabId="2" name="PivotTable4"/>
    <pivotTable tabId="2" name="PivotTable5"/>
    <pivotTable tabId="2" name="PivotTable6"/>
    <pivotTable tabId="2" name="PivotTable7"/>
    <pivotTable tabId="2" name="PivotTable9"/>
  </pivotTables>
  <data>
    <tabular pivotCacheId="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rse_Category 1" cache="Slicer_Course_Category1" caption="Course_Category" columnCount="2" style="SlicerStyleDark4" rowHeight="292608"/>
  <slicer name="Instructor_Name" cache="Slicer_Instructor_Name" caption="Instructor_Name" columnCount="5" style="SlicerStyleDark4" rowHeight="241300"/>
  <slicer name="Nationality" cache="Slicer_Nationality" caption="Nationality" columnCount="2" style="SlicerStyleDark4" rowHeight="256032"/>
  <slicer name="Course_Level 1" cache="Slicer_Course_Level" caption="Course_Level" columnCount="2" style="SlicerStyleDark4" rowHeight="241300"/>
  <slicer name="Months" cache="Slicer_Months" caption="Months" columnCount="4" style="SlicerStyleDark4"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ourse_Category" cache="Slicer_Course_Category1" caption="Course_Category" columnCount="2" style="SlicerStyleDark4" rowHeight="241300"/>
  <slicer name="Terms_Completed" cache="Slicer_Terms_Completed" caption="Terms_Completed" columnCount="3" style="SlicerStyleDark4" rowHeight="241300"/>
  <slicer name="Payment_Status" cache="Slicer_Payment_Status" caption="Payment_Status" style="SlicerStyleDark4" rowHeight="241300"/>
  <slicer name="Completion_Status" cache="Slicer_Completion_Status" caption="Completion_Status" style="SlicerStyleDark4" rowHeight="241300"/>
  <slicer name="Course_Level" cache="Slicer_Course_Level" caption="Course_Level" columnCount="2" style="SlicerStyleDark4" rowHeight="241300"/>
  <slicer name="Duration_months" cache="Slicer_Duration_months" caption="Duration_months" columnCount="2" style="SlicerStyleDark4" rowHeight="241300"/>
  <slicer name="Mode" cache="Slicer_Mode" caption="Mode" columnCount="3" style="SlicerStyleDark4" rowHeight="241300"/>
</slicers>
</file>

<file path=xl/tables/table1.xml><?xml version="1.0" encoding="utf-8"?>
<table xmlns="http://schemas.openxmlformats.org/spreadsheetml/2006/main" id="1" name="Table1" displayName="Table1" ref="A1:R2001" totalsRowShown="0" headerRowDxfId="10" headerRowBorderDxfId="9" tableBorderDxfId="8">
  <autoFilter ref="A1:R2001"/>
  <tableColumns count="18">
    <tableColumn id="1" name="Student_ID"/>
    <tableColumn id="2" name="Enrollment_Date" dataDxfId="7"/>
    <tableColumn id="3" name="Course"/>
    <tableColumn id="4" name="Course_Category"/>
    <tableColumn id="5" name="Course_Level"/>
    <tableColumn id="6" name="Duration_months" dataDxfId="6"/>
    <tableColumn id="7" name="Daily_Learning_Time(hr)" dataDxfId="5"/>
    <tableColumn id="8" name="Course_Fee_AED" dataDxfId="4"/>
    <tableColumn id="9" name="Terms_Completed" dataDxfId="3"/>
    <tableColumn id="10" name="Amount_Paid_AED" dataDxfId="2"/>
    <tableColumn id="11" name="Payment_Status"/>
    <tableColumn id="12" name="Mode"/>
    <tableColumn id="13" name="Branch"/>
    <tableColumn id="14" name="Instructor_Name"/>
    <tableColumn id="15" name="Nationality"/>
    <tableColumn id="16" name="Completion_Status"/>
    <tableColumn id="17" name="pending Revenue" dataDxfId="1">
      <calculatedColumnFormula>Table1[[#This Row],[Course_Fee_AED]]-Table1[[#This Row],[Amount_Paid_AED]]</calculatedColumnFormula>
    </tableColumn>
    <tableColumn id="18" name="Revenue" dataDxfId="0">
      <calculatedColumnFormula>Table1[[#This Row],[Course_Fee_AED]]-Table1[[#This Row],[pending Revenue]]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01"/>
  <sheetViews>
    <sheetView topLeftCell="H1" workbookViewId="0">
      <selection activeCell="A2" sqref="A2"/>
    </sheetView>
  </sheetViews>
  <sheetFormatPr defaultRowHeight="15" x14ac:dyDescent="0.25"/>
  <cols>
    <col min="1" max="1" width="17" customWidth="1"/>
    <col min="2" max="2" width="18.140625" style="2" customWidth="1"/>
    <col min="3" max="3" width="30.42578125" customWidth="1"/>
    <col min="4" max="4" width="22.140625" customWidth="1"/>
    <col min="5" max="5" width="15.28515625" customWidth="1"/>
    <col min="6" max="6" width="19.5703125" style="5" customWidth="1"/>
    <col min="7" max="7" width="25.5703125" style="5" customWidth="1"/>
    <col min="8" max="8" width="18.85546875" style="5" customWidth="1"/>
    <col min="9" max="9" width="19.42578125" style="5" customWidth="1"/>
    <col min="10" max="10" width="19.7109375" style="5" customWidth="1"/>
    <col min="11" max="11" width="17.42578125" customWidth="1"/>
    <col min="13" max="13" width="16.5703125" customWidth="1"/>
    <col min="14" max="14" width="18" customWidth="1"/>
    <col min="15" max="15" width="13" customWidth="1"/>
    <col min="16" max="16" width="20" customWidth="1"/>
    <col min="17" max="17" width="18.85546875" customWidth="1"/>
    <col min="18" max="18" width="14.7109375" customWidth="1"/>
    <col min="19" max="19" width="9.140625" customWidth="1"/>
  </cols>
  <sheetData>
    <row r="1" spans="1:18" x14ac:dyDescent="0.25">
      <c r="A1" s="1" t="s">
        <v>0</v>
      </c>
      <c r="B1" s="36" t="s">
        <v>1</v>
      </c>
      <c r="C1" s="3" t="s">
        <v>2</v>
      </c>
      <c r="D1" s="3" t="s">
        <v>3</v>
      </c>
      <c r="E1" s="3" t="s">
        <v>4</v>
      </c>
      <c r="F1" s="4" t="s">
        <v>2079</v>
      </c>
      <c r="G1" s="4" t="s">
        <v>2080</v>
      </c>
      <c r="H1" s="4" t="s">
        <v>5</v>
      </c>
      <c r="I1" s="4" t="s">
        <v>6</v>
      </c>
      <c r="J1" s="4" t="s">
        <v>7</v>
      </c>
      <c r="K1" s="3" t="s">
        <v>8</v>
      </c>
      <c r="L1" s="3" t="s">
        <v>9</v>
      </c>
      <c r="M1" s="3" t="s">
        <v>10</v>
      </c>
      <c r="N1" s="3" t="s">
        <v>11</v>
      </c>
      <c r="O1" s="3" t="s">
        <v>12</v>
      </c>
      <c r="P1" s="3" t="s">
        <v>13</v>
      </c>
      <c r="Q1" s="6" t="s">
        <v>2081</v>
      </c>
      <c r="R1" s="7" t="s">
        <v>2082</v>
      </c>
    </row>
    <row r="2" spans="1:18" x14ac:dyDescent="0.25">
      <c r="A2" t="s">
        <v>14</v>
      </c>
      <c r="B2" s="2">
        <v>45334</v>
      </c>
      <c r="C2" t="s">
        <v>15</v>
      </c>
      <c r="D2" t="s">
        <v>16</v>
      </c>
      <c r="E2" t="s">
        <v>17</v>
      </c>
      <c r="F2" s="5">
        <v>6</v>
      </c>
      <c r="G2" s="5">
        <v>1</v>
      </c>
      <c r="H2" s="5">
        <v>7038</v>
      </c>
      <c r="I2" s="5">
        <v>1</v>
      </c>
      <c r="J2" s="5">
        <v>2346</v>
      </c>
      <c r="K2" t="s">
        <v>18</v>
      </c>
      <c r="L2" t="s">
        <v>19</v>
      </c>
      <c r="M2" t="s">
        <v>20</v>
      </c>
      <c r="N2" t="s">
        <v>21</v>
      </c>
      <c r="O2" t="s">
        <v>22</v>
      </c>
      <c r="P2" t="s">
        <v>18</v>
      </c>
      <c r="Q2">
        <f>Table1[[#This Row],[Course_Fee_AED]]-Table1[[#This Row],[Amount_Paid_AED]]</f>
        <v>4692</v>
      </c>
      <c r="R2" s="8">
        <f>Table1[[#This Row],[Course_Fee_AED]]-Table1[[#This Row],[pending Revenue]]</f>
        <v>2346</v>
      </c>
    </row>
    <row r="3" spans="1:18" x14ac:dyDescent="0.25">
      <c r="A3" t="s">
        <v>23</v>
      </c>
      <c r="B3" s="2">
        <v>45600</v>
      </c>
      <c r="C3" t="s">
        <v>24</v>
      </c>
      <c r="D3" t="s">
        <v>25</v>
      </c>
      <c r="E3" t="s">
        <v>26</v>
      </c>
      <c r="F3" s="5">
        <v>3</v>
      </c>
      <c r="G3" s="5">
        <v>1</v>
      </c>
      <c r="H3" s="5">
        <v>4521</v>
      </c>
      <c r="I3" s="5">
        <v>3</v>
      </c>
      <c r="J3" s="5">
        <v>4521</v>
      </c>
      <c r="K3" t="s">
        <v>33</v>
      </c>
      <c r="L3" t="s">
        <v>19</v>
      </c>
      <c r="M3" t="s">
        <v>27</v>
      </c>
      <c r="N3" t="s">
        <v>28</v>
      </c>
      <c r="O3" t="s">
        <v>29</v>
      </c>
      <c r="P3" t="s">
        <v>18</v>
      </c>
      <c r="Q3">
        <f>Table1[[#This Row],[Course_Fee_AED]]-Table1[[#This Row],[Amount_Paid_AED]]</f>
        <v>0</v>
      </c>
      <c r="R3">
        <f>Table1[[#This Row],[Course_Fee_AED]]-Table1[[#This Row],[pending Revenue]]</f>
        <v>4521</v>
      </c>
    </row>
    <row r="4" spans="1:18" x14ac:dyDescent="0.25">
      <c r="A4" t="s">
        <v>30</v>
      </c>
      <c r="B4" s="2">
        <v>45649</v>
      </c>
      <c r="C4" t="s">
        <v>31</v>
      </c>
      <c r="D4" t="s">
        <v>32</v>
      </c>
      <c r="E4" t="s">
        <v>26</v>
      </c>
      <c r="F4" s="5">
        <v>3</v>
      </c>
      <c r="G4" s="5">
        <v>1</v>
      </c>
      <c r="H4" s="5">
        <v>7086</v>
      </c>
      <c r="I4" s="5">
        <v>3</v>
      </c>
      <c r="J4" s="5">
        <v>7086</v>
      </c>
      <c r="K4" t="s">
        <v>33</v>
      </c>
      <c r="L4" t="s">
        <v>19</v>
      </c>
      <c r="M4" t="s">
        <v>20</v>
      </c>
      <c r="N4" t="s">
        <v>34</v>
      </c>
      <c r="O4" t="s">
        <v>35</v>
      </c>
      <c r="P4" t="s">
        <v>36</v>
      </c>
      <c r="Q4">
        <f>Table1[[#This Row],[Course_Fee_AED]]-Table1[[#This Row],[Amount_Paid_AED]]</f>
        <v>0</v>
      </c>
      <c r="R4">
        <f>Table1[[#This Row],[Course_Fee_AED]]-Table1[[#This Row],[pending Revenue]]</f>
        <v>7086</v>
      </c>
    </row>
    <row r="5" spans="1:18" x14ac:dyDescent="0.25">
      <c r="A5" t="s">
        <v>37</v>
      </c>
      <c r="B5" s="2">
        <v>45578</v>
      </c>
      <c r="C5" t="s">
        <v>38</v>
      </c>
      <c r="D5" t="s">
        <v>39</v>
      </c>
      <c r="E5" t="s">
        <v>17</v>
      </c>
      <c r="F5" s="5">
        <v>6</v>
      </c>
      <c r="G5" s="5">
        <v>1</v>
      </c>
      <c r="H5" s="5">
        <v>4791</v>
      </c>
      <c r="I5" s="5">
        <v>3</v>
      </c>
      <c r="J5" s="5">
        <v>4791</v>
      </c>
      <c r="K5" t="s">
        <v>33</v>
      </c>
      <c r="L5" t="s">
        <v>40</v>
      </c>
      <c r="M5" t="s">
        <v>41</v>
      </c>
      <c r="N5" t="s">
        <v>42</v>
      </c>
      <c r="O5" t="s">
        <v>43</v>
      </c>
      <c r="P5" t="s">
        <v>18</v>
      </c>
      <c r="Q5">
        <f>Table1[[#This Row],[Course_Fee_AED]]-Table1[[#This Row],[Amount_Paid_AED]]</f>
        <v>0</v>
      </c>
      <c r="R5">
        <f>Table1[[#This Row],[Course_Fee_AED]]-Table1[[#This Row],[pending Revenue]]</f>
        <v>4791</v>
      </c>
    </row>
    <row r="6" spans="1:18" x14ac:dyDescent="0.25">
      <c r="A6" t="s">
        <v>44</v>
      </c>
      <c r="B6" s="2">
        <v>45352</v>
      </c>
      <c r="C6" t="s">
        <v>45</v>
      </c>
      <c r="D6" t="s">
        <v>46</v>
      </c>
      <c r="E6" t="s">
        <v>17</v>
      </c>
      <c r="F6" s="5">
        <v>6</v>
      </c>
      <c r="G6" s="5">
        <v>1</v>
      </c>
      <c r="H6" s="5">
        <v>4375</v>
      </c>
      <c r="I6" s="5">
        <v>3</v>
      </c>
      <c r="J6" s="5">
        <v>4374</v>
      </c>
      <c r="K6" t="s">
        <v>18</v>
      </c>
      <c r="L6" t="s">
        <v>19</v>
      </c>
      <c r="M6" t="s">
        <v>47</v>
      </c>
      <c r="N6" t="s">
        <v>48</v>
      </c>
      <c r="O6" t="s">
        <v>49</v>
      </c>
      <c r="P6" t="s">
        <v>36</v>
      </c>
      <c r="Q6">
        <f>Table1[[#This Row],[Course_Fee_AED]]-Table1[[#This Row],[Amount_Paid_AED]]</f>
        <v>1</v>
      </c>
      <c r="R6">
        <f>Table1[[#This Row],[Course_Fee_AED]]-Table1[[#This Row],[pending Revenue]]</f>
        <v>4374</v>
      </c>
    </row>
    <row r="7" spans="1:18" x14ac:dyDescent="0.25">
      <c r="A7" t="s">
        <v>50</v>
      </c>
      <c r="B7" s="2">
        <v>45581</v>
      </c>
      <c r="C7" t="s">
        <v>51</v>
      </c>
      <c r="D7" t="s">
        <v>52</v>
      </c>
      <c r="E7" t="s">
        <v>26</v>
      </c>
      <c r="F7" s="5">
        <v>3</v>
      </c>
      <c r="G7" s="5">
        <v>1</v>
      </c>
      <c r="H7" s="5">
        <v>4903</v>
      </c>
      <c r="I7" s="5">
        <v>3</v>
      </c>
      <c r="J7" s="5">
        <v>4902</v>
      </c>
      <c r="K7" t="s">
        <v>18</v>
      </c>
      <c r="L7" t="s">
        <v>40</v>
      </c>
      <c r="M7" t="s">
        <v>27</v>
      </c>
      <c r="N7" t="s">
        <v>53</v>
      </c>
      <c r="O7" t="s">
        <v>43</v>
      </c>
      <c r="P7" t="s">
        <v>36</v>
      </c>
      <c r="Q7">
        <f>Table1[[#This Row],[Course_Fee_AED]]-Table1[[#This Row],[Amount_Paid_AED]]</f>
        <v>1</v>
      </c>
      <c r="R7">
        <f>Table1[[#This Row],[Course_Fee_AED]]-Table1[[#This Row],[pending Revenue]]</f>
        <v>4902</v>
      </c>
    </row>
    <row r="8" spans="1:18" x14ac:dyDescent="0.25">
      <c r="A8" t="s">
        <v>54</v>
      </c>
      <c r="B8" s="2">
        <v>45509</v>
      </c>
      <c r="C8" t="s">
        <v>55</v>
      </c>
      <c r="D8" t="s">
        <v>56</v>
      </c>
      <c r="E8" t="s">
        <v>26</v>
      </c>
      <c r="F8" s="5">
        <v>3</v>
      </c>
      <c r="G8" s="5">
        <v>1</v>
      </c>
      <c r="H8" s="5">
        <v>7758</v>
      </c>
      <c r="I8" s="5">
        <v>1</v>
      </c>
      <c r="J8" s="5">
        <v>2586</v>
      </c>
      <c r="K8" t="s">
        <v>18</v>
      </c>
      <c r="L8" t="s">
        <v>57</v>
      </c>
      <c r="M8" t="s">
        <v>27</v>
      </c>
      <c r="N8" t="s">
        <v>28</v>
      </c>
      <c r="O8" t="s">
        <v>58</v>
      </c>
      <c r="P8" t="s">
        <v>36</v>
      </c>
      <c r="Q8">
        <f>Table1[[#This Row],[Course_Fee_AED]]-Table1[[#This Row],[Amount_Paid_AED]]</f>
        <v>5172</v>
      </c>
      <c r="R8">
        <f>Table1[[#This Row],[Course_Fee_AED]]-Table1[[#This Row],[pending Revenue]]</f>
        <v>2586</v>
      </c>
    </row>
    <row r="9" spans="1:18" x14ac:dyDescent="0.25">
      <c r="A9" t="s">
        <v>59</v>
      </c>
      <c r="B9" s="2">
        <v>45328</v>
      </c>
      <c r="C9" t="s">
        <v>45</v>
      </c>
      <c r="D9" t="s">
        <v>46</v>
      </c>
      <c r="E9" t="s">
        <v>17</v>
      </c>
      <c r="F9" s="5">
        <v>6</v>
      </c>
      <c r="G9" s="5">
        <v>1</v>
      </c>
      <c r="H9" s="5">
        <v>5096</v>
      </c>
      <c r="I9" s="5">
        <v>3</v>
      </c>
      <c r="J9" s="5">
        <v>5094</v>
      </c>
      <c r="K9" t="s">
        <v>18</v>
      </c>
      <c r="L9" t="s">
        <v>57</v>
      </c>
      <c r="M9" t="s">
        <v>60</v>
      </c>
      <c r="N9" t="s">
        <v>61</v>
      </c>
      <c r="O9" t="s">
        <v>49</v>
      </c>
      <c r="P9" t="s">
        <v>36</v>
      </c>
      <c r="Q9">
        <f>Table1[[#This Row],[Course_Fee_AED]]-Table1[[#This Row],[Amount_Paid_AED]]</f>
        <v>2</v>
      </c>
      <c r="R9">
        <f>Table1[[#This Row],[Course_Fee_AED]]-Table1[[#This Row],[pending Revenue]]</f>
        <v>5094</v>
      </c>
    </row>
    <row r="10" spans="1:18" x14ac:dyDescent="0.25">
      <c r="A10" t="s">
        <v>62</v>
      </c>
      <c r="B10" s="2">
        <v>45625</v>
      </c>
      <c r="C10" t="s">
        <v>24</v>
      </c>
      <c r="D10" t="s">
        <v>25</v>
      </c>
      <c r="E10" t="s">
        <v>26</v>
      </c>
      <c r="F10" s="5">
        <v>3</v>
      </c>
      <c r="G10" s="5">
        <v>1</v>
      </c>
      <c r="H10" s="5">
        <v>6797</v>
      </c>
      <c r="I10" s="5">
        <v>2</v>
      </c>
      <c r="J10" s="5">
        <v>4530</v>
      </c>
      <c r="K10" t="s">
        <v>18</v>
      </c>
      <c r="L10" t="s">
        <v>57</v>
      </c>
      <c r="M10" t="s">
        <v>63</v>
      </c>
      <c r="N10" t="s">
        <v>28</v>
      </c>
      <c r="O10" t="s">
        <v>64</v>
      </c>
      <c r="P10" t="s">
        <v>36</v>
      </c>
      <c r="Q10">
        <f>Table1[[#This Row],[Course_Fee_AED]]-Table1[[#This Row],[Amount_Paid_AED]]</f>
        <v>2267</v>
      </c>
      <c r="R10">
        <f>Table1[[#This Row],[Course_Fee_AED]]-Table1[[#This Row],[pending Revenue]]</f>
        <v>4530</v>
      </c>
    </row>
    <row r="11" spans="1:18" x14ac:dyDescent="0.25">
      <c r="A11" t="s">
        <v>65</v>
      </c>
      <c r="B11" s="2">
        <v>45491</v>
      </c>
      <c r="C11" t="s">
        <v>66</v>
      </c>
      <c r="D11" t="s">
        <v>56</v>
      </c>
      <c r="E11" t="s">
        <v>17</v>
      </c>
      <c r="F11" s="5">
        <v>6</v>
      </c>
      <c r="G11" s="5">
        <v>1</v>
      </c>
      <c r="H11" s="5">
        <v>7620</v>
      </c>
      <c r="I11" s="5">
        <v>2</v>
      </c>
      <c r="J11" s="5">
        <v>5080</v>
      </c>
      <c r="K11" t="s">
        <v>18</v>
      </c>
      <c r="L11" t="s">
        <v>19</v>
      </c>
      <c r="M11" t="s">
        <v>47</v>
      </c>
      <c r="N11" t="s">
        <v>48</v>
      </c>
      <c r="O11" t="s">
        <v>43</v>
      </c>
      <c r="P11" t="s">
        <v>18</v>
      </c>
      <c r="Q11">
        <f>Table1[[#This Row],[Course_Fee_AED]]-Table1[[#This Row],[Amount_Paid_AED]]</f>
        <v>2540</v>
      </c>
      <c r="R11">
        <f>Table1[[#This Row],[Course_Fee_AED]]-Table1[[#This Row],[pending Revenue]]</f>
        <v>5080</v>
      </c>
    </row>
    <row r="12" spans="1:18" x14ac:dyDescent="0.25">
      <c r="A12" t="s">
        <v>67</v>
      </c>
      <c r="B12" s="2">
        <v>45347</v>
      </c>
      <c r="C12" t="s">
        <v>51</v>
      </c>
      <c r="D12" t="s">
        <v>52</v>
      </c>
      <c r="E12" t="s">
        <v>26</v>
      </c>
      <c r="F12" s="5">
        <v>3</v>
      </c>
      <c r="G12" s="5">
        <v>1</v>
      </c>
      <c r="H12" s="5">
        <v>4177</v>
      </c>
      <c r="I12" s="5">
        <v>2</v>
      </c>
      <c r="J12" s="5">
        <v>2784</v>
      </c>
      <c r="K12" t="s">
        <v>18</v>
      </c>
      <c r="L12" t="s">
        <v>40</v>
      </c>
      <c r="M12" t="s">
        <v>47</v>
      </c>
      <c r="N12" t="s">
        <v>28</v>
      </c>
      <c r="O12" t="s">
        <v>68</v>
      </c>
      <c r="P12" t="s">
        <v>36</v>
      </c>
      <c r="Q12">
        <f>Table1[[#This Row],[Course_Fee_AED]]-Table1[[#This Row],[Amount_Paid_AED]]</f>
        <v>1393</v>
      </c>
      <c r="R12">
        <f>Table1[[#This Row],[Course_Fee_AED]]-Table1[[#This Row],[pending Revenue]]</f>
        <v>2784</v>
      </c>
    </row>
    <row r="13" spans="1:18" x14ac:dyDescent="0.25">
      <c r="A13" t="s">
        <v>69</v>
      </c>
      <c r="B13" s="2">
        <v>45310</v>
      </c>
      <c r="C13" t="s">
        <v>38</v>
      </c>
      <c r="D13" t="s">
        <v>39</v>
      </c>
      <c r="E13" t="s">
        <v>17</v>
      </c>
      <c r="F13" s="5">
        <v>6</v>
      </c>
      <c r="G13" s="5">
        <v>1</v>
      </c>
      <c r="H13" s="5">
        <v>4589</v>
      </c>
      <c r="I13" s="5">
        <v>3</v>
      </c>
      <c r="J13" s="5">
        <v>4587</v>
      </c>
      <c r="K13" t="s">
        <v>18</v>
      </c>
      <c r="L13" t="s">
        <v>19</v>
      </c>
      <c r="M13" t="s">
        <v>47</v>
      </c>
      <c r="N13" t="s">
        <v>70</v>
      </c>
      <c r="O13" t="s">
        <v>71</v>
      </c>
      <c r="P13" t="s">
        <v>18</v>
      </c>
      <c r="Q13">
        <f>Table1[[#This Row],[Course_Fee_AED]]-Table1[[#This Row],[Amount_Paid_AED]]</f>
        <v>2</v>
      </c>
      <c r="R13">
        <f>Table1[[#This Row],[Course_Fee_AED]]-Table1[[#This Row],[pending Revenue]]</f>
        <v>4587</v>
      </c>
    </row>
    <row r="14" spans="1:18" x14ac:dyDescent="0.25">
      <c r="A14" t="s">
        <v>72</v>
      </c>
      <c r="B14" s="2">
        <v>45510</v>
      </c>
      <c r="C14" t="s">
        <v>45</v>
      </c>
      <c r="D14" t="s">
        <v>46</v>
      </c>
      <c r="E14" t="s">
        <v>26</v>
      </c>
      <c r="F14" s="5">
        <v>3</v>
      </c>
      <c r="G14" s="5">
        <v>1</v>
      </c>
      <c r="H14" s="5">
        <v>6303</v>
      </c>
      <c r="I14" s="5">
        <v>3</v>
      </c>
      <c r="J14" s="5">
        <v>6303</v>
      </c>
      <c r="K14" t="s">
        <v>33</v>
      </c>
      <c r="L14" t="s">
        <v>40</v>
      </c>
      <c r="M14" t="s">
        <v>20</v>
      </c>
      <c r="N14" t="s">
        <v>73</v>
      </c>
      <c r="O14" t="s">
        <v>71</v>
      </c>
      <c r="P14" t="s">
        <v>18</v>
      </c>
      <c r="Q14">
        <f>Table1[[#This Row],[Course_Fee_AED]]-Table1[[#This Row],[Amount_Paid_AED]]</f>
        <v>0</v>
      </c>
      <c r="R14">
        <f>Table1[[#This Row],[Course_Fee_AED]]-Table1[[#This Row],[pending Revenue]]</f>
        <v>6303</v>
      </c>
    </row>
    <row r="15" spans="1:18" x14ac:dyDescent="0.25">
      <c r="A15" t="s">
        <v>74</v>
      </c>
      <c r="B15" s="2">
        <v>45372</v>
      </c>
      <c r="C15" t="s">
        <v>75</v>
      </c>
      <c r="D15" t="s">
        <v>76</v>
      </c>
      <c r="E15" t="s">
        <v>17</v>
      </c>
      <c r="F15" s="5">
        <v>6</v>
      </c>
      <c r="G15" s="5">
        <v>1</v>
      </c>
      <c r="H15" s="5">
        <v>10582</v>
      </c>
      <c r="I15" s="5">
        <v>3</v>
      </c>
      <c r="J15" s="5">
        <v>10581</v>
      </c>
      <c r="K15" t="s">
        <v>18</v>
      </c>
      <c r="L15" t="s">
        <v>40</v>
      </c>
      <c r="M15" t="s">
        <v>20</v>
      </c>
      <c r="N15" t="s">
        <v>61</v>
      </c>
      <c r="O15" t="s">
        <v>71</v>
      </c>
      <c r="P15" t="s">
        <v>36</v>
      </c>
      <c r="Q15">
        <f>Table1[[#This Row],[Course_Fee_AED]]-Table1[[#This Row],[Amount_Paid_AED]]</f>
        <v>1</v>
      </c>
      <c r="R15">
        <f>Table1[[#This Row],[Course_Fee_AED]]-Table1[[#This Row],[pending Revenue]]</f>
        <v>10581</v>
      </c>
    </row>
    <row r="16" spans="1:18" x14ac:dyDescent="0.25">
      <c r="A16" t="s">
        <v>77</v>
      </c>
      <c r="B16" s="2">
        <v>45447</v>
      </c>
      <c r="C16" t="s">
        <v>38</v>
      </c>
      <c r="D16" t="s">
        <v>39</v>
      </c>
      <c r="E16" t="s">
        <v>17</v>
      </c>
      <c r="F16" s="5">
        <v>6</v>
      </c>
      <c r="G16" s="5">
        <v>1</v>
      </c>
      <c r="H16" s="5">
        <v>6858</v>
      </c>
      <c r="I16" s="5">
        <v>2</v>
      </c>
      <c r="J16" s="5">
        <v>4572</v>
      </c>
      <c r="K16" t="s">
        <v>18</v>
      </c>
      <c r="L16" t="s">
        <v>40</v>
      </c>
      <c r="M16" t="s">
        <v>47</v>
      </c>
      <c r="N16" t="s">
        <v>53</v>
      </c>
      <c r="O16" t="s">
        <v>49</v>
      </c>
      <c r="P16" t="s">
        <v>36</v>
      </c>
      <c r="Q16">
        <f>Table1[[#This Row],[Course_Fee_AED]]-Table1[[#This Row],[Amount_Paid_AED]]</f>
        <v>2286</v>
      </c>
      <c r="R16">
        <f>Table1[[#This Row],[Course_Fee_AED]]-Table1[[#This Row],[pending Revenue]]</f>
        <v>4572</v>
      </c>
    </row>
    <row r="17" spans="1:18" x14ac:dyDescent="0.25">
      <c r="A17" t="s">
        <v>78</v>
      </c>
      <c r="B17" s="2">
        <v>45457</v>
      </c>
      <c r="C17" t="s">
        <v>38</v>
      </c>
      <c r="D17" t="s">
        <v>39</v>
      </c>
      <c r="E17" t="s">
        <v>26</v>
      </c>
      <c r="F17" s="5">
        <v>3</v>
      </c>
      <c r="G17" s="5">
        <v>1</v>
      </c>
      <c r="H17" s="5">
        <v>4093</v>
      </c>
      <c r="I17" s="5">
        <v>3</v>
      </c>
      <c r="J17" s="5">
        <v>4092</v>
      </c>
      <c r="K17" t="s">
        <v>18</v>
      </c>
      <c r="L17" t="s">
        <v>19</v>
      </c>
      <c r="M17" t="s">
        <v>41</v>
      </c>
      <c r="N17" t="s">
        <v>79</v>
      </c>
      <c r="O17" t="s">
        <v>35</v>
      </c>
      <c r="P17" t="s">
        <v>36</v>
      </c>
      <c r="Q17">
        <f>Table1[[#This Row],[Course_Fee_AED]]-Table1[[#This Row],[Amount_Paid_AED]]</f>
        <v>1</v>
      </c>
      <c r="R17">
        <f>Table1[[#This Row],[Course_Fee_AED]]-Table1[[#This Row],[pending Revenue]]</f>
        <v>4092</v>
      </c>
    </row>
    <row r="18" spans="1:18" x14ac:dyDescent="0.25">
      <c r="A18" t="s">
        <v>80</v>
      </c>
      <c r="B18" s="2">
        <v>45412</v>
      </c>
      <c r="C18" t="s">
        <v>51</v>
      </c>
      <c r="D18" t="s">
        <v>52</v>
      </c>
      <c r="E18" t="s">
        <v>26</v>
      </c>
      <c r="F18" s="5">
        <v>3</v>
      </c>
      <c r="G18" s="5">
        <v>1</v>
      </c>
      <c r="H18" s="5">
        <v>3780</v>
      </c>
      <c r="I18" s="5">
        <v>3</v>
      </c>
      <c r="J18" s="5">
        <v>3780</v>
      </c>
      <c r="K18" t="s">
        <v>33</v>
      </c>
      <c r="L18" t="s">
        <v>19</v>
      </c>
      <c r="M18" t="s">
        <v>27</v>
      </c>
      <c r="N18" t="s">
        <v>79</v>
      </c>
      <c r="O18" t="s">
        <v>68</v>
      </c>
      <c r="P18" t="s">
        <v>18</v>
      </c>
      <c r="Q18">
        <f>Table1[[#This Row],[Course_Fee_AED]]-Table1[[#This Row],[Amount_Paid_AED]]</f>
        <v>0</v>
      </c>
      <c r="R18">
        <f>Table1[[#This Row],[Course_Fee_AED]]-Table1[[#This Row],[pending Revenue]]</f>
        <v>3780</v>
      </c>
    </row>
    <row r="19" spans="1:18" x14ac:dyDescent="0.25">
      <c r="A19" t="s">
        <v>81</v>
      </c>
      <c r="B19" s="2">
        <v>45491</v>
      </c>
      <c r="C19" t="s">
        <v>82</v>
      </c>
      <c r="D19" t="s">
        <v>83</v>
      </c>
      <c r="E19" t="s">
        <v>17</v>
      </c>
      <c r="F19" s="5">
        <v>6</v>
      </c>
      <c r="G19" s="5">
        <v>1</v>
      </c>
      <c r="H19" s="5">
        <v>14004</v>
      </c>
      <c r="I19" s="5">
        <v>2</v>
      </c>
      <c r="J19" s="5">
        <v>9336</v>
      </c>
      <c r="K19" t="s">
        <v>18</v>
      </c>
      <c r="L19" t="s">
        <v>57</v>
      </c>
      <c r="M19" t="s">
        <v>47</v>
      </c>
      <c r="N19" t="s">
        <v>34</v>
      </c>
      <c r="O19" t="s">
        <v>43</v>
      </c>
      <c r="P19" t="s">
        <v>18</v>
      </c>
      <c r="Q19">
        <f>Table1[[#This Row],[Course_Fee_AED]]-Table1[[#This Row],[Amount_Paid_AED]]</f>
        <v>4668</v>
      </c>
      <c r="R19">
        <f>Table1[[#This Row],[Course_Fee_AED]]-Table1[[#This Row],[pending Revenue]]</f>
        <v>9336</v>
      </c>
    </row>
    <row r="20" spans="1:18" x14ac:dyDescent="0.25">
      <c r="A20" t="s">
        <v>84</v>
      </c>
      <c r="B20" s="2">
        <v>45403</v>
      </c>
      <c r="C20" t="s">
        <v>15</v>
      </c>
      <c r="D20" t="s">
        <v>16</v>
      </c>
      <c r="E20" t="s">
        <v>17</v>
      </c>
      <c r="F20" s="5">
        <v>6</v>
      </c>
      <c r="G20" s="5">
        <v>1</v>
      </c>
      <c r="H20" s="5">
        <v>7480</v>
      </c>
      <c r="I20" s="5">
        <v>2</v>
      </c>
      <c r="J20" s="5">
        <v>4986</v>
      </c>
      <c r="K20" t="s">
        <v>18</v>
      </c>
      <c r="L20" t="s">
        <v>40</v>
      </c>
      <c r="M20" t="s">
        <v>27</v>
      </c>
      <c r="N20" t="s">
        <v>21</v>
      </c>
      <c r="O20" t="s">
        <v>43</v>
      </c>
      <c r="P20" t="s">
        <v>36</v>
      </c>
      <c r="Q20">
        <f>Table1[[#This Row],[Course_Fee_AED]]-Table1[[#This Row],[Amount_Paid_AED]]</f>
        <v>2494</v>
      </c>
      <c r="R20">
        <f>Table1[[#This Row],[Course_Fee_AED]]-Table1[[#This Row],[pending Revenue]]</f>
        <v>4986</v>
      </c>
    </row>
    <row r="21" spans="1:18" x14ac:dyDescent="0.25">
      <c r="A21" t="s">
        <v>85</v>
      </c>
      <c r="B21" s="2">
        <v>45521</v>
      </c>
      <c r="C21" t="s">
        <v>51</v>
      </c>
      <c r="D21" t="s">
        <v>52</v>
      </c>
      <c r="E21" t="s">
        <v>26</v>
      </c>
      <c r="F21" s="5">
        <v>3</v>
      </c>
      <c r="G21" s="5">
        <v>1</v>
      </c>
      <c r="H21" s="5">
        <v>5352</v>
      </c>
      <c r="I21" s="5">
        <v>2</v>
      </c>
      <c r="J21" s="5">
        <v>3568</v>
      </c>
      <c r="K21" t="s">
        <v>18</v>
      </c>
      <c r="L21" t="s">
        <v>19</v>
      </c>
      <c r="M21" t="s">
        <v>27</v>
      </c>
      <c r="N21" t="s">
        <v>86</v>
      </c>
      <c r="O21" t="s">
        <v>87</v>
      </c>
      <c r="P21" t="s">
        <v>18</v>
      </c>
      <c r="Q21">
        <f>Table1[[#This Row],[Course_Fee_AED]]-Table1[[#This Row],[Amount_Paid_AED]]</f>
        <v>1784</v>
      </c>
      <c r="R21">
        <f>Table1[[#This Row],[Course_Fee_AED]]-Table1[[#This Row],[pending Revenue]]</f>
        <v>3568</v>
      </c>
    </row>
    <row r="22" spans="1:18" x14ac:dyDescent="0.25">
      <c r="A22" t="s">
        <v>88</v>
      </c>
      <c r="B22" s="2">
        <v>45338</v>
      </c>
      <c r="C22" t="s">
        <v>24</v>
      </c>
      <c r="D22" t="s">
        <v>25</v>
      </c>
      <c r="E22" t="s">
        <v>26</v>
      </c>
      <c r="F22" s="5">
        <v>3</v>
      </c>
      <c r="G22" s="5">
        <v>1</v>
      </c>
      <c r="H22" s="5">
        <v>4608</v>
      </c>
      <c r="I22" s="5">
        <v>1</v>
      </c>
      <c r="J22" s="5">
        <v>1536</v>
      </c>
      <c r="K22" t="s">
        <v>18</v>
      </c>
      <c r="L22" t="s">
        <v>19</v>
      </c>
      <c r="M22" t="s">
        <v>60</v>
      </c>
      <c r="N22" t="s">
        <v>70</v>
      </c>
      <c r="O22" t="s">
        <v>58</v>
      </c>
      <c r="P22" t="s">
        <v>36</v>
      </c>
      <c r="Q22">
        <f>Table1[[#This Row],[Course_Fee_AED]]-Table1[[#This Row],[Amount_Paid_AED]]</f>
        <v>3072</v>
      </c>
      <c r="R22">
        <f>Table1[[#This Row],[Course_Fee_AED]]-Table1[[#This Row],[pending Revenue]]</f>
        <v>1536</v>
      </c>
    </row>
    <row r="23" spans="1:18" x14ac:dyDescent="0.25">
      <c r="A23" t="s">
        <v>89</v>
      </c>
      <c r="B23" s="2">
        <v>45343</v>
      </c>
      <c r="C23" t="s">
        <v>24</v>
      </c>
      <c r="D23" t="s">
        <v>25</v>
      </c>
      <c r="E23" t="s">
        <v>17</v>
      </c>
      <c r="F23" s="5">
        <v>6</v>
      </c>
      <c r="G23" s="5">
        <v>1</v>
      </c>
      <c r="H23" s="5">
        <v>6967</v>
      </c>
      <c r="I23" s="5">
        <v>2</v>
      </c>
      <c r="J23" s="5">
        <v>4644</v>
      </c>
      <c r="K23" t="s">
        <v>18</v>
      </c>
      <c r="L23" t="s">
        <v>19</v>
      </c>
      <c r="M23" t="s">
        <v>27</v>
      </c>
      <c r="N23" t="s">
        <v>90</v>
      </c>
      <c r="O23" t="s">
        <v>29</v>
      </c>
      <c r="P23" t="s">
        <v>18</v>
      </c>
      <c r="Q23">
        <f>Table1[[#This Row],[Course_Fee_AED]]-Table1[[#This Row],[Amount_Paid_AED]]</f>
        <v>2323</v>
      </c>
      <c r="R23">
        <f>Table1[[#This Row],[Course_Fee_AED]]-Table1[[#This Row],[pending Revenue]]</f>
        <v>4644</v>
      </c>
    </row>
    <row r="24" spans="1:18" x14ac:dyDescent="0.25">
      <c r="A24" t="s">
        <v>91</v>
      </c>
      <c r="B24" s="2">
        <v>45598</v>
      </c>
      <c r="C24" t="s">
        <v>92</v>
      </c>
      <c r="D24" t="s">
        <v>93</v>
      </c>
      <c r="E24" t="s">
        <v>17</v>
      </c>
      <c r="F24" s="5">
        <v>6</v>
      </c>
      <c r="G24" s="5">
        <v>1</v>
      </c>
      <c r="H24" s="5">
        <v>5238</v>
      </c>
      <c r="I24" s="5">
        <v>3</v>
      </c>
      <c r="J24" s="5">
        <v>5238</v>
      </c>
      <c r="K24" t="s">
        <v>33</v>
      </c>
      <c r="L24" t="s">
        <v>57</v>
      </c>
      <c r="M24" t="s">
        <v>60</v>
      </c>
      <c r="N24" t="s">
        <v>70</v>
      </c>
      <c r="O24" t="s">
        <v>43</v>
      </c>
      <c r="P24" t="s">
        <v>36</v>
      </c>
      <c r="Q24">
        <f>Table1[[#This Row],[Course_Fee_AED]]-Table1[[#This Row],[Amount_Paid_AED]]</f>
        <v>0</v>
      </c>
      <c r="R24">
        <f>Table1[[#This Row],[Course_Fee_AED]]-Table1[[#This Row],[pending Revenue]]</f>
        <v>5238</v>
      </c>
    </row>
    <row r="25" spans="1:18" x14ac:dyDescent="0.25">
      <c r="A25" t="s">
        <v>94</v>
      </c>
      <c r="B25" s="2">
        <v>45643</v>
      </c>
      <c r="C25" t="s">
        <v>82</v>
      </c>
      <c r="D25" t="s">
        <v>83</v>
      </c>
      <c r="E25" t="s">
        <v>26</v>
      </c>
      <c r="F25" s="5">
        <v>3</v>
      </c>
      <c r="G25" s="5">
        <v>1</v>
      </c>
      <c r="H25" s="5">
        <v>8124</v>
      </c>
      <c r="I25" s="5">
        <v>1</v>
      </c>
      <c r="J25" s="5">
        <v>2708</v>
      </c>
      <c r="K25" t="s">
        <v>18</v>
      </c>
      <c r="L25" t="s">
        <v>40</v>
      </c>
      <c r="M25" t="s">
        <v>20</v>
      </c>
      <c r="N25" t="s">
        <v>95</v>
      </c>
      <c r="O25" t="s">
        <v>87</v>
      </c>
      <c r="P25" t="s">
        <v>36</v>
      </c>
      <c r="Q25">
        <f>Table1[[#This Row],[Course_Fee_AED]]-Table1[[#This Row],[Amount_Paid_AED]]</f>
        <v>5416</v>
      </c>
      <c r="R25">
        <f>Table1[[#This Row],[Course_Fee_AED]]-Table1[[#This Row],[pending Revenue]]</f>
        <v>2708</v>
      </c>
    </row>
    <row r="26" spans="1:18" x14ac:dyDescent="0.25">
      <c r="A26" t="s">
        <v>96</v>
      </c>
      <c r="B26" s="2">
        <v>45567</v>
      </c>
      <c r="C26" t="s">
        <v>24</v>
      </c>
      <c r="D26" t="s">
        <v>25</v>
      </c>
      <c r="E26" t="s">
        <v>26</v>
      </c>
      <c r="F26" s="5">
        <v>3</v>
      </c>
      <c r="G26" s="5">
        <v>1</v>
      </c>
      <c r="H26" s="5">
        <v>5716</v>
      </c>
      <c r="I26" s="5">
        <v>2</v>
      </c>
      <c r="J26" s="5">
        <v>3810</v>
      </c>
      <c r="K26" t="s">
        <v>18</v>
      </c>
      <c r="L26" t="s">
        <v>19</v>
      </c>
      <c r="M26" t="s">
        <v>41</v>
      </c>
      <c r="N26" t="s">
        <v>53</v>
      </c>
      <c r="O26" t="s">
        <v>43</v>
      </c>
      <c r="P26" t="s">
        <v>36</v>
      </c>
      <c r="Q26">
        <f>Table1[[#This Row],[Course_Fee_AED]]-Table1[[#This Row],[Amount_Paid_AED]]</f>
        <v>1906</v>
      </c>
      <c r="R26">
        <f>Table1[[#This Row],[Course_Fee_AED]]-Table1[[#This Row],[pending Revenue]]</f>
        <v>3810</v>
      </c>
    </row>
    <row r="27" spans="1:18" x14ac:dyDescent="0.25">
      <c r="A27" t="s">
        <v>97</v>
      </c>
      <c r="B27" s="2">
        <v>45567</v>
      </c>
      <c r="C27" t="s">
        <v>66</v>
      </c>
      <c r="D27" t="s">
        <v>56</v>
      </c>
      <c r="E27" t="s">
        <v>17</v>
      </c>
      <c r="F27" s="5">
        <v>6</v>
      </c>
      <c r="G27" s="5">
        <v>1</v>
      </c>
      <c r="H27" s="5">
        <v>7029</v>
      </c>
      <c r="I27" s="5">
        <v>1</v>
      </c>
      <c r="J27" s="5">
        <v>2343</v>
      </c>
      <c r="K27" t="s">
        <v>18</v>
      </c>
      <c r="L27" t="s">
        <v>57</v>
      </c>
      <c r="M27" t="s">
        <v>63</v>
      </c>
      <c r="N27" t="s">
        <v>28</v>
      </c>
      <c r="O27" t="s">
        <v>68</v>
      </c>
      <c r="P27" t="s">
        <v>18</v>
      </c>
      <c r="Q27">
        <f>Table1[[#This Row],[Course_Fee_AED]]-Table1[[#This Row],[Amount_Paid_AED]]</f>
        <v>4686</v>
      </c>
      <c r="R27">
        <f>Table1[[#This Row],[Course_Fee_AED]]-Table1[[#This Row],[pending Revenue]]</f>
        <v>2343</v>
      </c>
    </row>
    <row r="28" spans="1:18" x14ac:dyDescent="0.25">
      <c r="A28" t="s">
        <v>98</v>
      </c>
      <c r="B28" s="2">
        <v>45612</v>
      </c>
      <c r="C28" t="s">
        <v>24</v>
      </c>
      <c r="D28" t="s">
        <v>25</v>
      </c>
      <c r="E28" t="s">
        <v>17</v>
      </c>
      <c r="F28" s="5">
        <v>6</v>
      </c>
      <c r="G28" s="5">
        <v>1</v>
      </c>
      <c r="H28" s="5">
        <v>5272</v>
      </c>
      <c r="I28" s="5">
        <v>3</v>
      </c>
      <c r="J28" s="5">
        <v>5271</v>
      </c>
      <c r="K28" t="s">
        <v>18</v>
      </c>
      <c r="L28" t="s">
        <v>57</v>
      </c>
      <c r="M28" t="s">
        <v>63</v>
      </c>
      <c r="N28" t="s">
        <v>90</v>
      </c>
      <c r="O28" t="s">
        <v>71</v>
      </c>
      <c r="P28" t="s">
        <v>18</v>
      </c>
      <c r="Q28">
        <f>Table1[[#This Row],[Course_Fee_AED]]-Table1[[#This Row],[Amount_Paid_AED]]</f>
        <v>1</v>
      </c>
      <c r="R28">
        <f>Table1[[#This Row],[Course_Fee_AED]]-Table1[[#This Row],[pending Revenue]]</f>
        <v>5271</v>
      </c>
    </row>
    <row r="29" spans="1:18" x14ac:dyDescent="0.25">
      <c r="A29" t="s">
        <v>99</v>
      </c>
      <c r="B29" s="2">
        <v>45334</v>
      </c>
      <c r="C29" t="s">
        <v>100</v>
      </c>
      <c r="D29" t="s">
        <v>101</v>
      </c>
      <c r="E29" t="s">
        <v>26</v>
      </c>
      <c r="F29" s="5">
        <v>3</v>
      </c>
      <c r="G29" s="5">
        <v>1</v>
      </c>
      <c r="H29" s="5">
        <v>5209</v>
      </c>
      <c r="I29" s="5">
        <v>2</v>
      </c>
      <c r="J29" s="5">
        <v>3472</v>
      </c>
      <c r="K29" t="s">
        <v>18</v>
      </c>
      <c r="L29" t="s">
        <v>40</v>
      </c>
      <c r="M29" t="s">
        <v>41</v>
      </c>
      <c r="N29" t="s">
        <v>53</v>
      </c>
      <c r="O29" t="s">
        <v>87</v>
      </c>
      <c r="P29" t="s">
        <v>36</v>
      </c>
      <c r="Q29">
        <f>Table1[[#This Row],[Course_Fee_AED]]-Table1[[#This Row],[Amount_Paid_AED]]</f>
        <v>1737</v>
      </c>
      <c r="R29">
        <f>Table1[[#This Row],[Course_Fee_AED]]-Table1[[#This Row],[pending Revenue]]</f>
        <v>3472</v>
      </c>
    </row>
    <row r="30" spans="1:18" x14ac:dyDescent="0.25">
      <c r="A30" t="s">
        <v>102</v>
      </c>
      <c r="B30" s="2">
        <v>45529</v>
      </c>
      <c r="C30" t="s">
        <v>51</v>
      </c>
      <c r="D30" t="s">
        <v>52</v>
      </c>
      <c r="E30" t="s">
        <v>17</v>
      </c>
      <c r="F30" s="5">
        <v>6</v>
      </c>
      <c r="G30" s="5">
        <v>1</v>
      </c>
      <c r="H30" s="5">
        <v>4339</v>
      </c>
      <c r="I30" s="5">
        <v>2</v>
      </c>
      <c r="J30" s="5">
        <v>2892</v>
      </c>
      <c r="K30" t="s">
        <v>18</v>
      </c>
      <c r="L30" t="s">
        <v>57</v>
      </c>
      <c r="M30" t="s">
        <v>47</v>
      </c>
      <c r="N30" t="s">
        <v>95</v>
      </c>
      <c r="O30" t="s">
        <v>43</v>
      </c>
      <c r="P30" t="s">
        <v>18</v>
      </c>
      <c r="Q30">
        <f>Table1[[#This Row],[Course_Fee_AED]]-Table1[[#This Row],[Amount_Paid_AED]]</f>
        <v>1447</v>
      </c>
      <c r="R30">
        <f>Table1[[#This Row],[Course_Fee_AED]]-Table1[[#This Row],[pending Revenue]]</f>
        <v>2892</v>
      </c>
    </row>
    <row r="31" spans="1:18" x14ac:dyDescent="0.25">
      <c r="A31" t="s">
        <v>103</v>
      </c>
      <c r="B31" s="2">
        <v>45363</v>
      </c>
      <c r="C31" t="s">
        <v>66</v>
      </c>
      <c r="D31" t="s">
        <v>56</v>
      </c>
      <c r="E31" t="s">
        <v>26</v>
      </c>
      <c r="F31" s="5">
        <v>3</v>
      </c>
      <c r="G31" s="5">
        <v>1</v>
      </c>
      <c r="H31" s="5">
        <v>7082</v>
      </c>
      <c r="I31" s="5">
        <v>2</v>
      </c>
      <c r="J31" s="5">
        <v>4720</v>
      </c>
      <c r="K31" t="s">
        <v>18</v>
      </c>
      <c r="L31" t="s">
        <v>57</v>
      </c>
      <c r="M31" t="s">
        <v>27</v>
      </c>
      <c r="N31" t="s">
        <v>48</v>
      </c>
      <c r="O31" t="s">
        <v>29</v>
      </c>
      <c r="P31" t="s">
        <v>36</v>
      </c>
      <c r="Q31">
        <f>Table1[[#This Row],[Course_Fee_AED]]-Table1[[#This Row],[Amount_Paid_AED]]</f>
        <v>2362</v>
      </c>
      <c r="R31">
        <f>Table1[[#This Row],[Course_Fee_AED]]-Table1[[#This Row],[pending Revenue]]</f>
        <v>4720</v>
      </c>
    </row>
    <row r="32" spans="1:18" x14ac:dyDescent="0.25">
      <c r="A32" t="s">
        <v>104</v>
      </c>
      <c r="B32" s="2">
        <v>45649</v>
      </c>
      <c r="C32" t="s">
        <v>31</v>
      </c>
      <c r="D32" t="s">
        <v>32</v>
      </c>
      <c r="E32" t="s">
        <v>17</v>
      </c>
      <c r="F32" s="5">
        <v>6</v>
      </c>
      <c r="G32" s="5">
        <v>1</v>
      </c>
      <c r="H32" s="5">
        <v>5986</v>
      </c>
      <c r="I32" s="5">
        <v>1</v>
      </c>
      <c r="J32" s="5">
        <v>1995</v>
      </c>
      <c r="K32" t="s">
        <v>18</v>
      </c>
      <c r="L32" t="s">
        <v>57</v>
      </c>
      <c r="M32" t="s">
        <v>63</v>
      </c>
      <c r="N32" t="s">
        <v>53</v>
      </c>
      <c r="O32" t="s">
        <v>22</v>
      </c>
      <c r="P32" t="s">
        <v>36</v>
      </c>
      <c r="Q32">
        <f>Table1[[#This Row],[Course_Fee_AED]]-Table1[[#This Row],[Amount_Paid_AED]]</f>
        <v>3991</v>
      </c>
      <c r="R32">
        <f>Table1[[#This Row],[Course_Fee_AED]]-Table1[[#This Row],[pending Revenue]]</f>
        <v>1995</v>
      </c>
    </row>
    <row r="33" spans="1:18" x14ac:dyDescent="0.25">
      <c r="A33" t="s">
        <v>105</v>
      </c>
      <c r="B33" s="2">
        <v>45403</v>
      </c>
      <c r="C33" t="s">
        <v>106</v>
      </c>
      <c r="D33" t="s">
        <v>107</v>
      </c>
      <c r="E33" t="s">
        <v>17</v>
      </c>
      <c r="F33" s="5">
        <v>6</v>
      </c>
      <c r="G33" s="5">
        <v>1</v>
      </c>
      <c r="H33" s="5">
        <v>7482</v>
      </c>
      <c r="I33" s="5">
        <v>2</v>
      </c>
      <c r="J33" s="5">
        <v>4988</v>
      </c>
      <c r="K33" t="s">
        <v>18</v>
      </c>
      <c r="L33" t="s">
        <v>40</v>
      </c>
      <c r="M33" t="s">
        <v>27</v>
      </c>
      <c r="N33" t="s">
        <v>86</v>
      </c>
      <c r="O33" t="s">
        <v>49</v>
      </c>
      <c r="P33" t="s">
        <v>36</v>
      </c>
      <c r="Q33">
        <f>Table1[[#This Row],[Course_Fee_AED]]-Table1[[#This Row],[Amount_Paid_AED]]</f>
        <v>2494</v>
      </c>
      <c r="R33">
        <f>Table1[[#This Row],[Course_Fee_AED]]-Table1[[#This Row],[pending Revenue]]</f>
        <v>4988</v>
      </c>
    </row>
    <row r="34" spans="1:18" x14ac:dyDescent="0.25">
      <c r="A34" t="s">
        <v>108</v>
      </c>
      <c r="B34" s="2">
        <v>45583</v>
      </c>
      <c r="C34" t="s">
        <v>45</v>
      </c>
      <c r="D34" t="s">
        <v>46</v>
      </c>
      <c r="E34" t="s">
        <v>17</v>
      </c>
      <c r="F34" s="5">
        <v>6</v>
      </c>
      <c r="G34" s="5">
        <v>1</v>
      </c>
      <c r="H34" s="5">
        <v>4048</v>
      </c>
      <c r="I34" s="5">
        <v>1</v>
      </c>
      <c r="J34" s="5">
        <v>1349</v>
      </c>
      <c r="K34" t="s">
        <v>18</v>
      </c>
      <c r="L34" t="s">
        <v>19</v>
      </c>
      <c r="M34" t="s">
        <v>20</v>
      </c>
      <c r="N34" t="s">
        <v>70</v>
      </c>
      <c r="O34" t="s">
        <v>35</v>
      </c>
      <c r="P34" t="s">
        <v>36</v>
      </c>
      <c r="Q34">
        <f>Table1[[#This Row],[Course_Fee_AED]]-Table1[[#This Row],[Amount_Paid_AED]]</f>
        <v>2699</v>
      </c>
      <c r="R34">
        <f>Table1[[#This Row],[Course_Fee_AED]]-Table1[[#This Row],[pending Revenue]]</f>
        <v>1349</v>
      </c>
    </row>
    <row r="35" spans="1:18" x14ac:dyDescent="0.25">
      <c r="A35" t="s">
        <v>109</v>
      </c>
      <c r="B35" s="2">
        <v>45522</v>
      </c>
      <c r="C35" t="s">
        <v>82</v>
      </c>
      <c r="D35" t="s">
        <v>83</v>
      </c>
      <c r="E35" t="s">
        <v>17</v>
      </c>
      <c r="F35" s="5">
        <v>6</v>
      </c>
      <c r="G35" s="5">
        <v>1</v>
      </c>
      <c r="H35" s="5">
        <v>10310</v>
      </c>
      <c r="I35" s="5">
        <v>3</v>
      </c>
      <c r="J35" s="5">
        <v>10308</v>
      </c>
      <c r="K35" t="s">
        <v>18</v>
      </c>
      <c r="L35" t="s">
        <v>40</v>
      </c>
      <c r="M35" t="s">
        <v>47</v>
      </c>
      <c r="N35" t="s">
        <v>95</v>
      </c>
      <c r="O35" t="s">
        <v>71</v>
      </c>
      <c r="P35" t="s">
        <v>36</v>
      </c>
      <c r="Q35">
        <f>Table1[[#This Row],[Course_Fee_AED]]-Table1[[#This Row],[Amount_Paid_AED]]</f>
        <v>2</v>
      </c>
      <c r="R35">
        <f>Table1[[#This Row],[Course_Fee_AED]]-Table1[[#This Row],[pending Revenue]]</f>
        <v>10308</v>
      </c>
    </row>
    <row r="36" spans="1:18" x14ac:dyDescent="0.25">
      <c r="A36" t="s">
        <v>110</v>
      </c>
      <c r="B36" s="2">
        <v>45362</v>
      </c>
      <c r="C36" t="s">
        <v>75</v>
      </c>
      <c r="D36" t="s">
        <v>76</v>
      </c>
      <c r="E36" t="s">
        <v>26</v>
      </c>
      <c r="F36" s="5">
        <v>3</v>
      </c>
      <c r="G36" s="5">
        <v>1</v>
      </c>
      <c r="H36" s="5">
        <v>7072</v>
      </c>
      <c r="I36" s="5">
        <v>3</v>
      </c>
      <c r="J36" s="5">
        <v>7071</v>
      </c>
      <c r="K36" t="s">
        <v>18</v>
      </c>
      <c r="L36" t="s">
        <v>40</v>
      </c>
      <c r="M36" t="s">
        <v>41</v>
      </c>
      <c r="N36" t="s">
        <v>79</v>
      </c>
      <c r="O36" t="s">
        <v>29</v>
      </c>
      <c r="P36" t="s">
        <v>18</v>
      </c>
      <c r="Q36">
        <f>Table1[[#This Row],[Course_Fee_AED]]-Table1[[#This Row],[Amount_Paid_AED]]</f>
        <v>1</v>
      </c>
      <c r="R36">
        <f>Table1[[#This Row],[Course_Fee_AED]]-Table1[[#This Row],[pending Revenue]]</f>
        <v>7071</v>
      </c>
    </row>
    <row r="37" spans="1:18" x14ac:dyDescent="0.25">
      <c r="A37" t="s">
        <v>111</v>
      </c>
      <c r="B37" s="2">
        <v>45604</v>
      </c>
      <c r="C37" t="s">
        <v>24</v>
      </c>
      <c r="D37" t="s">
        <v>25</v>
      </c>
      <c r="E37" t="s">
        <v>17</v>
      </c>
      <c r="F37" s="5">
        <v>6</v>
      </c>
      <c r="G37" s="5">
        <v>1</v>
      </c>
      <c r="H37" s="5">
        <v>4727</v>
      </c>
      <c r="I37" s="5">
        <v>2</v>
      </c>
      <c r="J37" s="5">
        <v>3150</v>
      </c>
      <c r="K37" t="s">
        <v>18</v>
      </c>
      <c r="L37" t="s">
        <v>57</v>
      </c>
      <c r="M37" t="s">
        <v>20</v>
      </c>
      <c r="N37" t="s">
        <v>21</v>
      </c>
      <c r="O37" t="s">
        <v>68</v>
      </c>
      <c r="P37" t="s">
        <v>18</v>
      </c>
      <c r="Q37">
        <f>Table1[[#This Row],[Course_Fee_AED]]-Table1[[#This Row],[Amount_Paid_AED]]</f>
        <v>1577</v>
      </c>
      <c r="R37">
        <f>Table1[[#This Row],[Course_Fee_AED]]-Table1[[#This Row],[pending Revenue]]</f>
        <v>3150</v>
      </c>
    </row>
    <row r="38" spans="1:18" x14ac:dyDescent="0.25">
      <c r="A38" t="s">
        <v>112</v>
      </c>
      <c r="B38" s="2">
        <v>45348</v>
      </c>
      <c r="C38" t="s">
        <v>113</v>
      </c>
      <c r="D38" t="s">
        <v>93</v>
      </c>
      <c r="E38" t="s">
        <v>17</v>
      </c>
      <c r="F38" s="5">
        <v>6</v>
      </c>
      <c r="G38" s="5">
        <v>1</v>
      </c>
      <c r="H38" s="5">
        <v>4181</v>
      </c>
      <c r="I38" s="5">
        <v>3</v>
      </c>
      <c r="J38" s="5">
        <v>4179</v>
      </c>
      <c r="K38" t="s">
        <v>18</v>
      </c>
      <c r="L38" t="s">
        <v>40</v>
      </c>
      <c r="M38" t="s">
        <v>41</v>
      </c>
      <c r="N38" t="s">
        <v>70</v>
      </c>
      <c r="O38" t="s">
        <v>58</v>
      </c>
      <c r="P38" t="s">
        <v>18</v>
      </c>
      <c r="Q38">
        <f>Table1[[#This Row],[Course_Fee_AED]]-Table1[[#This Row],[Amount_Paid_AED]]</f>
        <v>2</v>
      </c>
      <c r="R38">
        <f>Table1[[#This Row],[Course_Fee_AED]]-Table1[[#This Row],[pending Revenue]]</f>
        <v>4179</v>
      </c>
    </row>
    <row r="39" spans="1:18" x14ac:dyDescent="0.25">
      <c r="A39" t="s">
        <v>114</v>
      </c>
      <c r="B39" s="2">
        <v>45474</v>
      </c>
      <c r="C39" t="s">
        <v>51</v>
      </c>
      <c r="D39" t="s">
        <v>52</v>
      </c>
      <c r="E39" t="s">
        <v>17</v>
      </c>
      <c r="F39" s="5">
        <v>6</v>
      </c>
      <c r="G39" s="5">
        <v>1</v>
      </c>
      <c r="H39" s="5">
        <v>5908</v>
      </c>
      <c r="I39" s="5">
        <v>2</v>
      </c>
      <c r="J39" s="5">
        <v>3938</v>
      </c>
      <c r="K39" t="s">
        <v>18</v>
      </c>
      <c r="L39" t="s">
        <v>40</v>
      </c>
      <c r="M39" t="s">
        <v>41</v>
      </c>
      <c r="N39" t="s">
        <v>79</v>
      </c>
      <c r="O39" t="s">
        <v>49</v>
      </c>
      <c r="P39" t="s">
        <v>36</v>
      </c>
      <c r="Q39">
        <f>Table1[[#This Row],[Course_Fee_AED]]-Table1[[#This Row],[Amount_Paid_AED]]</f>
        <v>1970</v>
      </c>
      <c r="R39">
        <f>Table1[[#This Row],[Course_Fee_AED]]-Table1[[#This Row],[pending Revenue]]</f>
        <v>3938</v>
      </c>
    </row>
    <row r="40" spans="1:18" x14ac:dyDescent="0.25">
      <c r="A40" t="s">
        <v>115</v>
      </c>
      <c r="B40" s="2">
        <v>45592</v>
      </c>
      <c r="C40" t="s">
        <v>45</v>
      </c>
      <c r="D40" t="s">
        <v>46</v>
      </c>
      <c r="E40" t="s">
        <v>26</v>
      </c>
      <c r="F40" s="5">
        <v>3</v>
      </c>
      <c r="G40" s="5">
        <v>1</v>
      </c>
      <c r="H40" s="5">
        <v>6270</v>
      </c>
      <c r="I40" s="5">
        <v>3</v>
      </c>
      <c r="J40" s="5">
        <v>6270</v>
      </c>
      <c r="K40" t="s">
        <v>33</v>
      </c>
      <c r="L40" t="s">
        <v>57</v>
      </c>
      <c r="M40" t="s">
        <v>27</v>
      </c>
      <c r="N40" t="s">
        <v>116</v>
      </c>
      <c r="O40" t="s">
        <v>29</v>
      </c>
      <c r="P40" t="s">
        <v>18</v>
      </c>
      <c r="Q40">
        <f>Table1[[#This Row],[Course_Fee_AED]]-Table1[[#This Row],[Amount_Paid_AED]]</f>
        <v>0</v>
      </c>
      <c r="R40">
        <f>Table1[[#This Row],[Course_Fee_AED]]-Table1[[#This Row],[pending Revenue]]</f>
        <v>6270</v>
      </c>
    </row>
    <row r="41" spans="1:18" x14ac:dyDescent="0.25">
      <c r="A41" t="s">
        <v>117</v>
      </c>
      <c r="B41" s="2">
        <v>45532</v>
      </c>
      <c r="C41" t="s">
        <v>106</v>
      </c>
      <c r="D41" t="s">
        <v>107</v>
      </c>
      <c r="E41" t="s">
        <v>17</v>
      </c>
      <c r="F41" s="5">
        <v>6</v>
      </c>
      <c r="G41" s="5">
        <v>1</v>
      </c>
      <c r="H41" s="5">
        <v>5646</v>
      </c>
      <c r="I41" s="5">
        <v>3</v>
      </c>
      <c r="J41" s="5">
        <v>5646</v>
      </c>
      <c r="K41" t="s">
        <v>33</v>
      </c>
      <c r="L41" t="s">
        <v>19</v>
      </c>
      <c r="M41" t="s">
        <v>63</v>
      </c>
      <c r="N41" t="s">
        <v>48</v>
      </c>
      <c r="O41" t="s">
        <v>87</v>
      </c>
      <c r="P41" t="s">
        <v>18</v>
      </c>
      <c r="Q41">
        <f>Table1[[#This Row],[Course_Fee_AED]]-Table1[[#This Row],[Amount_Paid_AED]]</f>
        <v>0</v>
      </c>
      <c r="R41">
        <f>Table1[[#This Row],[Course_Fee_AED]]-Table1[[#This Row],[pending Revenue]]</f>
        <v>5646</v>
      </c>
    </row>
    <row r="42" spans="1:18" x14ac:dyDescent="0.25">
      <c r="A42" t="s">
        <v>118</v>
      </c>
      <c r="B42" s="2">
        <v>45358</v>
      </c>
      <c r="C42" t="s">
        <v>45</v>
      </c>
      <c r="D42" t="s">
        <v>46</v>
      </c>
      <c r="E42" t="s">
        <v>17</v>
      </c>
      <c r="F42" s="5">
        <v>6</v>
      </c>
      <c r="G42" s="5">
        <v>1</v>
      </c>
      <c r="H42" s="5">
        <v>6172</v>
      </c>
      <c r="I42" s="5">
        <v>2</v>
      </c>
      <c r="J42" s="5">
        <v>4114</v>
      </c>
      <c r="K42" t="s">
        <v>18</v>
      </c>
      <c r="L42" t="s">
        <v>19</v>
      </c>
      <c r="M42" t="s">
        <v>41</v>
      </c>
      <c r="N42" t="s">
        <v>53</v>
      </c>
      <c r="O42" t="s">
        <v>35</v>
      </c>
      <c r="P42" t="s">
        <v>18</v>
      </c>
      <c r="Q42">
        <f>Table1[[#This Row],[Course_Fee_AED]]-Table1[[#This Row],[Amount_Paid_AED]]</f>
        <v>2058</v>
      </c>
      <c r="R42">
        <f>Table1[[#This Row],[Course_Fee_AED]]-Table1[[#This Row],[pending Revenue]]</f>
        <v>4114</v>
      </c>
    </row>
    <row r="43" spans="1:18" x14ac:dyDescent="0.25">
      <c r="A43" t="s">
        <v>119</v>
      </c>
      <c r="B43" s="2">
        <v>45603</v>
      </c>
      <c r="C43" t="s">
        <v>106</v>
      </c>
      <c r="D43" t="s">
        <v>107</v>
      </c>
      <c r="E43" t="s">
        <v>17</v>
      </c>
      <c r="F43" s="5">
        <v>6</v>
      </c>
      <c r="G43" s="5">
        <v>1</v>
      </c>
      <c r="H43" s="5">
        <v>7246</v>
      </c>
      <c r="I43" s="5">
        <v>3</v>
      </c>
      <c r="J43" s="5">
        <v>7245</v>
      </c>
      <c r="K43" t="s">
        <v>18</v>
      </c>
      <c r="L43" t="s">
        <v>40</v>
      </c>
      <c r="M43" t="s">
        <v>20</v>
      </c>
      <c r="N43" t="s">
        <v>86</v>
      </c>
      <c r="O43" t="s">
        <v>29</v>
      </c>
      <c r="P43" t="s">
        <v>36</v>
      </c>
      <c r="Q43">
        <f>Table1[[#This Row],[Course_Fee_AED]]-Table1[[#This Row],[Amount_Paid_AED]]</f>
        <v>1</v>
      </c>
      <c r="R43">
        <f>Table1[[#This Row],[Course_Fee_AED]]-Table1[[#This Row],[pending Revenue]]</f>
        <v>7245</v>
      </c>
    </row>
    <row r="44" spans="1:18" x14ac:dyDescent="0.25">
      <c r="A44" t="s">
        <v>120</v>
      </c>
      <c r="B44" s="2">
        <v>45387</v>
      </c>
      <c r="C44" t="s">
        <v>55</v>
      </c>
      <c r="D44" t="s">
        <v>56</v>
      </c>
      <c r="E44" t="s">
        <v>26</v>
      </c>
      <c r="F44" s="5">
        <v>3</v>
      </c>
      <c r="G44" s="5">
        <v>1</v>
      </c>
      <c r="H44" s="5">
        <v>9824</v>
      </c>
      <c r="I44" s="5">
        <v>1</v>
      </c>
      <c r="J44" s="5">
        <v>3274</v>
      </c>
      <c r="K44" t="s">
        <v>18</v>
      </c>
      <c r="L44" t="s">
        <v>57</v>
      </c>
      <c r="M44" t="s">
        <v>63</v>
      </c>
      <c r="N44" t="s">
        <v>79</v>
      </c>
      <c r="O44" t="s">
        <v>29</v>
      </c>
      <c r="P44" t="s">
        <v>36</v>
      </c>
      <c r="Q44">
        <f>Table1[[#This Row],[Course_Fee_AED]]-Table1[[#This Row],[Amount_Paid_AED]]</f>
        <v>6550</v>
      </c>
      <c r="R44">
        <f>Table1[[#This Row],[Course_Fee_AED]]-Table1[[#This Row],[pending Revenue]]</f>
        <v>3274</v>
      </c>
    </row>
    <row r="45" spans="1:18" x14ac:dyDescent="0.25">
      <c r="A45" t="s">
        <v>121</v>
      </c>
      <c r="B45" s="2">
        <v>45526</v>
      </c>
      <c r="C45" t="s">
        <v>82</v>
      </c>
      <c r="D45" t="s">
        <v>83</v>
      </c>
      <c r="E45" t="s">
        <v>17</v>
      </c>
      <c r="F45" s="5">
        <v>6</v>
      </c>
      <c r="G45" s="5">
        <v>1</v>
      </c>
      <c r="H45" s="5">
        <v>10784</v>
      </c>
      <c r="I45" s="5">
        <v>2</v>
      </c>
      <c r="J45" s="5">
        <v>7188</v>
      </c>
      <c r="K45" t="s">
        <v>18</v>
      </c>
      <c r="L45" t="s">
        <v>57</v>
      </c>
      <c r="M45" t="s">
        <v>27</v>
      </c>
      <c r="N45" t="s">
        <v>73</v>
      </c>
      <c r="O45" t="s">
        <v>43</v>
      </c>
      <c r="P45" t="s">
        <v>36</v>
      </c>
      <c r="Q45">
        <f>Table1[[#This Row],[Course_Fee_AED]]-Table1[[#This Row],[Amount_Paid_AED]]</f>
        <v>3596</v>
      </c>
      <c r="R45">
        <f>Table1[[#This Row],[Course_Fee_AED]]-Table1[[#This Row],[pending Revenue]]</f>
        <v>7188</v>
      </c>
    </row>
    <row r="46" spans="1:18" x14ac:dyDescent="0.25">
      <c r="A46" t="s">
        <v>122</v>
      </c>
      <c r="B46" s="2">
        <v>45474</v>
      </c>
      <c r="C46" t="s">
        <v>51</v>
      </c>
      <c r="D46" t="s">
        <v>52</v>
      </c>
      <c r="E46" t="s">
        <v>26</v>
      </c>
      <c r="F46" s="5">
        <v>3</v>
      </c>
      <c r="G46" s="5">
        <v>1</v>
      </c>
      <c r="H46" s="5">
        <v>5445</v>
      </c>
      <c r="I46" s="5">
        <v>2</v>
      </c>
      <c r="J46" s="5">
        <v>3630</v>
      </c>
      <c r="K46" t="s">
        <v>18</v>
      </c>
      <c r="L46" t="s">
        <v>19</v>
      </c>
      <c r="M46" t="s">
        <v>63</v>
      </c>
      <c r="N46" t="s">
        <v>86</v>
      </c>
      <c r="O46" t="s">
        <v>71</v>
      </c>
      <c r="P46" t="s">
        <v>18</v>
      </c>
      <c r="Q46">
        <f>Table1[[#This Row],[Course_Fee_AED]]-Table1[[#This Row],[Amount_Paid_AED]]</f>
        <v>1815</v>
      </c>
      <c r="R46">
        <f>Table1[[#This Row],[Course_Fee_AED]]-Table1[[#This Row],[pending Revenue]]</f>
        <v>3630</v>
      </c>
    </row>
    <row r="47" spans="1:18" x14ac:dyDescent="0.25">
      <c r="A47" t="s">
        <v>123</v>
      </c>
      <c r="B47" s="2">
        <v>45598</v>
      </c>
      <c r="C47" t="s">
        <v>51</v>
      </c>
      <c r="D47" t="s">
        <v>52</v>
      </c>
      <c r="E47" t="s">
        <v>17</v>
      </c>
      <c r="F47" s="5">
        <v>6</v>
      </c>
      <c r="G47" s="5">
        <v>1</v>
      </c>
      <c r="H47" s="5">
        <v>5689</v>
      </c>
      <c r="I47" s="5">
        <v>1</v>
      </c>
      <c r="J47" s="5">
        <v>1896</v>
      </c>
      <c r="K47" t="s">
        <v>18</v>
      </c>
      <c r="L47" t="s">
        <v>57</v>
      </c>
      <c r="M47" t="s">
        <v>41</v>
      </c>
      <c r="N47" t="s">
        <v>48</v>
      </c>
      <c r="O47" t="s">
        <v>64</v>
      </c>
      <c r="P47" t="s">
        <v>36</v>
      </c>
      <c r="Q47">
        <f>Table1[[#This Row],[Course_Fee_AED]]-Table1[[#This Row],[Amount_Paid_AED]]</f>
        <v>3793</v>
      </c>
      <c r="R47">
        <f>Table1[[#This Row],[Course_Fee_AED]]-Table1[[#This Row],[pending Revenue]]</f>
        <v>1896</v>
      </c>
    </row>
    <row r="48" spans="1:18" x14ac:dyDescent="0.25">
      <c r="A48" t="s">
        <v>124</v>
      </c>
      <c r="B48" s="2">
        <v>45476</v>
      </c>
      <c r="C48" t="s">
        <v>82</v>
      </c>
      <c r="D48" t="s">
        <v>83</v>
      </c>
      <c r="E48" t="s">
        <v>17</v>
      </c>
      <c r="F48" s="5">
        <v>6</v>
      </c>
      <c r="G48" s="5">
        <v>1</v>
      </c>
      <c r="H48" s="5">
        <v>12060</v>
      </c>
      <c r="I48" s="5">
        <v>2</v>
      </c>
      <c r="J48" s="5">
        <v>8040</v>
      </c>
      <c r="K48" t="s">
        <v>18</v>
      </c>
      <c r="L48" t="s">
        <v>57</v>
      </c>
      <c r="M48" t="s">
        <v>20</v>
      </c>
      <c r="N48" t="s">
        <v>73</v>
      </c>
      <c r="O48" t="s">
        <v>68</v>
      </c>
      <c r="P48" t="s">
        <v>36</v>
      </c>
      <c r="Q48">
        <f>Table1[[#This Row],[Course_Fee_AED]]-Table1[[#This Row],[Amount_Paid_AED]]</f>
        <v>4020</v>
      </c>
      <c r="R48">
        <f>Table1[[#This Row],[Course_Fee_AED]]-Table1[[#This Row],[pending Revenue]]</f>
        <v>8040</v>
      </c>
    </row>
    <row r="49" spans="1:18" x14ac:dyDescent="0.25">
      <c r="A49" t="s">
        <v>125</v>
      </c>
      <c r="B49" s="2">
        <v>45579</v>
      </c>
      <c r="C49" t="s">
        <v>106</v>
      </c>
      <c r="D49" t="s">
        <v>107</v>
      </c>
      <c r="E49" t="s">
        <v>26</v>
      </c>
      <c r="F49" s="5">
        <v>3</v>
      </c>
      <c r="G49" s="5">
        <v>1</v>
      </c>
      <c r="H49" s="5">
        <v>5918</v>
      </c>
      <c r="I49" s="5">
        <v>2</v>
      </c>
      <c r="J49" s="5">
        <v>3944</v>
      </c>
      <c r="K49" t="s">
        <v>18</v>
      </c>
      <c r="L49" t="s">
        <v>40</v>
      </c>
      <c r="M49" t="s">
        <v>60</v>
      </c>
      <c r="N49" t="s">
        <v>34</v>
      </c>
      <c r="O49" t="s">
        <v>43</v>
      </c>
      <c r="P49" t="s">
        <v>18</v>
      </c>
      <c r="Q49">
        <f>Table1[[#This Row],[Course_Fee_AED]]-Table1[[#This Row],[Amount_Paid_AED]]</f>
        <v>1974</v>
      </c>
      <c r="R49">
        <f>Table1[[#This Row],[Course_Fee_AED]]-Table1[[#This Row],[pending Revenue]]</f>
        <v>3944</v>
      </c>
    </row>
    <row r="50" spans="1:18" x14ac:dyDescent="0.25">
      <c r="A50" t="s">
        <v>126</v>
      </c>
      <c r="B50" s="2">
        <v>45655</v>
      </c>
      <c r="C50" t="s">
        <v>45</v>
      </c>
      <c r="D50" t="s">
        <v>46</v>
      </c>
      <c r="E50" t="s">
        <v>17</v>
      </c>
      <c r="F50" s="5">
        <v>6</v>
      </c>
      <c r="G50" s="5">
        <v>1</v>
      </c>
      <c r="H50" s="5">
        <v>5993</v>
      </c>
      <c r="I50" s="5">
        <v>1</v>
      </c>
      <c r="J50" s="5">
        <v>1997</v>
      </c>
      <c r="K50" t="s">
        <v>18</v>
      </c>
      <c r="L50" t="s">
        <v>57</v>
      </c>
      <c r="M50" t="s">
        <v>47</v>
      </c>
      <c r="N50" t="s">
        <v>34</v>
      </c>
      <c r="O50" t="s">
        <v>87</v>
      </c>
      <c r="P50" t="s">
        <v>18</v>
      </c>
      <c r="Q50">
        <f>Table1[[#This Row],[Course_Fee_AED]]-Table1[[#This Row],[Amount_Paid_AED]]</f>
        <v>3996</v>
      </c>
      <c r="R50">
        <f>Table1[[#This Row],[Course_Fee_AED]]-Table1[[#This Row],[pending Revenue]]</f>
        <v>1997</v>
      </c>
    </row>
    <row r="51" spans="1:18" x14ac:dyDescent="0.25">
      <c r="A51" t="s">
        <v>127</v>
      </c>
      <c r="B51" s="2">
        <v>45376</v>
      </c>
      <c r="C51" t="s">
        <v>55</v>
      </c>
      <c r="D51" t="s">
        <v>56</v>
      </c>
      <c r="E51" t="s">
        <v>17</v>
      </c>
      <c r="F51" s="5">
        <v>6</v>
      </c>
      <c r="G51" s="5">
        <v>1</v>
      </c>
      <c r="H51" s="5">
        <v>9947</v>
      </c>
      <c r="I51" s="5">
        <v>1</v>
      </c>
      <c r="J51" s="5">
        <v>3315</v>
      </c>
      <c r="K51" t="s">
        <v>18</v>
      </c>
      <c r="L51" t="s">
        <v>19</v>
      </c>
      <c r="M51" t="s">
        <v>47</v>
      </c>
      <c r="N51" t="s">
        <v>90</v>
      </c>
      <c r="O51" t="s">
        <v>49</v>
      </c>
      <c r="P51" t="s">
        <v>18</v>
      </c>
      <c r="Q51">
        <f>Table1[[#This Row],[Course_Fee_AED]]-Table1[[#This Row],[Amount_Paid_AED]]</f>
        <v>6632</v>
      </c>
      <c r="R51">
        <f>Table1[[#This Row],[Course_Fee_AED]]-Table1[[#This Row],[pending Revenue]]</f>
        <v>3315</v>
      </c>
    </row>
    <row r="52" spans="1:18" x14ac:dyDescent="0.25">
      <c r="A52" t="s">
        <v>128</v>
      </c>
      <c r="B52" s="2">
        <v>45644</v>
      </c>
      <c r="C52" t="s">
        <v>106</v>
      </c>
      <c r="D52" t="s">
        <v>107</v>
      </c>
      <c r="E52" t="s">
        <v>17</v>
      </c>
      <c r="F52" s="5">
        <v>6</v>
      </c>
      <c r="G52" s="5">
        <v>1</v>
      </c>
      <c r="H52" s="5">
        <v>7363</v>
      </c>
      <c r="I52" s="5">
        <v>3</v>
      </c>
      <c r="J52" s="5">
        <v>7362</v>
      </c>
      <c r="K52" t="s">
        <v>18</v>
      </c>
      <c r="L52" t="s">
        <v>57</v>
      </c>
      <c r="M52" t="s">
        <v>41</v>
      </c>
      <c r="N52" t="s">
        <v>48</v>
      </c>
      <c r="O52" t="s">
        <v>29</v>
      </c>
      <c r="P52" t="s">
        <v>36</v>
      </c>
      <c r="Q52">
        <f>Table1[[#This Row],[Course_Fee_AED]]-Table1[[#This Row],[Amount_Paid_AED]]</f>
        <v>1</v>
      </c>
      <c r="R52">
        <f>Table1[[#This Row],[Course_Fee_AED]]-Table1[[#This Row],[pending Revenue]]</f>
        <v>7362</v>
      </c>
    </row>
    <row r="53" spans="1:18" x14ac:dyDescent="0.25">
      <c r="A53" t="s">
        <v>129</v>
      </c>
      <c r="B53" s="2">
        <v>45381</v>
      </c>
      <c r="C53" t="s">
        <v>15</v>
      </c>
      <c r="D53" t="s">
        <v>16</v>
      </c>
      <c r="E53" t="s">
        <v>17</v>
      </c>
      <c r="F53" s="5">
        <v>6</v>
      </c>
      <c r="G53" s="5">
        <v>1</v>
      </c>
      <c r="H53" s="5">
        <v>5770</v>
      </c>
      <c r="I53" s="5">
        <v>3</v>
      </c>
      <c r="J53" s="5">
        <v>5769</v>
      </c>
      <c r="K53" t="s">
        <v>18</v>
      </c>
      <c r="L53" t="s">
        <v>19</v>
      </c>
      <c r="M53" t="s">
        <v>20</v>
      </c>
      <c r="N53" t="s">
        <v>95</v>
      </c>
      <c r="O53" t="s">
        <v>49</v>
      </c>
      <c r="P53" t="s">
        <v>18</v>
      </c>
      <c r="Q53">
        <f>Table1[[#This Row],[Course_Fee_AED]]-Table1[[#This Row],[Amount_Paid_AED]]</f>
        <v>1</v>
      </c>
      <c r="R53">
        <f>Table1[[#This Row],[Course_Fee_AED]]-Table1[[#This Row],[pending Revenue]]</f>
        <v>5769</v>
      </c>
    </row>
    <row r="54" spans="1:18" x14ac:dyDescent="0.25">
      <c r="A54" t="s">
        <v>130</v>
      </c>
      <c r="B54" s="2">
        <v>45446</v>
      </c>
      <c r="C54" t="s">
        <v>38</v>
      </c>
      <c r="D54" t="s">
        <v>39</v>
      </c>
      <c r="E54" t="s">
        <v>26</v>
      </c>
      <c r="F54" s="5">
        <v>3</v>
      </c>
      <c r="G54" s="5">
        <v>1</v>
      </c>
      <c r="H54" s="5">
        <v>6389</v>
      </c>
      <c r="I54" s="5">
        <v>3</v>
      </c>
      <c r="J54" s="5">
        <v>6387</v>
      </c>
      <c r="K54" t="s">
        <v>18</v>
      </c>
      <c r="L54" t="s">
        <v>40</v>
      </c>
      <c r="M54" t="s">
        <v>63</v>
      </c>
      <c r="N54" t="s">
        <v>48</v>
      </c>
      <c r="O54" t="s">
        <v>87</v>
      </c>
      <c r="P54" t="s">
        <v>36</v>
      </c>
      <c r="Q54">
        <f>Table1[[#This Row],[Course_Fee_AED]]-Table1[[#This Row],[Amount_Paid_AED]]</f>
        <v>2</v>
      </c>
      <c r="R54">
        <f>Table1[[#This Row],[Course_Fee_AED]]-Table1[[#This Row],[pending Revenue]]</f>
        <v>6387</v>
      </c>
    </row>
    <row r="55" spans="1:18" x14ac:dyDescent="0.25">
      <c r="A55" t="s">
        <v>131</v>
      </c>
      <c r="B55" s="2">
        <v>45569</v>
      </c>
      <c r="C55" t="s">
        <v>15</v>
      </c>
      <c r="D55" t="s">
        <v>16</v>
      </c>
      <c r="E55" t="s">
        <v>26</v>
      </c>
      <c r="F55" s="5">
        <v>3</v>
      </c>
      <c r="G55" s="5">
        <v>1</v>
      </c>
      <c r="H55" s="5">
        <v>6428</v>
      </c>
      <c r="I55" s="5">
        <v>2</v>
      </c>
      <c r="J55" s="5">
        <v>4284</v>
      </c>
      <c r="K55" t="s">
        <v>18</v>
      </c>
      <c r="L55" t="s">
        <v>19</v>
      </c>
      <c r="M55" t="s">
        <v>27</v>
      </c>
      <c r="N55" t="s">
        <v>42</v>
      </c>
      <c r="O55" t="s">
        <v>71</v>
      </c>
      <c r="P55" t="s">
        <v>36</v>
      </c>
      <c r="Q55">
        <f>Table1[[#This Row],[Course_Fee_AED]]-Table1[[#This Row],[Amount_Paid_AED]]</f>
        <v>2144</v>
      </c>
      <c r="R55">
        <f>Table1[[#This Row],[Course_Fee_AED]]-Table1[[#This Row],[pending Revenue]]</f>
        <v>4284</v>
      </c>
    </row>
    <row r="56" spans="1:18" x14ac:dyDescent="0.25">
      <c r="A56" t="s">
        <v>132</v>
      </c>
      <c r="B56" s="2">
        <v>45623</v>
      </c>
      <c r="C56" t="s">
        <v>82</v>
      </c>
      <c r="D56" t="s">
        <v>83</v>
      </c>
      <c r="E56" t="s">
        <v>26</v>
      </c>
      <c r="F56" s="5">
        <v>3</v>
      </c>
      <c r="G56" s="5">
        <v>1</v>
      </c>
      <c r="H56" s="5">
        <v>9831</v>
      </c>
      <c r="I56" s="5">
        <v>2</v>
      </c>
      <c r="J56" s="5">
        <v>6554</v>
      </c>
      <c r="K56" t="s">
        <v>18</v>
      </c>
      <c r="L56" t="s">
        <v>40</v>
      </c>
      <c r="M56" t="s">
        <v>20</v>
      </c>
      <c r="N56" t="s">
        <v>86</v>
      </c>
      <c r="O56" t="s">
        <v>43</v>
      </c>
      <c r="P56" t="s">
        <v>36</v>
      </c>
      <c r="Q56">
        <f>Table1[[#This Row],[Course_Fee_AED]]-Table1[[#This Row],[Amount_Paid_AED]]</f>
        <v>3277</v>
      </c>
      <c r="R56">
        <f>Table1[[#This Row],[Course_Fee_AED]]-Table1[[#This Row],[pending Revenue]]</f>
        <v>6554</v>
      </c>
    </row>
    <row r="57" spans="1:18" x14ac:dyDescent="0.25">
      <c r="A57" t="s">
        <v>133</v>
      </c>
      <c r="B57" s="2">
        <v>45360</v>
      </c>
      <c r="C57" t="s">
        <v>31</v>
      </c>
      <c r="D57" t="s">
        <v>32</v>
      </c>
      <c r="E57" t="s">
        <v>26</v>
      </c>
      <c r="F57" s="5">
        <v>3</v>
      </c>
      <c r="G57" s="5">
        <v>1</v>
      </c>
      <c r="H57" s="5">
        <v>5768</v>
      </c>
      <c r="I57" s="5">
        <v>3</v>
      </c>
      <c r="J57" s="5">
        <v>5766</v>
      </c>
      <c r="K57" t="s">
        <v>18</v>
      </c>
      <c r="L57" t="s">
        <v>19</v>
      </c>
      <c r="M57" t="s">
        <v>47</v>
      </c>
      <c r="N57" t="s">
        <v>28</v>
      </c>
      <c r="O57" t="s">
        <v>68</v>
      </c>
      <c r="P57" t="s">
        <v>18</v>
      </c>
      <c r="Q57">
        <f>Table1[[#This Row],[Course_Fee_AED]]-Table1[[#This Row],[Amount_Paid_AED]]</f>
        <v>2</v>
      </c>
      <c r="R57">
        <f>Table1[[#This Row],[Course_Fee_AED]]-Table1[[#This Row],[pending Revenue]]</f>
        <v>5766</v>
      </c>
    </row>
    <row r="58" spans="1:18" x14ac:dyDescent="0.25">
      <c r="A58" t="s">
        <v>134</v>
      </c>
      <c r="B58" s="2">
        <v>45485</v>
      </c>
      <c r="C58" t="s">
        <v>55</v>
      </c>
      <c r="D58" t="s">
        <v>56</v>
      </c>
      <c r="E58" t="s">
        <v>26</v>
      </c>
      <c r="F58" s="5">
        <v>3</v>
      </c>
      <c r="G58" s="5">
        <v>1</v>
      </c>
      <c r="H58" s="5">
        <v>10596</v>
      </c>
      <c r="I58" s="5">
        <v>3</v>
      </c>
      <c r="J58" s="5">
        <v>10596</v>
      </c>
      <c r="K58" t="s">
        <v>33</v>
      </c>
      <c r="L58" t="s">
        <v>19</v>
      </c>
      <c r="M58" t="s">
        <v>60</v>
      </c>
      <c r="N58" t="s">
        <v>73</v>
      </c>
      <c r="O58" t="s">
        <v>68</v>
      </c>
      <c r="P58" t="s">
        <v>36</v>
      </c>
      <c r="Q58">
        <f>Table1[[#This Row],[Course_Fee_AED]]-Table1[[#This Row],[Amount_Paid_AED]]</f>
        <v>0</v>
      </c>
      <c r="R58">
        <f>Table1[[#This Row],[Course_Fee_AED]]-Table1[[#This Row],[pending Revenue]]</f>
        <v>10596</v>
      </c>
    </row>
    <row r="59" spans="1:18" x14ac:dyDescent="0.25">
      <c r="A59" t="s">
        <v>135</v>
      </c>
      <c r="B59" s="2">
        <v>45514</v>
      </c>
      <c r="C59" t="s">
        <v>75</v>
      </c>
      <c r="D59" t="s">
        <v>76</v>
      </c>
      <c r="E59" t="s">
        <v>17</v>
      </c>
      <c r="F59" s="5">
        <v>6</v>
      </c>
      <c r="G59" s="5">
        <v>1</v>
      </c>
      <c r="H59" s="5">
        <v>10535</v>
      </c>
      <c r="I59" s="5">
        <v>1</v>
      </c>
      <c r="J59" s="5">
        <v>3511</v>
      </c>
      <c r="K59" t="s">
        <v>18</v>
      </c>
      <c r="L59" t="s">
        <v>19</v>
      </c>
      <c r="M59" t="s">
        <v>63</v>
      </c>
      <c r="N59" t="s">
        <v>116</v>
      </c>
      <c r="O59" t="s">
        <v>22</v>
      </c>
      <c r="P59" t="s">
        <v>18</v>
      </c>
      <c r="Q59">
        <f>Table1[[#This Row],[Course_Fee_AED]]-Table1[[#This Row],[Amount_Paid_AED]]</f>
        <v>7024</v>
      </c>
      <c r="R59">
        <f>Table1[[#This Row],[Course_Fee_AED]]-Table1[[#This Row],[pending Revenue]]</f>
        <v>3511</v>
      </c>
    </row>
    <row r="60" spans="1:18" x14ac:dyDescent="0.25">
      <c r="A60" t="s">
        <v>136</v>
      </c>
      <c r="B60" s="2">
        <v>45566</v>
      </c>
      <c r="C60" t="s">
        <v>51</v>
      </c>
      <c r="D60" t="s">
        <v>52</v>
      </c>
      <c r="E60" t="s">
        <v>17</v>
      </c>
      <c r="F60" s="5">
        <v>6</v>
      </c>
      <c r="G60" s="5">
        <v>1</v>
      </c>
      <c r="H60" s="5">
        <v>3970</v>
      </c>
      <c r="I60" s="5">
        <v>3</v>
      </c>
      <c r="J60" s="5">
        <v>3969</v>
      </c>
      <c r="K60" t="s">
        <v>18</v>
      </c>
      <c r="L60" t="s">
        <v>57</v>
      </c>
      <c r="M60" t="s">
        <v>47</v>
      </c>
      <c r="N60" t="s">
        <v>86</v>
      </c>
      <c r="O60" t="s">
        <v>64</v>
      </c>
      <c r="P60" t="s">
        <v>36</v>
      </c>
      <c r="Q60">
        <f>Table1[[#This Row],[Course_Fee_AED]]-Table1[[#This Row],[Amount_Paid_AED]]</f>
        <v>1</v>
      </c>
      <c r="R60">
        <f>Table1[[#This Row],[Course_Fee_AED]]-Table1[[#This Row],[pending Revenue]]</f>
        <v>3969</v>
      </c>
    </row>
    <row r="61" spans="1:18" x14ac:dyDescent="0.25">
      <c r="A61" t="s">
        <v>137</v>
      </c>
      <c r="B61" s="2">
        <v>45633</v>
      </c>
      <c r="C61" t="s">
        <v>15</v>
      </c>
      <c r="D61" t="s">
        <v>16</v>
      </c>
      <c r="E61" t="s">
        <v>17</v>
      </c>
      <c r="F61" s="5">
        <v>6</v>
      </c>
      <c r="G61" s="5">
        <v>1</v>
      </c>
      <c r="H61" s="5">
        <v>7169</v>
      </c>
      <c r="I61" s="5">
        <v>1</v>
      </c>
      <c r="J61" s="5">
        <v>2389</v>
      </c>
      <c r="K61" t="s">
        <v>18</v>
      </c>
      <c r="L61" t="s">
        <v>57</v>
      </c>
      <c r="M61" t="s">
        <v>60</v>
      </c>
      <c r="N61" t="s">
        <v>21</v>
      </c>
      <c r="O61" t="s">
        <v>43</v>
      </c>
      <c r="P61" t="s">
        <v>18</v>
      </c>
      <c r="Q61">
        <f>Table1[[#This Row],[Course_Fee_AED]]-Table1[[#This Row],[Amount_Paid_AED]]</f>
        <v>4780</v>
      </c>
      <c r="R61">
        <f>Table1[[#This Row],[Course_Fee_AED]]-Table1[[#This Row],[pending Revenue]]</f>
        <v>2389</v>
      </c>
    </row>
    <row r="62" spans="1:18" x14ac:dyDescent="0.25">
      <c r="A62" t="s">
        <v>138</v>
      </c>
      <c r="B62" s="2">
        <v>45370</v>
      </c>
      <c r="C62" t="s">
        <v>66</v>
      </c>
      <c r="D62" t="s">
        <v>56</v>
      </c>
      <c r="E62" t="s">
        <v>17</v>
      </c>
      <c r="F62" s="5">
        <v>6</v>
      </c>
      <c r="G62" s="5">
        <v>1</v>
      </c>
      <c r="H62" s="5">
        <v>11086</v>
      </c>
      <c r="I62" s="5">
        <v>3</v>
      </c>
      <c r="J62" s="5">
        <v>11085</v>
      </c>
      <c r="K62" t="s">
        <v>18</v>
      </c>
      <c r="L62" t="s">
        <v>19</v>
      </c>
      <c r="M62" t="s">
        <v>20</v>
      </c>
      <c r="N62" t="s">
        <v>61</v>
      </c>
      <c r="O62" t="s">
        <v>71</v>
      </c>
      <c r="P62" t="s">
        <v>36</v>
      </c>
      <c r="Q62">
        <f>Table1[[#This Row],[Course_Fee_AED]]-Table1[[#This Row],[Amount_Paid_AED]]</f>
        <v>1</v>
      </c>
      <c r="R62">
        <f>Table1[[#This Row],[Course_Fee_AED]]-Table1[[#This Row],[pending Revenue]]</f>
        <v>11085</v>
      </c>
    </row>
    <row r="63" spans="1:18" x14ac:dyDescent="0.25">
      <c r="A63" t="s">
        <v>139</v>
      </c>
      <c r="B63" s="2">
        <v>45479</v>
      </c>
      <c r="C63" t="s">
        <v>38</v>
      </c>
      <c r="D63" t="s">
        <v>39</v>
      </c>
      <c r="E63" t="s">
        <v>26</v>
      </c>
      <c r="F63" s="5">
        <v>3</v>
      </c>
      <c r="G63" s="5">
        <v>1</v>
      </c>
      <c r="H63" s="5">
        <v>6629</v>
      </c>
      <c r="I63" s="5">
        <v>2</v>
      </c>
      <c r="J63" s="5">
        <v>4418</v>
      </c>
      <c r="K63" t="s">
        <v>18</v>
      </c>
      <c r="L63" t="s">
        <v>57</v>
      </c>
      <c r="M63" t="s">
        <v>27</v>
      </c>
      <c r="N63" t="s">
        <v>90</v>
      </c>
      <c r="O63" t="s">
        <v>22</v>
      </c>
      <c r="P63" t="s">
        <v>36</v>
      </c>
      <c r="Q63">
        <f>Table1[[#This Row],[Course_Fee_AED]]-Table1[[#This Row],[Amount_Paid_AED]]</f>
        <v>2211</v>
      </c>
      <c r="R63">
        <f>Table1[[#This Row],[Course_Fee_AED]]-Table1[[#This Row],[pending Revenue]]</f>
        <v>4418</v>
      </c>
    </row>
    <row r="64" spans="1:18" x14ac:dyDescent="0.25">
      <c r="A64" t="s">
        <v>140</v>
      </c>
      <c r="B64" s="2">
        <v>45393</v>
      </c>
      <c r="C64" t="s">
        <v>24</v>
      </c>
      <c r="D64" t="s">
        <v>25</v>
      </c>
      <c r="E64" t="s">
        <v>26</v>
      </c>
      <c r="F64" s="5">
        <v>3</v>
      </c>
      <c r="G64" s="5">
        <v>1</v>
      </c>
      <c r="H64" s="5">
        <v>6504</v>
      </c>
      <c r="I64" s="5">
        <v>2</v>
      </c>
      <c r="J64" s="5">
        <v>4336</v>
      </c>
      <c r="K64" t="s">
        <v>18</v>
      </c>
      <c r="L64" t="s">
        <v>57</v>
      </c>
      <c r="M64" t="s">
        <v>63</v>
      </c>
      <c r="N64" t="s">
        <v>86</v>
      </c>
      <c r="O64" t="s">
        <v>71</v>
      </c>
      <c r="P64" t="s">
        <v>18</v>
      </c>
      <c r="Q64">
        <f>Table1[[#This Row],[Course_Fee_AED]]-Table1[[#This Row],[Amount_Paid_AED]]</f>
        <v>2168</v>
      </c>
      <c r="R64">
        <f>Table1[[#This Row],[Course_Fee_AED]]-Table1[[#This Row],[pending Revenue]]</f>
        <v>4336</v>
      </c>
    </row>
    <row r="65" spans="1:18" x14ac:dyDescent="0.25">
      <c r="A65" t="s">
        <v>141</v>
      </c>
      <c r="B65" s="2">
        <v>45554</v>
      </c>
      <c r="C65" t="s">
        <v>31</v>
      </c>
      <c r="D65" t="s">
        <v>32</v>
      </c>
      <c r="E65" t="s">
        <v>26</v>
      </c>
      <c r="F65" s="5">
        <v>3</v>
      </c>
      <c r="G65" s="5">
        <v>1</v>
      </c>
      <c r="H65" s="5">
        <v>6794</v>
      </c>
      <c r="I65" s="5">
        <v>2</v>
      </c>
      <c r="J65" s="5">
        <v>4528</v>
      </c>
      <c r="K65" t="s">
        <v>18</v>
      </c>
      <c r="L65" t="s">
        <v>19</v>
      </c>
      <c r="M65" t="s">
        <v>20</v>
      </c>
      <c r="N65" t="s">
        <v>70</v>
      </c>
      <c r="O65" t="s">
        <v>58</v>
      </c>
      <c r="P65" t="s">
        <v>36</v>
      </c>
      <c r="Q65">
        <f>Table1[[#This Row],[Course_Fee_AED]]-Table1[[#This Row],[Amount_Paid_AED]]</f>
        <v>2266</v>
      </c>
      <c r="R65">
        <f>Table1[[#This Row],[Course_Fee_AED]]-Table1[[#This Row],[pending Revenue]]</f>
        <v>4528</v>
      </c>
    </row>
    <row r="66" spans="1:18" x14ac:dyDescent="0.25">
      <c r="A66" t="s">
        <v>142</v>
      </c>
      <c r="B66" s="2">
        <v>45436</v>
      </c>
      <c r="C66" t="s">
        <v>82</v>
      </c>
      <c r="D66" t="s">
        <v>83</v>
      </c>
      <c r="E66" t="s">
        <v>17</v>
      </c>
      <c r="F66" s="5">
        <v>6</v>
      </c>
      <c r="G66" s="5">
        <v>1</v>
      </c>
      <c r="H66" s="5">
        <v>14057</v>
      </c>
      <c r="I66" s="5">
        <v>3</v>
      </c>
      <c r="J66" s="5">
        <v>14055</v>
      </c>
      <c r="K66" t="s">
        <v>18</v>
      </c>
      <c r="L66" t="s">
        <v>57</v>
      </c>
      <c r="M66" t="s">
        <v>47</v>
      </c>
      <c r="N66" t="s">
        <v>79</v>
      </c>
      <c r="O66" t="s">
        <v>43</v>
      </c>
      <c r="P66" t="s">
        <v>18</v>
      </c>
      <c r="Q66">
        <f>Table1[[#This Row],[Course_Fee_AED]]-Table1[[#This Row],[Amount_Paid_AED]]</f>
        <v>2</v>
      </c>
      <c r="R66">
        <f>Table1[[#This Row],[Course_Fee_AED]]-Table1[[#This Row],[pending Revenue]]</f>
        <v>14055</v>
      </c>
    </row>
    <row r="67" spans="1:18" x14ac:dyDescent="0.25">
      <c r="A67" t="s">
        <v>143</v>
      </c>
      <c r="B67" s="2">
        <v>45562</v>
      </c>
      <c r="C67" t="s">
        <v>92</v>
      </c>
      <c r="D67" t="s">
        <v>93</v>
      </c>
      <c r="E67" t="s">
        <v>17</v>
      </c>
      <c r="F67" s="5">
        <v>6</v>
      </c>
      <c r="G67" s="5">
        <v>1</v>
      </c>
      <c r="H67" s="5">
        <v>7233</v>
      </c>
      <c r="I67" s="5">
        <v>3</v>
      </c>
      <c r="J67" s="5">
        <v>7233</v>
      </c>
      <c r="K67" t="s">
        <v>33</v>
      </c>
      <c r="L67" t="s">
        <v>57</v>
      </c>
      <c r="M67" t="s">
        <v>27</v>
      </c>
      <c r="N67" t="s">
        <v>95</v>
      </c>
      <c r="O67" t="s">
        <v>68</v>
      </c>
      <c r="P67" t="s">
        <v>18</v>
      </c>
      <c r="Q67">
        <f>Table1[[#This Row],[Course_Fee_AED]]-Table1[[#This Row],[Amount_Paid_AED]]</f>
        <v>0</v>
      </c>
      <c r="R67">
        <f>Table1[[#This Row],[Course_Fee_AED]]-Table1[[#This Row],[pending Revenue]]</f>
        <v>7233</v>
      </c>
    </row>
    <row r="68" spans="1:18" x14ac:dyDescent="0.25">
      <c r="A68" t="s">
        <v>144</v>
      </c>
      <c r="B68" s="2">
        <v>45345</v>
      </c>
      <c r="C68" t="s">
        <v>82</v>
      </c>
      <c r="D68" t="s">
        <v>83</v>
      </c>
      <c r="E68" t="s">
        <v>17</v>
      </c>
      <c r="F68" s="5">
        <v>6</v>
      </c>
      <c r="G68" s="5">
        <v>1</v>
      </c>
      <c r="H68" s="5">
        <v>13735</v>
      </c>
      <c r="I68" s="5">
        <v>1</v>
      </c>
      <c r="J68" s="5">
        <v>4578</v>
      </c>
      <c r="K68" t="s">
        <v>18</v>
      </c>
      <c r="L68" t="s">
        <v>57</v>
      </c>
      <c r="M68" t="s">
        <v>47</v>
      </c>
      <c r="N68" t="s">
        <v>90</v>
      </c>
      <c r="O68" t="s">
        <v>87</v>
      </c>
      <c r="P68" t="s">
        <v>36</v>
      </c>
      <c r="Q68">
        <f>Table1[[#This Row],[Course_Fee_AED]]-Table1[[#This Row],[Amount_Paid_AED]]</f>
        <v>9157</v>
      </c>
      <c r="R68">
        <f>Table1[[#This Row],[Course_Fee_AED]]-Table1[[#This Row],[pending Revenue]]</f>
        <v>4578</v>
      </c>
    </row>
    <row r="69" spans="1:18" x14ac:dyDescent="0.25">
      <c r="A69" t="s">
        <v>145</v>
      </c>
      <c r="B69" s="2">
        <v>45577</v>
      </c>
      <c r="C69" t="s">
        <v>113</v>
      </c>
      <c r="D69" t="s">
        <v>93</v>
      </c>
      <c r="E69" t="s">
        <v>17</v>
      </c>
      <c r="F69" s="5">
        <v>6</v>
      </c>
      <c r="G69" s="5">
        <v>1</v>
      </c>
      <c r="H69" s="5">
        <v>4512</v>
      </c>
      <c r="I69" s="5">
        <v>3</v>
      </c>
      <c r="J69" s="5">
        <v>4512</v>
      </c>
      <c r="K69" t="s">
        <v>33</v>
      </c>
      <c r="L69" t="s">
        <v>57</v>
      </c>
      <c r="M69" t="s">
        <v>41</v>
      </c>
      <c r="N69" t="s">
        <v>86</v>
      </c>
      <c r="O69" t="s">
        <v>49</v>
      </c>
      <c r="P69" t="s">
        <v>18</v>
      </c>
      <c r="Q69">
        <f>Table1[[#This Row],[Course_Fee_AED]]-Table1[[#This Row],[Amount_Paid_AED]]</f>
        <v>0</v>
      </c>
      <c r="R69">
        <f>Table1[[#This Row],[Course_Fee_AED]]-Table1[[#This Row],[pending Revenue]]</f>
        <v>4512</v>
      </c>
    </row>
    <row r="70" spans="1:18" x14ac:dyDescent="0.25">
      <c r="A70" t="s">
        <v>146</v>
      </c>
      <c r="B70" s="2">
        <v>45495</v>
      </c>
      <c r="C70" t="s">
        <v>106</v>
      </c>
      <c r="D70" t="s">
        <v>107</v>
      </c>
      <c r="E70" t="s">
        <v>17</v>
      </c>
      <c r="F70" s="5">
        <v>6</v>
      </c>
      <c r="G70" s="5">
        <v>1</v>
      </c>
      <c r="H70" s="5">
        <v>7228</v>
      </c>
      <c r="I70" s="5">
        <v>3</v>
      </c>
      <c r="J70" s="5">
        <v>7227</v>
      </c>
      <c r="K70" t="s">
        <v>18</v>
      </c>
      <c r="L70" t="s">
        <v>40</v>
      </c>
      <c r="M70" t="s">
        <v>41</v>
      </c>
      <c r="N70" t="s">
        <v>34</v>
      </c>
      <c r="O70" t="s">
        <v>64</v>
      </c>
      <c r="P70" t="s">
        <v>36</v>
      </c>
      <c r="Q70">
        <f>Table1[[#This Row],[Course_Fee_AED]]-Table1[[#This Row],[Amount_Paid_AED]]</f>
        <v>1</v>
      </c>
      <c r="R70">
        <f>Table1[[#This Row],[Course_Fee_AED]]-Table1[[#This Row],[pending Revenue]]</f>
        <v>7227</v>
      </c>
    </row>
    <row r="71" spans="1:18" x14ac:dyDescent="0.25">
      <c r="A71" t="s">
        <v>147</v>
      </c>
      <c r="B71" s="2">
        <v>45542</v>
      </c>
      <c r="C71" t="s">
        <v>38</v>
      </c>
      <c r="D71" t="s">
        <v>39</v>
      </c>
      <c r="E71" t="s">
        <v>26</v>
      </c>
      <c r="F71" s="5">
        <v>3</v>
      </c>
      <c r="G71" s="5">
        <v>1</v>
      </c>
      <c r="H71" s="5">
        <v>6718</v>
      </c>
      <c r="I71" s="5">
        <v>1</v>
      </c>
      <c r="J71" s="5">
        <v>2239</v>
      </c>
      <c r="K71" t="s">
        <v>18</v>
      </c>
      <c r="L71" t="s">
        <v>40</v>
      </c>
      <c r="M71" t="s">
        <v>47</v>
      </c>
      <c r="N71" t="s">
        <v>116</v>
      </c>
      <c r="O71" t="s">
        <v>43</v>
      </c>
      <c r="P71" t="s">
        <v>18</v>
      </c>
      <c r="Q71">
        <f>Table1[[#This Row],[Course_Fee_AED]]-Table1[[#This Row],[Amount_Paid_AED]]</f>
        <v>4479</v>
      </c>
      <c r="R71">
        <f>Table1[[#This Row],[Course_Fee_AED]]-Table1[[#This Row],[pending Revenue]]</f>
        <v>2239</v>
      </c>
    </row>
    <row r="72" spans="1:18" x14ac:dyDescent="0.25">
      <c r="A72" t="s">
        <v>148</v>
      </c>
      <c r="B72" s="2">
        <v>45625</v>
      </c>
      <c r="C72" t="s">
        <v>38</v>
      </c>
      <c r="D72" t="s">
        <v>39</v>
      </c>
      <c r="E72" t="s">
        <v>17</v>
      </c>
      <c r="F72" s="5">
        <v>6</v>
      </c>
      <c r="G72" s="5">
        <v>1</v>
      </c>
      <c r="H72" s="5">
        <v>7205</v>
      </c>
      <c r="I72" s="5">
        <v>2</v>
      </c>
      <c r="J72" s="5">
        <v>4802</v>
      </c>
      <c r="K72" t="s">
        <v>18</v>
      </c>
      <c r="L72" t="s">
        <v>19</v>
      </c>
      <c r="M72" t="s">
        <v>27</v>
      </c>
      <c r="N72" t="s">
        <v>53</v>
      </c>
      <c r="O72" t="s">
        <v>64</v>
      </c>
      <c r="P72" t="s">
        <v>36</v>
      </c>
      <c r="Q72">
        <f>Table1[[#This Row],[Course_Fee_AED]]-Table1[[#This Row],[Amount_Paid_AED]]</f>
        <v>2403</v>
      </c>
      <c r="R72">
        <f>Table1[[#This Row],[Course_Fee_AED]]-Table1[[#This Row],[pending Revenue]]</f>
        <v>4802</v>
      </c>
    </row>
    <row r="73" spans="1:18" x14ac:dyDescent="0.25">
      <c r="A73" t="s">
        <v>149</v>
      </c>
      <c r="B73" s="2">
        <v>45473</v>
      </c>
      <c r="C73" t="s">
        <v>45</v>
      </c>
      <c r="D73" t="s">
        <v>46</v>
      </c>
      <c r="E73" t="s">
        <v>17</v>
      </c>
      <c r="F73" s="5">
        <v>6</v>
      </c>
      <c r="G73" s="5">
        <v>1</v>
      </c>
      <c r="H73" s="5">
        <v>5115</v>
      </c>
      <c r="I73" s="5">
        <v>2</v>
      </c>
      <c r="J73" s="5">
        <v>3410</v>
      </c>
      <c r="K73" t="s">
        <v>18</v>
      </c>
      <c r="L73" t="s">
        <v>19</v>
      </c>
      <c r="M73" t="s">
        <v>27</v>
      </c>
      <c r="N73" t="s">
        <v>53</v>
      </c>
      <c r="O73" t="s">
        <v>64</v>
      </c>
      <c r="P73" t="s">
        <v>18</v>
      </c>
      <c r="Q73">
        <f>Table1[[#This Row],[Course_Fee_AED]]-Table1[[#This Row],[Amount_Paid_AED]]</f>
        <v>1705</v>
      </c>
      <c r="R73">
        <f>Table1[[#This Row],[Course_Fee_AED]]-Table1[[#This Row],[pending Revenue]]</f>
        <v>3410</v>
      </c>
    </row>
    <row r="74" spans="1:18" x14ac:dyDescent="0.25">
      <c r="A74" t="s">
        <v>150</v>
      </c>
      <c r="B74" s="2">
        <v>45634</v>
      </c>
      <c r="C74" t="s">
        <v>51</v>
      </c>
      <c r="D74" t="s">
        <v>52</v>
      </c>
      <c r="E74" t="s">
        <v>26</v>
      </c>
      <c r="F74" s="5">
        <v>3</v>
      </c>
      <c r="G74" s="5">
        <v>1</v>
      </c>
      <c r="H74" s="5">
        <v>5409</v>
      </c>
      <c r="I74" s="5">
        <v>3</v>
      </c>
      <c r="J74" s="5">
        <v>5409</v>
      </c>
      <c r="K74" t="s">
        <v>33</v>
      </c>
      <c r="L74" t="s">
        <v>19</v>
      </c>
      <c r="M74" t="s">
        <v>41</v>
      </c>
      <c r="N74" t="s">
        <v>28</v>
      </c>
      <c r="O74" t="s">
        <v>64</v>
      </c>
      <c r="P74" t="s">
        <v>36</v>
      </c>
      <c r="Q74">
        <f>Table1[[#This Row],[Course_Fee_AED]]-Table1[[#This Row],[Amount_Paid_AED]]</f>
        <v>0</v>
      </c>
      <c r="R74">
        <f>Table1[[#This Row],[Course_Fee_AED]]-Table1[[#This Row],[pending Revenue]]</f>
        <v>5409</v>
      </c>
    </row>
    <row r="75" spans="1:18" x14ac:dyDescent="0.25">
      <c r="A75" t="s">
        <v>151</v>
      </c>
      <c r="B75" s="2">
        <v>45452</v>
      </c>
      <c r="C75" t="s">
        <v>113</v>
      </c>
      <c r="D75" t="s">
        <v>93</v>
      </c>
      <c r="E75" t="s">
        <v>17</v>
      </c>
      <c r="F75" s="5">
        <v>6</v>
      </c>
      <c r="G75" s="5">
        <v>1</v>
      </c>
      <c r="H75" s="5">
        <v>3272</v>
      </c>
      <c r="I75" s="5">
        <v>3</v>
      </c>
      <c r="J75" s="5">
        <v>3270</v>
      </c>
      <c r="K75" t="s">
        <v>18</v>
      </c>
      <c r="L75" t="s">
        <v>57</v>
      </c>
      <c r="M75" t="s">
        <v>63</v>
      </c>
      <c r="N75" t="s">
        <v>95</v>
      </c>
      <c r="O75" t="s">
        <v>87</v>
      </c>
      <c r="P75" t="s">
        <v>18</v>
      </c>
      <c r="Q75">
        <f>Table1[[#This Row],[Course_Fee_AED]]-Table1[[#This Row],[Amount_Paid_AED]]</f>
        <v>2</v>
      </c>
      <c r="R75">
        <f>Table1[[#This Row],[Course_Fee_AED]]-Table1[[#This Row],[pending Revenue]]</f>
        <v>3270</v>
      </c>
    </row>
    <row r="76" spans="1:18" x14ac:dyDescent="0.25">
      <c r="A76" t="s">
        <v>152</v>
      </c>
      <c r="B76" s="2">
        <v>45427</v>
      </c>
      <c r="C76" t="s">
        <v>15</v>
      </c>
      <c r="D76" t="s">
        <v>16</v>
      </c>
      <c r="E76" t="s">
        <v>17</v>
      </c>
      <c r="F76" s="5">
        <v>6</v>
      </c>
      <c r="G76" s="5">
        <v>1</v>
      </c>
      <c r="H76" s="5">
        <v>4257</v>
      </c>
      <c r="I76" s="5">
        <v>3</v>
      </c>
      <c r="J76" s="5">
        <v>4257</v>
      </c>
      <c r="K76" t="s">
        <v>33</v>
      </c>
      <c r="L76" t="s">
        <v>40</v>
      </c>
      <c r="M76" t="s">
        <v>41</v>
      </c>
      <c r="N76" t="s">
        <v>86</v>
      </c>
      <c r="O76" t="s">
        <v>35</v>
      </c>
      <c r="P76" t="s">
        <v>18</v>
      </c>
      <c r="Q76">
        <f>Table1[[#This Row],[Course_Fee_AED]]-Table1[[#This Row],[Amount_Paid_AED]]</f>
        <v>0</v>
      </c>
      <c r="R76">
        <f>Table1[[#This Row],[Course_Fee_AED]]-Table1[[#This Row],[pending Revenue]]</f>
        <v>4257</v>
      </c>
    </row>
    <row r="77" spans="1:18" x14ac:dyDescent="0.25">
      <c r="A77" t="s">
        <v>153</v>
      </c>
      <c r="B77" s="2">
        <v>45369</v>
      </c>
      <c r="C77" t="s">
        <v>38</v>
      </c>
      <c r="D77" t="s">
        <v>39</v>
      </c>
      <c r="E77" t="s">
        <v>17</v>
      </c>
      <c r="F77" s="5">
        <v>6</v>
      </c>
      <c r="G77" s="5">
        <v>1</v>
      </c>
      <c r="H77" s="5">
        <v>5294</v>
      </c>
      <c r="I77" s="5">
        <v>3</v>
      </c>
      <c r="J77" s="5">
        <v>5292</v>
      </c>
      <c r="K77" t="s">
        <v>18</v>
      </c>
      <c r="L77" t="s">
        <v>40</v>
      </c>
      <c r="M77" t="s">
        <v>47</v>
      </c>
      <c r="N77" t="s">
        <v>154</v>
      </c>
      <c r="O77" t="s">
        <v>64</v>
      </c>
      <c r="P77" t="s">
        <v>36</v>
      </c>
      <c r="Q77">
        <f>Table1[[#This Row],[Course_Fee_AED]]-Table1[[#This Row],[Amount_Paid_AED]]</f>
        <v>2</v>
      </c>
      <c r="R77">
        <f>Table1[[#This Row],[Course_Fee_AED]]-Table1[[#This Row],[pending Revenue]]</f>
        <v>5292</v>
      </c>
    </row>
    <row r="78" spans="1:18" x14ac:dyDescent="0.25">
      <c r="A78" t="s">
        <v>155</v>
      </c>
      <c r="B78" s="2">
        <v>45313</v>
      </c>
      <c r="C78" t="s">
        <v>31</v>
      </c>
      <c r="D78" t="s">
        <v>32</v>
      </c>
      <c r="E78" t="s">
        <v>17</v>
      </c>
      <c r="F78" s="5">
        <v>6</v>
      </c>
      <c r="G78" s="5">
        <v>1</v>
      </c>
      <c r="H78" s="5">
        <v>7174</v>
      </c>
      <c r="I78" s="5">
        <v>2</v>
      </c>
      <c r="J78" s="5">
        <v>4782</v>
      </c>
      <c r="K78" t="s">
        <v>18</v>
      </c>
      <c r="L78" t="s">
        <v>19</v>
      </c>
      <c r="M78" t="s">
        <v>20</v>
      </c>
      <c r="N78" t="s">
        <v>154</v>
      </c>
      <c r="O78" t="s">
        <v>64</v>
      </c>
      <c r="P78" t="s">
        <v>36</v>
      </c>
      <c r="Q78">
        <f>Table1[[#This Row],[Course_Fee_AED]]-Table1[[#This Row],[Amount_Paid_AED]]</f>
        <v>2392</v>
      </c>
      <c r="R78">
        <f>Table1[[#This Row],[Course_Fee_AED]]-Table1[[#This Row],[pending Revenue]]</f>
        <v>4782</v>
      </c>
    </row>
    <row r="79" spans="1:18" x14ac:dyDescent="0.25">
      <c r="A79" t="s">
        <v>156</v>
      </c>
      <c r="B79" s="2">
        <v>45360</v>
      </c>
      <c r="C79" t="s">
        <v>24</v>
      </c>
      <c r="D79" t="s">
        <v>25</v>
      </c>
      <c r="E79" t="s">
        <v>26</v>
      </c>
      <c r="F79" s="5">
        <v>3</v>
      </c>
      <c r="G79" s="5">
        <v>1</v>
      </c>
      <c r="H79" s="5">
        <v>5983</v>
      </c>
      <c r="I79" s="5">
        <v>1</v>
      </c>
      <c r="J79" s="5">
        <v>1994</v>
      </c>
      <c r="K79" t="s">
        <v>18</v>
      </c>
      <c r="L79" t="s">
        <v>40</v>
      </c>
      <c r="M79" t="s">
        <v>63</v>
      </c>
      <c r="N79" t="s">
        <v>21</v>
      </c>
      <c r="O79" t="s">
        <v>64</v>
      </c>
      <c r="P79" t="s">
        <v>18</v>
      </c>
      <c r="Q79">
        <f>Table1[[#This Row],[Course_Fee_AED]]-Table1[[#This Row],[Amount_Paid_AED]]</f>
        <v>3989</v>
      </c>
      <c r="R79">
        <f>Table1[[#This Row],[Course_Fee_AED]]-Table1[[#This Row],[pending Revenue]]</f>
        <v>1994</v>
      </c>
    </row>
    <row r="80" spans="1:18" x14ac:dyDescent="0.25">
      <c r="A80" t="s">
        <v>157</v>
      </c>
      <c r="B80" s="2">
        <v>45653</v>
      </c>
      <c r="C80" t="s">
        <v>82</v>
      </c>
      <c r="D80" t="s">
        <v>83</v>
      </c>
      <c r="E80" t="s">
        <v>17</v>
      </c>
      <c r="F80" s="5">
        <v>6</v>
      </c>
      <c r="G80" s="5">
        <v>1</v>
      </c>
      <c r="H80" s="5">
        <v>14945</v>
      </c>
      <c r="I80" s="5">
        <v>2</v>
      </c>
      <c r="J80" s="5">
        <v>9962</v>
      </c>
      <c r="K80" t="s">
        <v>18</v>
      </c>
      <c r="L80" t="s">
        <v>57</v>
      </c>
      <c r="M80" t="s">
        <v>47</v>
      </c>
      <c r="N80" t="s">
        <v>90</v>
      </c>
      <c r="O80" t="s">
        <v>68</v>
      </c>
      <c r="P80" t="s">
        <v>18</v>
      </c>
      <c r="Q80">
        <f>Table1[[#This Row],[Course_Fee_AED]]-Table1[[#This Row],[Amount_Paid_AED]]</f>
        <v>4983</v>
      </c>
      <c r="R80">
        <f>Table1[[#This Row],[Course_Fee_AED]]-Table1[[#This Row],[pending Revenue]]</f>
        <v>9962</v>
      </c>
    </row>
    <row r="81" spans="1:18" x14ac:dyDescent="0.25">
      <c r="A81" t="s">
        <v>158</v>
      </c>
      <c r="B81" s="2">
        <v>45317</v>
      </c>
      <c r="C81" t="s">
        <v>24</v>
      </c>
      <c r="D81" t="s">
        <v>25</v>
      </c>
      <c r="E81" t="s">
        <v>26</v>
      </c>
      <c r="F81" s="5">
        <v>3</v>
      </c>
      <c r="G81" s="5">
        <v>1</v>
      </c>
      <c r="H81" s="5">
        <v>5019</v>
      </c>
      <c r="I81" s="5">
        <v>3</v>
      </c>
      <c r="J81" s="5">
        <v>5019</v>
      </c>
      <c r="K81" t="s">
        <v>33</v>
      </c>
      <c r="L81" t="s">
        <v>40</v>
      </c>
      <c r="M81" t="s">
        <v>41</v>
      </c>
      <c r="N81" t="s">
        <v>61</v>
      </c>
      <c r="O81" t="s">
        <v>87</v>
      </c>
      <c r="P81" t="s">
        <v>36</v>
      </c>
      <c r="Q81">
        <f>Table1[[#This Row],[Course_Fee_AED]]-Table1[[#This Row],[Amount_Paid_AED]]</f>
        <v>0</v>
      </c>
      <c r="R81">
        <f>Table1[[#This Row],[Course_Fee_AED]]-Table1[[#This Row],[pending Revenue]]</f>
        <v>5019</v>
      </c>
    </row>
    <row r="82" spans="1:18" x14ac:dyDescent="0.25">
      <c r="A82" t="s">
        <v>159</v>
      </c>
      <c r="B82" s="2">
        <v>45527</v>
      </c>
      <c r="C82" t="s">
        <v>75</v>
      </c>
      <c r="D82" t="s">
        <v>76</v>
      </c>
      <c r="E82" t="s">
        <v>26</v>
      </c>
      <c r="F82" s="5">
        <v>3</v>
      </c>
      <c r="G82" s="5">
        <v>1</v>
      </c>
      <c r="H82" s="5">
        <v>7349</v>
      </c>
      <c r="I82" s="5">
        <v>1</v>
      </c>
      <c r="J82" s="5">
        <v>2449</v>
      </c>
      <c r="K82" t="s">
        <v>18</v>
      </c>
      <c r="L82" t="s">
        <v>40</v>
      </c>
      <c r="M82" t="s">
        <v>27</v>
      </c>
      <c r="N82" t="s">
        <v>21</v>
      </c>
      <c r="O82" t="s">
        <v>58</v>
      </c>
      <c r="P82" t="s">
        <v>36</v>
      </c>
      <c r="Q82">
        <f>Table1[[#This Row],[Course_Fee_AED]]-Table1[[#This Row],[Amount_Paid_AED]]</f>
        <v>4900</v>
      </c>
      <c r="R82">
        <f>Table1[[#This Row],[Course_Fee_AED]]-Table1[[#This Row],[pending Revenue]]</f>
        <v>2449</v>
      </c>
    </row>
    <row r="83" spans="1:18" x14ac:dyDescent="0.25">
      <c r="A83" t="s">
        <v>160</v>
      </c>
      <c r="B83" s="2">
        <v>45617</v>
      </c>
      <c r="C83" t="s">
        <v>92</v>
      </c>
      <c r="D83" t="s">
        <v>93</v>
      </c>
      <c r="E83" t="s">
        <v>26</v>
      </c>
      <c r="F83" s="5">
        <v>3</v>
      </c>
      <c r="G83" s="5">
        <v>1</v>
      </c>
      <c r="H83" s="5">
        <v>5999</v>
      </c>
      <c r="I83" s="5">
        <v>1</v>
      </c>
      <c r="J83" s="5">
        <v>1999</v>
      </c>
      <c r="K83" t="s">
        <v>18</v>
      </c>
      <c r="L83" t="s">
        <v>19</v>
      </c>
      <c r="M83" t="s">
        <v>41</v>
      </c>
      <c r="N83" t="s">
        <v>42</v>
      </c>
      <c r="O83" t="s">
        <v>71</v>
      </c>
      <c r="P83" t="s">
        <v>18</v>
      </c>
      <c r="Q83">
        <f>Table1[[#This Row],[Course_Fee_AED]]-Table1[[#This Row],[Amount_Paid_AED]]</f>
        <v>4000</v>
      </c>
      <c r="R83">
        <f>Table1[[#This Row],[Course_Fee_AED]]-Table1[[#This Row],[pending Revenue]]</f>
        <v>1999</v>
      </c>
    </row>
    <row r="84" spans="1:18" x14ac:dyDescent="0.25">
      <c r="A84" t="s">
        <v>161</v>
      </c>
      <c r="B84" s="2">
        <v>45656</v>
      </c>
      <c r="C84" t="s">
        <v>55</v>
      </c>
      <c r="D84" t="s">
        <v>56</v>
      </c>
      <c r="E84" t="s">
        <v>17</v>
      </c>
      <c r="F84" s="5">
        <v>6</v>
      </c>
      <c r="G84" s="5">
        <v>1</v>
      </c>
      <c r="H84" s="5">
        <v>9424</v>
      </c>
      <c r="I84" s="5">
        <v>2</v>
      </c>
      <c r="J84" s="5">
        <v>6282</v>
      </c>
      <c r="K84" t="s">
        <v>18</v>
      </c>
      <c r="L84" t="s">
        <v>40</v>
      </c>
      <c r="M84" t="s">
        <v>41</v>
      </c>
      <c r="N84" t="s">
        <v>79</v>
      </c>
      <c r="O84" t="s">
        <v>29</v>
      </c>
      <c r="P84" t="s">
        <v>36</v>
      </c>
      <c r="Q84">
        <f>Table1[[#This Row],[Course_Fee_AED]]-Table1[[#This Row],[Amount_Paid_AED]]</f>
        <v>3142</v>
      </c>
      <c r="R84">
        <f>Table1[[#This Row],[Course_Fee_AED]]-Table1[[#This Row],[pending Revenue]]</f>
        <v>6282</v>
      </c>
    </row>
    <row r="85" spans="1:18" x14ac:dyDescent="0.25">
      <c r="A85" t="s">
        <v>162</v>
      </c>
      <c r="B85" s="2">
        <v>45368</v>
      </c>
      <c r="C85" t="s">
        <v>24</v>
      </c>
      <c r="D85" t="s">
        <v>25</v>
      </c>
      <c r="E85" t="s">
        <v>17</v>
      </c>
      <c r="F85" s="5">
        <v>6</v>
      </c>
      <c r="G85" s="5">
        <v>1</v>
      </c>
      <c r="H85" s="5">
        <v>5702</v>
      </c>
      <c r="I85" s="5">
        <v>2</v>
      </c>
      <c r="J85" s="5">
        <v>3800</v>
      </c>
      <c r="K85" t="s">
        <v>18</v>
      </c>
      <c r="L85" t="s">
        <v>19</v>
      </c>
      <c r="M85" t="s">
        <v>41</v>
      </c>
      <c r="N85" t="s">
        <v>21</v>
      </c>
      <c r="O85" t="s">
        <v>68</v>
      </c>
      <c r="P85" t="s">
        <v>18</v>
      </c>
      <c r="Q85">
        <f>Table1[[#This Row],[Course_Fee_AED]]-Table1[[#This Row],[Amount_Paid_AED]]</f>
        <v>1902</v>
      </c>
      <c r="R85">
        <f>Table1[[#This Row],[Course_Fee_AED]]-Table1[[#This Row],[pending Revenue]]</f>
        <v>3800</v>
      </c>
    </row>
    <row r="86" spans="1:18" x14ac:dyDescent="0.25">
      <c r="A86" t="s">
        <v>163</v>
      </c>
      <c r="B86" s="2">
        <v>45516</v>
      </c>
      <c r="C86" t="s">
        <v>92</v>
      </c>
      <c r="D86" t="s">
        <v>93</v>
      </c>
      <c r="E86" t="s">
        <v>17</v>
      </c>
      <c r="F86" s="5">
        <v>6</v>
      </c>
      <c r="G86" s="5">
        <v>1</v>
      </c>
      <c r="H86" s="5">
        <v>5244</v>
      </c>
      <c r="I86" s="5">
        <v>1</v>
      </c>
      <c r="J86" s="5">
        <v>1748</v>
      </c>
      <c r="K86" t="s">
        <v>18</v>
      </c>
      <c r="L86" t="s">
        <v>40</v>
      </c>
      <c r="M86" t="s">
        <v>60</v>
      </c>
      <c r="N86" t="s">
        <v>61</v>
      </c>
      <c r="O86" t="s">
        <v>35</v>
      </c>
      <c r="P86" t="s">
        <v>36</v>
      </c>
      <c r="Q86">
        <f>Table1[[#This Row],[Course_Fee_AED]]-Table1[[#This Row],[Amount_Paid_AED]]</f>
        <v>3496</v>
      </c>
      <c r="R86">
        <f>Table1[[#This Row],[Course_Fee_AED]]-Table1[[#This Row],[pending Revenue]]</f>
        <v>1748</v>
      </c>
    </row>
    <row r="87" spans="1:18" x14ac:dyDescent="0.25">
      <c r="A87" t="s">
        <v>164</v>
      </c>
      <c r="B87" s="2">
        <v>45628</v>
      </c>
      <c r="C87" t="s">
        <v>31</v>
      </c>
      <c r="D87" t="s">
        <v>32</v>
      </c>
      <c r="E87" t="s">
        <v>26</v>
      </c>
      <c r="F87" s="5">
        <v>3</v>
      </c>
      <c r="G87" s="5">
        <v>1</v>
      </c>
      <c r="H87" s="5">
        <v>4502</v>
      </c>
      <c r="I87" s="5">
        <v>3</v>
      </c>
      <c r="J87" s="5">
        <v>4500</v>
      </c>
      <c r="K87" t="s">
        <v>18</v>
      </c>
      <c r="L87" t="s">
        <v>19</v>
      </c>
      <c r="M87" t="s">
        <v>47</v>
      </c>
      <c r="N87" t="s">
        <v>53</v>
      </c>
      <c r="O87" t="s">
        <v>68</v>
      </c>
      <c r="P87" t="s">
        <v>18</v>
      </c>
      <c r="Q87">
        <f>Table1[[#This Row],[Course_Fee_AED]]-Table1[[#This Row],[Amount_Paid_AED]]</f>
        <v>2</v>
      </c>
      <c r="R87">
        <f>Table1[[#This Row],[Course_Fee_AED]]-Table1[[#This Row],[pending Revenue]]</f>
        <v>4500</v>
      </c>
    </row>
    <row r="88" spans="1:18" x14ac:dyDescent="0.25">
      <c r="A88" t="s">
        <v>165</v>
      </c>
      <c r="B88" s="2">
        <v>45355</v>
      </c>
      <c r="C88" t="s">
        <v>82</v>
      </c>
      <c r="D88" t="s">
        <v>83</v>
      </c>
      <c r="E88" t="s">
        <v>26</v>
      </c>
      <c r="F88" s="5">
        <v>3</v>
      </c>
      <c r="G88" s="5">
        <v>1</v>
      </c>
      <c r="H88" s="5">
        <v>8373</v>
      </c>
      <c r="I88" s="5">
        <v>1</v>
      </c>
      <c r="J88" s="5">
        <v>2791</v>
      </c>
      <c r="K88" t="s">
        <v>18</v>
      </c>
      <c r="L88" t="s">
        <v>57</v>
      </c>
      <c r="M88" t="s">
        <v>47</v>
      </c>
      <c r="N88" t="s">
        <v>90</v>
      </c>
      <c r="O88" t="s">
        <v>71</v>
      </c>
      <c r="P88" t="s">
        <v>36</v>
      </c>
      <c r="Q88">
        <f>Table1[[#This Row],[Course_Fee_AED]]-Table1[[#This Row],[Amount_Paid_AED]]</f>
        <v>5582</v>
      </c>
      <c r="R88">
        <f>Table1[[#This Row],[Course_Fee_AED]]-Table1[[#This Row],[pending Revenue]]</f>
        <v>2791</v>
      </c>
    </row>
    <row r="89" spans="1:18" x14ac:dyDescent="0.25">
      <c r="A89" t="s">
        <v>166</v>
      </c>
      <c r="B89" s="2">
        <v>45403</v>
      </c>
      <c r="C89" t="s">
        <v>66</v>
      </c>
      <c r="D89" t="s">
        <v>56</v>
      </c>
      <c r="E89" t="s">
        <v>17</v>
      </c>
      <c r="F89" s="5">
        <v>6</v>
      </c>
      <c r="G89" s="5">
        <v>1</v>
      </c>
      <c r="H89" s="5">
        <v>8316</v>
      </c>
      <c r="I89" s="5">
        <v>1</v>
      </c>
      <c r="J89" s="5">
        <v>2772</v>
      </c>
      <c r="K89" t="s">
        <v>18</v>
      </c>
      <c r="L89" t="s">
        <v>19</v>
      </c>
      <c r="M89" t="s">
        <v>27</v>
      </c>
      <c r="N89" t="s">
        <v>70</v>
      </c>
      <c r="O89" t="s">
        <v>71</v>
      </c>
      <c r="P89" t="s">
        <v>36</v>
      </c>
      <c r="Q89">
        <f>Table1[[#This Row],[Course_Fee_AED]]-Table1[[#This Row],[Amount_Paid_AED]]</f>
        <v>5544</v>
      </c>
      <c r="R89">
        <f>Table1[[#This Row],[Course_Fee_AED]]-Table1[[#This Row],[pending Revenue]]</f>
        <v>2772</v>
      </c>
    </row>
    <row r="90" spans="1:18" x14ac:dyDescent="0.25">
      <c r="A90" t="s">
        <v>167</v>
      </c>
      <c r="B90" s="2">
        <v>45518</v>
      </c>
      <c r="C90" t="s">
        <v>75</v>
      </c>
      <c r="D90" t="s">
        <v>76</v>
      </c>
      <c r="E90" t="s">
        <v>17</v>
      </c>
      <c r="F90" s="5">
        <v>6</v>
      </c>
      <c r="G90" s="5">
        <v>1</v>
      </c>
      <c r="H90" s="5">
        <v>14703</v>
      </c>
      <c r="I90" s="5">
        <v>2</v>
      </c>
      <c r="J90" s="5">
        <v>9802</v>
      </c>
      <c r="K90" t="s">
        <v>18</v>
      </c>
      <c r="L90" t="s">
        <v>40</v>
      </c>
      <c r="M90" t="s">
        <v>41</v>
      </c>
      <c r="N90" t="s">
        <v>34</v>
      </c>
      <c r="O90" t="s">
        <v>71</v>
      </c>
      <c r="P90" t="s">
        <v>18</v>
      </c>
      <c r="Q90">
        <f>Table1[[#This Row],[Course_Fee_AED]]-Table1[[#This Row],[Amount_Paid_AED]]</f>
        <v>4901</v>
      </c>
      <c r="R90">
        <f>Table1[[#This Row],[Course_Fee_AED]]-Table1[[#This Row],[pending Revenue]]</f>
        <v>9802</v>
      </c>
    </row>
    <row r="91" spans="1:18" x14ac:dyDescent="0.25">
      <c r="A91" t="s">
        <v>168</v>
      </c>
      <c r="B91" s="2">
        <v>45391</v>
      </c>
      <c r="C91" t="s">
        <v>92</v>
      </c>
      <c r="D91" t="s">
        <v>93</v>
      </c>
      <c r="E91" t="s">
        <v>17</v>
      </c>
      <c r="F91" s="5">
        <v>6</v>
      </c>
      <c r="G91" s="5">
        <v>1</v>
      </c>
      <c r="H91" s="5">
        <v>5291</v>
      </c>
      <c r="I91" s="5">
        <v>1</v>
      </c>
      <c r="J91" s="5">
        <v>1763</v>
      </c>
      <c r="K91" t="s">
        <v>18</v>
      </c>
      <c r="L91" t="s">
        <v>57</v>
      </c>
      <c r="M91" t="s">
        <v>60</v>
      </c>
      <c r="N91" t="s">
        <v>48</v>
      </c>
      <c r="O91" t="s">
        <v>71</v>
      </c>
      <c r="P91" t="s">
        <v>18</v>
      </c>
      <c r="Q91">
        <f>Table1[[#This Row],[Course_Fee_AED]]-Table1[[#This Row],[Amount_Paid_AED]]</f>
        <v>3528</v>
      </c>
      <c r="R91">
        <f>Table1[[#This Row],[Course_Fee_AED]]-Table1[[#This Row],[pending Revenue]]</f>
        <v>1763</v>
      </c>
    </row>
    <row r="92" spans="1:18" x14ac:dyDescent="0.25">
      <c r="A92" t="s">
        <v>169</v>
      </c>
      <c r="B92" s="2">
        <v>45481</v>
      </c>
      <c r="C92" t="s">
        <v>15</v>
      </c>
      <c r="D92" t="s">
        <v>16</v>
      </c>
      <c r="E92" t="s">
        <v>17</v>
      </c>
      <c r="F92" s="5">
        <v>6</v>
      </c>
      <c r="G92" s="5">
        <v>1</v>
      </c>
      <c r="H92" s="5">
        <v>7723</v>
      </c>
      <c r="I92" s="5">
        <v>1</v>
      </c>
      <c r="J92" s="5">
        <v>2574</v>
      </c>
      <c r="K92" t="s">
        <v>18</v>
      </c>
      <c r="L92" t="s">
        <v>57</v>
      </c>
      <c r="M92" t="s">
        <v>63</v>
      </c>
      <c r="N92" t="s">
        <v>48</v>
      </c>
      <c r="O92" t="s">
        <v>58</v>
      </c>
      <c r="P92" t="s">
        <v>36</v>
      </c>
      <c r="Q92">
        <f>Table1[[#This Row],[Course_Fee_AED]]-Table1[[#This Row],[Amount_Paid_AED]]</f>
        <v>5149</v>
      </c>
      <c r="R92">
        <f>Table1[[#This Row],[Course_Fee_AED]]-Table1[[#This Row],[pending Revenue]]</f>
        <v>2574</v>
      </c>
    </row>
    <row r="93" spans="1:18" x14ac:dyDescent="0.25">
      <c r="A93" t="s">
        <v>170</v>
      </c>
      <c r="B93" s="2">
        <v>45370</v>
      </c>
      <c r="C93" t="s">
        <v>38</v>
      </c>
      <c r="D93" t="s">
        <v>39</v>
      </c>
      <c r="E93" t="s">
        <v>26</v>
      </c>
      <c r="F93" s="5">
        <v>3</v>
      </c>
      <c r="G93" s="5">
        <v>1</v>
      </c>
      <c r="H93" s="5">
        <v>6049</v>
      </c>
      <c r="I93" s="5">
        <v>2</v>
      </c>
      <c r="J93" s="5">
        <v>4032</v>
      </c>
      <c r="K93" t="s">
        <v>18</v>
      </c>
      <c r="L93" t="s">
        <v>19</v>
      </c>
      <c r="M93" t="s">
        <v>63</v>
      </c>
      <c r="N93" t="s">
        <v>73</v>
      </c>
      <c r="O93" t="s">
        <v>58</v>
      </c>
      <c r="P93" t="s">
        <v>18</v>
      </c>
      <c r="Q93">
        <f>Table1[[#This Row],[Course_Fee_AED]]-Table1[[#This Row],[Amount_Paid_AED]]</f>
        <v>2017</v>
      </c>
      <c r="R93">
        <f>Table1[[#This Row],[Course_Fee_AED]]-Table1[[#This Row],[pending Revenue]]</f>
        <v>4032</v>
      </c>
    </row>
    <row r="94" spans="1:18" x14ac:dyDescent="0.25">
      <c r="A94" t="s">
        <v>171</v>
      </c>
      <c r="B94" s="2">
        <v>45567</v>
      </c>
      <c r="C94" t="s">
        <v>113</v>
      </c>
      <c r="D94" t="s">
        <v>93</v>
      </c>
      <c r="E94" t="s">
        <v>26</v>
      </c>
      <c r="F94" s="5">
        <v>3</v>
      </c>
      <c r="G94" s="5">
        <v>1</v>
      </c>
      <c r="H94" s="5">
        <v>4484</v>
      </c>
      <c r="I94" s="5">
        <v>1</v>
      </c>
      <c r="J94" s="5">
        <v>1494</v>
      </c>
      <c r="K94" t="s">
        <v>18</v>
      </c>
      <c r="L94" t="s">
        <v>19</v>
      </c>
      <c r="M94" t="s">
        <v>41</v>
      </c>
      <c r="N94" t="s">
        <v>70</v>
      </c>
      <c r="O94" t="s">
        <v>22</v>
      </c>
      <c r="P94" t="s">
        <v>18</v>
      </c>
      <c r="Q94">
        <f>Table1[[#This Row],[Course_Fee_AED]]-Table1[[#This Row],[Amount_Paid_AED]]</f>
        <v>2990</v>
      </c>
      <c r="R94">
        <f>Table1[[#This Row],[Course_Fee_AED]]-Table1[[#This Row],[pending Revenue]]</f>
        <v>1494</v>
      </c>
    </row>
    <row r="95" spans="1:18" x14ac:dyDescent="0.25">
      <c r="A95" t="s">
        <v>172</v>
      </c>
      <c r="B95" s="2">
        <v>45553</v>
      </c>
      <c r="C95" t="s">
        <v>31</v>
      </c>
      <c r="D95" t="s">
        <v>32</v>
      </c>
      <c r="E95" t="s">
        <v>26</v>
      </c>
      <c r="F95" s="5">
        <v>3</v>
      </c>
      <c r="G95" s="5">
        <v>1</v>
      </c>
      <c r="H95" s="5">
        <v>7485</v>
      </c>
      <c r="I95" s="5">
        <v>1</v>
      </c>
      <c r="J95" s="5">
        <v>2495</v>
      </c>
      <c r="K95" t="s">
        <v>18</v>
      </c>
      <c r="L95" t="s">
        <v>57</v>
      </c>
      <c r="M95" t="s">
        <v>20</v>
      </c>
      <c r="N95" t="s">
        <v>90</v>
      </c>
      <c r="O95" t="s">
        <v>58</v>
      </c>
      <c r="P95" t="s">
        <v>36</v>
      </c>
      <c r="Q95">
        <f>Table1[[#This Row],[Course_Fee_AED]]-Table1[[#This Row],[Amount_Paid_AED]]</f>
        <v>4990</v>
      </c>
      <c r="R95">
        <f>Table1[[#This Row],[Course_Fee_AED]]-Table1[[#This Row],[pending Revenue]]</f>
        <v>2495</v>
      </c>
    </row>
    <row r="96" spans="1:18" x14ac:dyDescent="0.25">
      <c r="A96" t="s">
        <v>173</v>
      </c>
      <c r="B96" s="2">
        <v>45510</v>
      </c>
      <c r="C96" t="s">
        <v>51</v>
      </c>
      <c r="D96" t="s">
        <v>52</v>
      </c>
      <c r="E96" t="s">
        <v>17</v>
      </c>
      <c r="F96" s="5">
        <v>6</v>
      </c>
      <c r="G96" s="5">
        <v>1</v>
      </c>
      <c r="H96" s="5">
        <v>5283</v>
      </c>
      <c r="I96" s="5">
        <v>2</v>
      </c>
      <c r="J96" s="5">
        <v>3522</v>
      </c>
      <c r="K96" t="s">
        <v>18</v>
      </c>
      <c r="L96" t="s">
        <v>57</v>
      </c>
      <c r="M96" t="s">
        <v>41</v>
      </c>
      <c r="N96" t="s">
        <v>90</v>
      </c>
      <c r="O96" t="s">
        <v>71</v>
      </c>
      <c r="P96" t="s">
        <v>18</v>
      </c>
      <c r="Q96">
        <f>Table1[[#This Row],[Course_Fee_AED]]-Table1[[#This Row],[Amount_Paid_AED]]</f>
        <v>1761</v>
      </c>
      <c r="R96">
        <f>Table1[[#This Row],[Course_Fee_AED]]-Table1[[#This Row],[pending Revenue]]</f>
        <v>3522</v>
      </c>
    </row>
    <row r="97" spans="1:18" x14ac:dyDescent="0.25">
      <c r="A97" t="s">
        <v>174</v>
      </c>
      <c r="B97" s="2">
        <v>45529</v>
      </c>
      <c r="C97" t="s">
        <v>82</v>
      </c>
      <c r="D97" t="s">
        <v>83</v>
      </c>
      <c r="E97" t="s">
        <v>17</v>
      </c>
      <c r="F97" s="5">
        <v>6</v>
      </c>
      <c r="G97" s="5">
        <v>1</v>
      </c>
      <c r="H97" s="5">
        <v>14089</v>
      </c>
      <c r="I97" s="5">
        <v>2</v>
      </c>
      <c r="J97" s="5">
        <v>9392</v>
      </c>
      <c r="K97" t="s">
        <v>18</v>
      </c>
      <c r="L97" t="s">
        <v>40</v>
      </c>
      <c r="M97" t="s">
        <v>20</v>
      </c>
      <c r="N97" t="s">
        <v>95</v>
      </c>
      <c r="O97" t="s">
        <v>71</v>
      </c>
      <c r="P97" t="s">
        <v>18</v>
      </c>
      <c r="Q97">
        <f>Table1[[#This Row],[Course_Fee_AED]]-Table1[[#This Row],[Amount_Paid_AED]]</f>
        <v>4697</v>
      </c>
      <c r="R97">
        <f>Table1[[#This Row],[Course_Fee_AED]]-Table1[[#This Row],[pending Revenue]]</f>
        <v>9392</v>
      </c>
    </row>
    <row r="98" spans="1:18" x14ac:dyDescent="0.25">
      <c r="A98" t="s">
        <v>175</v>
      </c>
      <c r="B98" s="2">
        <v>45604</v>
      </c>
      <c r="C98" t="s">
        <v>82</v>
      </c>
      <c r="D98" t="s">
        <v>83</v>
      </c>
      <c r="E98" t="s">
        <v>26</v>
      </c>
      <c r="F98" s="5">
        <v>3</v>
      </c>
      <c r="G98" s="5">
        <v>1</v>
      </c>
      <c r="H98" s="5">
        <v>10160</v>
      </c>
      <c r="I98" s="5">
        <v>1</v>
      </c>
      <c r="J98" s="5">
        <v>3386</v>
      </c>
      <c r="K98" t="s">
        <v>18</v>
      </c>
      <c r="L98" t="s">
        <v>40</v>
      </c>
      <c r="M98" t="s">
        <v>60</v>
      </c>
      <c r="N98" t="s">
        <v>21</v>
      </c>
      <c r="O98" t="s">
        <v>35</v>
      </c>
      <c r="P98" t="s">
        <v>18</v>
      </c>
      <c r="Q98">
        <f>Table1[[#This Row],[Course_Fee_AED]]-Table1[[#This Row],[Amount_Paid_AED]]</f>
        <v>6774</v>
      </c>
      <c r="R98">
        <f>Table1[[#This Row],[Course_Fee_AED]]-Table1[[#This Row],[pending Revenue]]</f>
        <v>3386</v>
      </c>
    </row>
    <row r="99" spans="1:18" x14ac:dyDescent="0.25">
      <c r="A99" t="s">
        <v>176</v>
      </c>
      <c r="B99" s="2">
        <v>45318</v>
      </c>
      <c r="C99" t="s">
        <v>24</v>
      </c>
      <c r="D99" t="s">
        <v>25</v>
      </c>
      <c r="E99" t="s">
        <v>17</v>
      </c>
      <c r="F99" s="5">
        <v>6</v>
      </c>
      <c r="G99" s="5">
        <v>1</v>
      </c>
      <c r="H99" s="5">
        <v>4798</v>
      </c>
      <c r="I99" s="5">
        <v>2</v>
      </c>
      <c r="J99" s="5">
        <v>3198</v>
      </c>
      <c r="K99" t="s">
        <v>18</v>
      </c>
      <c r="L99" t="s">
        <v>40</v>
      </c>
      <c r="M99" t="s">
        <v>60</v>
      </c>
      <c r="N99" t="s">
        <v>28</v>
      </c>
      <c r="O99" t="s">
        <v>43</v>
      </c>
      <c r="P99" t="s">
        <v>36</v>
      </c>
      <c r="Q99">
        <f>Table1[[#This Row],[Course_Fee_AED]]-Table1[[#This Row],[Amount_Paid_AED]]</f>
        <v>1600</v>
      </c>
      <c r="R99">
        <f>Table1[[#This Row],[Course_Fee_AED]]-Table1[[#This Row],[pending Revenue]]</f>
        <v>3198</v>
      </c>
    </row>
    <row r="100" spans="1:18" x14ac:dyDescent="0.25">
      <c r="A100" t="s">
        <v>177</v>
      </c>
      <c r="B100" s="2">
        <v>45357</v>
      </c>
      <c r="C100" t="s">
        <v>45</v>
      </c>
      <c r="D100" t="s">
        <v>46</v>
      </c>
      <c r="E100" t="s">
        <v>17</v>
      </c>
      <c r="F100" s="5">
        <v>6</v>
      </c>
      <c r="G100" s="5">
        <v>1</v>
      </c>
      <c r="H100" s="5">
        <v>6294</v>
      </c>
      <c r="I100" s="5">
        <v>1</v>
      </c>
      <c r="J100" s="5">
        <v>2098</v>
      </c>
      <c r="K100" t="s">
        <v>18</v>
      </c>
      <c r="L100" t="s">
        <v>19</v>
      </c>
      <c r="M100" t="s">
        <v>27</v>
      </c>
      <c r="N100" t="s">
        <v>86</v>
      </c>
      <c r="O100" t="s">
        <v>35</v>
      </c>
      <c r="P100" t="s">
        <v>36</v>
      </c>
      <c r="Q100">
        <f>Table1[[#This Row],[Course_Fee_AED]]-Table1[[#This Row],[Amount_Paid_AED]]</f>
        <v>4196</v>
      </c>
      <c r="R100">
        <f>Table1[[#This Row],[Course_Fee_AED]]-Table1[[#This Row],[pending Revenue]]</f>
        <v>2098</v>
      </c>
    </row>
    <row r="101" spans="1:18" x14ac:dyDescent="0.25">
      <c r="A101" t="s">
        <v>178</v>
      </c>
      <c r="B101" s="2">
        <v>45646</v>
      </c>
      <c r="C101" t="s">
        <v>75</v>
      </c>
      <c r="D101" t="s">
        <v>76</v>
      </c>
      <c r="E101" t="s">
        <v>17</v>
      </c>
      <c r="F101" s="5">
        <v>6</v>
      </c>
      <c r="G101" s="5">
        <v>1</v>
      </c>
      <c r="H101" s="5">
        <v>12130</v>
      </c>
      <c r="I101" s="5">
        <v>2</v>
      </c>
      <c r="J101" s="5">
        <v>8086</v>
      </c>
      <c r="K101" t="s">
        <v>18</v>
      </c>
      <c r="L101" t="s">
        <v>40</v>
      </c>
      <c r="M101" t="s">
        <v>41</v>
      </c>
      <c r="N101" t="s">
        <v>90</v>
      </c>
      <c r="O101" t="s">
        <v>58</v>
      </c>
      <c r="P101" t="s">
        <v>18</v>
      </c>
      <c r="Q101">
        <f>Table1[[#This Row],[Course_Fee_AED]]-Table1[[#This Row],[Amount_Paid_AED]]</f>
        <v>4044</v>
      </c>
      <c r="R101">
        <f>Table1[[#This Row],[Course_Fee_AED]]-Table1[[#This Row],[pending Revenue]]</f>
        <v>8086</v>
      </c>
    </row>
    <row r="102" spans="1:18" x14ac:dyDescent="0.25">
      <c r="A102" t="s">
        <v>179</v>
      </c>
      <c r="B102" s="2">
        <v>45309</v>
      </c>
      <c r="C102" t="s">
        <v>82</v>
      </c>
      <c r="D102" t="s">
        <v>83</v>
      </c>
      <c r="E102" t="s">
        <v>26</v>
      </c>
      <c r="F102" s="5">
        <v>3</v>
      </c>
      <c r="G102" s="5">
        <v>1</v>
      </c>
      <c r="H102" s="5">
        <v>14560</v>
      </c>
      <c r="I102" s="5">
        <v>2</v>
      </c>
      <c r="J102" s="5">
        <v>9706</v>
      </c>
      <c r="K102" t="s">
        <v>18</v>
      </c>
      <c r="L102" t="s">
        <v>57</v>
      </c>
      <c r="M102" t="s">
        <v>41</v>
      </c>
      <c r="N102" t="s">
        <v>61</v>
      </c>
      <c r="O102" t="s">
        <v>58</v>
      </c>
      <c r="P102" t="s">
        <v>36</v>
      </c>
      <c r="Q102">
        <f>Table1[[#This Row],[Course_Fee_AED]]-Table1[[#This Row],[Amount_Paid_AED]]</f>
        <v>4854</v>
      </c>
      <c r="R102">
        <f>Table1[[#This Row],[Course_Fee_AED]]-Table1[[#This Row],[pending Revenue]]</f>
        <v>9706</v>
      </c>
    </row>
    <row r="103" spans="1:18" x14ac:dyDescent="0.25">
      <c r="A103" t="s">
        <v>180</v>
      </c>
      <c r="B103" s="2">
        <v>45642</v>
      </c>
      <c r="C103" t="s">
        <v>66</v>
      </c>
      <c r="D103" t="s">
        <v>56</v>
      </c>
      <c r="E103" t="s">
        <v>17</v>
      </c>
      <c r="F103" s="5">
        <v>6</v>
      </c>
      <c r="G103" s="5">
        <v>1</v>
      </c>
      <c r="H103" s="5">
        <v>11765</v>
      </c>
      <c r="I103" s="5">
        <v>1</v>
      </c>
      <c r="J103" s="5">
        <v>3921</v>
      </c>
      <c r="K103" t="s">
        <v>18</v>
      </c>
      <c r="L103" t="s">
        <v>19</v>
      </c>
      <c r="M103" t="s">
        <v>63</v>
      </c>
      <c r="N103" t="s">
        <v>48</v>
      </c>
      <c r="O103" t="s">
        <v>64</v>
      </c>
      <c r="P103" t="s">
        <v>36</v>
      </c>
      <c r="Q103">
        <f>Table1[[#This Row],[Course_Fee_AED]]-Table1[[#This Row],[Amount_Paid_AED]]</f>
        <v>7844</v>
      </c>
      <c r="R103">
        <f>Table1[[#This Row],[Course_Fee_AED]]-Table1[[#This Row],[pending Revenue]]</f>
        <v>3921</v>
      </c>
    </row>
    <row r="104" spans="1:18" x14ac:dyDescent="0.25">
      <c r="A104" t="s">
        <v>181</v>
      </c>
      <c r="B104" s="2">
        <v>45352</v>
      </c>
      <c r="C104" t="s">
        <v>113</v>
      </c>
      <c r="D104" t="s">
        <v>93</v>
      </c>
      <c r="E104" t="s">
        <v>17</v>
      </c>
      <c r="F104" s="5">
        <v>6</v>
      </c>
      <c r="G104" s="5">
        <v>1</v>
      </c>
      <c r="H104" s="5">
        <v>4585</v>
      </c>
      <c r="I104" s="5">
        <v>1</v>
      </c>
      <c r="J104" s="5">
        <v>1528</v>
      </c>
      <c r="K104" t="s">
        <v>18</v>
      </c>
      <c r="L104" t="s">
        <v>19</v>
      </c>
      <c r="M104" t="s">
        <v>20</v>
      </c>
      <c r="N104" t="s">
        <v>95</v>
      </c>
      <c r="O104" t="s">
        <v>68</v>
      </c>
      <c r="P104" t="s">
        <v>36</v>
      </c>
      <c r="Q104">
        <f>Table1[[#This Row],[Course_Fee_AED]]-Table1[[#This Row],[Amount_Paid_AED]]</f>
        <v>3057</v>
      </c>
      <c r="R104">
        <f>Table1[[#This Row],[Course_Fee_AED]]-Table1[[#This Row],[pending Revenue]]</f>
        <v>1528</v>
      </c>
    </row>
    <row r="105" spans="1:18" x14ac:dyDescent="0.25">
      <c r="A105" t="s">
        <v>182</v>
      </c>
      <c r="B105" s="2">
        <v>45584</v>
      </c>
      <c r="C105" t="s">
        <v>24</v>
      </c>
      <c r="D105" t="s">
        <v>25</v>
      </c>
      <c r="E105" t="s">
        <v>17</v>
      </c>
      <c r="F105" s="5">
        <v>6</v>
      </c>
      <c r="G105" s="5">
        <v>1</v>
      </c>
      <c r="H105" s="5">
        <v>6141</v>
      </c>
      <c r="I105" s="5">
        <v>2</v>
      </c>
      <c r="J105" s="5">
        <v>4094</v>
      </c>
      <c r="K105" t="s">
        <v>18</v>
      </c>
      <c r="L105" t="s">
        <v>19</v>
      </c>
      <c r="M105" t="s">
        <v>20</v>
      </c>
      <c r="N105" t="s">
        <v>90</v>
      </c>
      <c r="O105" t="s">
        <v>68</v>
      </c>
      <c r="P105" t="s">
        <v>18</v>
      </c>
      <c r="Q105">
        <f>Table1[[#This Row],[Course_Fee_AED]]-Table1[[#This Row],[Amount_Paid_AED]]</f>
        <v>2047</v>
      </c>
      <c r="R105">
        <f>Table1[[#This Row],[Course_Fee_AED]]-Table1[[#This Row],[pending Revenue]]</f>
        <v>4094</v>
      </c>
    </row>
    <row r="106" spans="1:18" x14ac:dyDescent="0.25">
      <c r="A106" t="s">
        <v>183</v>
      </c>
      <c r="B106" s="2">
        <v>45392</v>
      </c>
      <c r="C106" t="s">
        <v>113</v>
      </c>
      <c r="D106" t="s">
        <v>93</v>
      </c>
      <c r="E106" t="s">
        <v>26</v>
      </c>
      <c r="F106" s="5">
        <v>3</v>
      </c>
      <c r="G106" s="5">
        <v>1</v>
      </c>
      <c r="H106" s="5">
        <v>3323</v>
      </c>
      <c r="I106" s="5">
        <v>1</v>
      </c>
      <c r="J106" s="5">
        <v>1107</v>
      </c>
      <c r="K106" t="s">
        <v>18</v>
      </c>
      <c r="L106" t="s">
        <v>19</v>
      </c>
      <c r="M106" t="s">
        <v>47</v>
      </c>
      <c r="N106" t="s">
        <v>28</v>
      </c>
      <c r="O106" t="s">
        <v>43</v>
      </c>
      <c r="P106" t="s">
        <v>18</v>
      </c>
      <c r="Q106">
        <f>Table1[[#This Row],[Course_Fee_AED]]-Table1[[#This Row],[Amount_Paid_AED]]</f>
        <v>2216</v>
      </c>
      <c r="R106">
        <f>Table1[[#This Row],[Course_Fee_AED]]-Table1[[#This Row],[pending Revenue]]</f>
        <v>1107</v>
      </c>
    </row>
    <row r="107" spans="1:18" x14ac:dyDescent="0.25">
      <c r="A107" t="s">
        <v>184</v>
      </c>
      <c r="B107" s="2">
        <v>45351</v>
      </c>
      <c r="C107" t="s">
        <v>31</v>
      </c>
      <c r="D107" t="s">
        <v>32</v>
      </c>
      <c r="E107" t="s">
        <v>17</v>
      </c>
      <c r="F107" s="5">
        <v>6</v>
      </c>
      <c r="G107" s="5">
        <v>1</v>
      </c>
      <c r="H107" s="5">
        <v>6538</v>
      </c>
      <c r="I107" s="5">
        <v>1</v>
      </c>
      <c r="J107" s="5">
        <v>2179</v>
      </c>
      <c r="K107" t="s">
        <v>18</v>
      </c>
      <c r="L107" t="s">
        <v>40</v>
      </c>
      <c r="M107" t="s">
        <v>47</v>
      </c>
      <c r="N107" t="s">
        <v>21</v>
      </c>
      <c r="O107" t="s">
        <v>64</v>
      </c>
      <c r="P107" t="s">
        <v>18</v>
      </c>
      <c r="Q107">
        <f>Table1[[#This Row],[Course_Fee_AED]]-Table1[[#This Row],[Amount_Paid_AED]]</f>
        <v>4359</v>
      </c>
      <c r="R107">
        <f>Table1[[#This Row],[Course_Fee_AED]]-Table1[[#This Row],[pending Revenue]]</f>
        <v>2179</v>
      </c>
    </row>
    <row r="108" spans="1:18" x14ac:dyDescent="0.25">
      <c r="A108" t="s">
        <v>185</v>
      </c>
      <c r="B108" s="2">
        <v>45415</v>
      </c>
      <c r="C108" t="s">
        <v>106</v>
      </c>
      <c r="D108" t="s">
        <v>107</v>
      </c>
      <c r="E108" t="s">
        <v>26</v>
      </c>
      <c r="F108" s="5">
        <v>3</v>
      </c>
      <c r="G108" s="5">
        <v>1</v>
      </c>
      <c r="H108" s="5">
        <v>6984</v>
      </c>
      <c r="I108" s="5">
        <v>2</v>
      </c>
      <c r="J108" s="5">
        <v>4656</v>
      </c>
      <c r="K108" t="s">
        <v>18</v>
      </c>
      <c r="L108" t="s">
        <v>19</v>
      </c>
      <c r="M108" t="s">
        <v>41</v>
      </c>
      <c r="N108" t="s">
        <v>34</v>
      </c>
      <c r="O108" t="s">
        <v>71</v>
      </c>
      <c r="P108" t="s">
        <v>36</v>
      </c>
      <c r="Q108">
        <f>Table1[[#This Row],[Course_Fee_AED]]-Table1[[#This Row],[Amount_Paid_AED]]</f>
        <v>2328</v>
      </c>
      <c r="R108">
        <f>Table1[[#This Row],[Course_Fee_AED]]-Table1[[#This Row],[pending Revenue]]</f>
        <v>4656</v>
      </c>
    </row>
    <row r="109" spans="1:18" x14ac:dyDescent="0.25">
      <c r="A109" t="s">
        <v>186</v>
      </c>
      <c r="B109" s="2">
        <v>45379</v>
      </c>
      <c r="C109" t="s">
        <v>82</v>
      </c>
      <c r="D109" t="s">
        <v>83</v>
      </c>
      <c r="E109" t="s">
        <v>26</v>
      </c>
      <c r="F109" s="5">
        <v>3</v>
      </c>
      <c r="G109" s="5">
        <v>1</v>
      </c>
      <c r="H109" s="5">
        <v>11623</v>
      </c>
      <c r="I109" s="5">
        <v>1</v>
      </c>
      <c r="J109" s="5">
        <v>3874</v>
      </c>
      <c r="K109" t="s">
        <v>18</v>
      </c>
      <c r="L109" t="s">
        <v>40</v>
      </c>
      <c r="M109" t="s">
        <v>63</v>
      </c>
      <c r="N109" t="s">
        <v>42</v>
      </c>
      <c r="O109" t="s">
        <v>68</v>
      </c>
      <c r="P109" t="s">
        <v>18</v>
      </c>
      <c r="Q109">
        <f>Table1[[#This Row],[Course_Fee_AED]]-Table1[[#This Row],[Amount_Paid_AED]]</f>
        <v>7749</v>
      </c>
      <c r="R109">
        <f>Table1[[#This Row],[Course_Fee_AED]]-Table1[[#This Row],[pending Revenue]]</f>
        <v>3874</v>
      </c>
    </row>
    <row r="110" spans="1:18" x14ac:dyDescent="0.25">
      <c r="A110" t="s">
        <v>187</v>
      </c>
      <c r="B110" s="2">
        <v>45295</v>
      </c>
      <c r="C110" t="s">
        <v>38</v>
      </c>
      <c r="D110" t="s">
        <v>39</v>
      </c>
      <c r="E110" t="s">
        <v>26</v>
      </c>
      <c r="F110" s="5">
        <v>3</v>
      </c>
      <c r="G110" s="5">
        <v>1</v>
      </c>
      <c r="H110" s="5">
        <v>6572</v>
      </c>
      <c r="I110" s="5">
        <v>3</v>
      </c>
      <c r="J110" s="5">
        <v>6570</v>
      </c>
      <c r="K110" t="s">
        <v>18</v>
      </c>
      <c r="L110" t="s">
        <v>57</v>
      </c>
      <c r="M110" t="s">
        <v>47</v>
      </c>
      <c r="N110" t="s">
        <v>90</v>
      </c>
      <c r="O110" t="s">
        <v>43</v>
      </c>
      <c r="P110" t="s">
        <v>36</v>
      </c>
      <c r="Q110">
        <f>Table1[[#This Row],[Course_Fee_AED]]-Table1[[#This Row],[Amount_Paid_AED]]</f>
        <v>2</v>
      </c>
      <c r="R110">
        <f>Table1[[#This Row],[Course_Fee_AED]]-Table1[[#This Row],[pending Revenue]]</f>
        <v>6570</v>
      </c>
    </row>
    <row r="111" spans="1:18" x14ac:dyDescent="0.25">
      <c r="A111" t="s">
        <v>188</v>
      </c>
      <c r="B111" s="2">
        <v>45422</v>
      </c>
      <c r="C111" t="s">
        <v>38</v>
      </c>
      <c r="D111" t="s">
        <v>39</v>
      </c>
      <c r="E111" t="s">
        <v>17</v>
      </c>
      <c r="F111" s="5">
        <v>6</v>
      </c>
      <c r="G111" s="5">
        <v>1</v>
      </c>
      <c r="H111" s="5">
        <v>5246</v>
      </c>
      <c r="I111" s="5">
        <v>1</v>
      </c>
      <c r="J111" s="5">
        <v>1748</v>
      </c>
      <c r="K111" t="s">
        <v>18</v>
      </c>
      <c r="L111" t="s">
        <v>57</v>
      </c>
      <c r="M111" t="s">
        <v>63</v>
      </c>
      <c r="N111" t="s">
        <v>116</v>
      </c>
      <c r="O111" t="s">
        <v>71</v>
      </c>
      <c r="P111" t="s">
        <v>18</v>
      </c>
      <c r="Q111">
        <f>Table1[[#This Row],[Course_Fee_AED]]-Table1[[#This Row],[Amount_Paid_AED]]</f>
        <v>3498</v>
      </c>
      <c r="R111">
        <f>Table1[[#This Row],[Course_Fee_AED]]-Table1[[#This Row],[pending Revenue]]</f>
        <v>1748</v>
      </c>
    </row>
    <row r="112" spans="1:18" x14ac:dyDescent="0.25">
      <c r="A112" t="s">
        <v>189</v>
      </c>
      <c r="B112" s="2">
        <v>45487</v>
      </c>
      <c r="C112" t="s">
        <v>45</v>
      </c>
      <c r="D112" t="s">
        <v>46</v>
      </c>
      <c r="E112" t="s">
        <v>26</v>
      </c>
      <c r="F112" s="5">
        <v>3</v>
      </c>
      <c r="G112" s="5">
        <v>1</v>
      </c>
      <c r="H112" s="5">
        <v>5391</v>
      </c>
      <c r="I112" s="5">
        <v>1</v>
      </c>
      <c r="J112" s="5">
        <v>1797</v>
      </c>
      <c r="K112" t="s">
        <v>18</v>
      </c>
      <c r="L112" t="s">
        <v>40</v>
      </c>
      <c r="M112" t="s">
        <v>63</v>
      </c>
      <c r="N112" t="s">
        <v>48</v>
      </c>
      <c r="O112" t="s">
        <v>43</v>
      </c>
      <c r="P112" t="s">
        <v>36</v>
      </c>
      <c r="Q112">
        <f>Table1[[#This Row],[Course_Fee_AED]]-Table1[[#This Row],[Amount_Paid_AED]]</f>
        <v>3594</v>
      </c>
      <c r="R112">
        <f>Table1[[#This Row],[Course_Fee_AED]]-Table1[[#This Row],[pending Revenue]]</f>
        <v>1797</v>
      </c>
    </row>
    <row r="113" spans="1:18" x14ac:dyDescent="0.25">
      <c r="A113" t="s">
        <v>190</v>
      </c>
      <c r="B113" s="2">
        <v>45305</v>
      </c>
      <c r="C113" t="s">
        <v>106</v>
      </c>
      <c r="D113" t="s">
        <v>107</v>
      </c>
      <c r="E113" t="s">
        <v>26</v>
      </c>
      <c r="F113" s="5">
        <v>3</v>
      </c>
      <c r="G113" s="5">
        <v>1</v>
      </c>
      <c r="H113" s="5">
        <v>6648</v>
      </c>
      <c r="I113" s="5">
        <v>2</v>
      </c>
      <c r="J113" s="5">
        <v>4432</v>
      </c>
      <c r="K113" t="s">
        <v>18</v>
      </c>
      <c r="L113" t="s">
        <v>19</v>
      </c>
      <c r="M113" t="s">
        <v>20</v>
      </c>
      <c r="N113" t="s">
        <v>95</v>
      </c>
      <c r="O113" t="s">
        <v>35</v>
      </c>
      <c r="P113" t="s">
        <v>18</v>
      </c>
      <c r="Q113">
        <f>Table1[[#This Row],[Course_Fee_AED]]-Table1[[#This Row],[Amount_Paid_AED]]</f>
        <v>2216</v>
      </c>
      <c r="R113">
        <f>Table1[[#This Row],[Course_Fee_AED]]-Table1[[#This Row],[pending Revenue]]</f>
        <v>4432</v>
      </c>
    </row>
    <row r="114" spans="1:18" x14ac:dyDescent="0.25">
      <c r="A114" t="s">
        <v>191</v>
      </c>
      <c r="B114" s="2">
        <v>45416</v>
      </c>
      <c r="C114" t="s">
        <v>113</v>
      </c>
      <c r="D114" t="s">
        <v>93</v>
      </c>
      <c r="E114" t="s">
        <v>26</v>
      </c>
      <c r="F114" s="5">
        <v>3</v>
      </c>
      <c r="G114" s="5">
        <v>1</v>
      </c>
      <c r="H114" s="5">
        <v>4419</v>
      </c>
      <c r="I114" s="5">
        <v>1</v>
      </c>
      <c r="J114" s="5">
        <v>1473</v>
      </c>
      <c r="K114" t="s">
        <v>18</v>
      </c>
      <c r="L114" t="s">
        <v>57</v>
      </c>
      <c r="M114" t="s">
        <v>20</v>
      </c>
      <c r="N114" t="s">
        <v>154</v>
      </c>
      <c r="O114" t="s">
        <v>87</v>
      </c>
      <c r="P114" t="s">
        <v>18</v>
      </c>
      <c r="Q114">
        <f>Table1[[#This Row],[Course_Fee_AED]]-Table1[[#This Row],[Amount_Paid_AED]]</f>
        <v>2946</v>
      </c>
      <c r="R114">
        <f>Table1[[#This Row],[Course_Fee_AED]]-Table1[[#This Row],[pending Revenue]]</f>
        <v>1473</v>
      </c>
    </row>
    <row r="115" spans="1:18" x14ac:dyDescent="0.25">
      <c r="A115" t="s">
        <v>192</v>
      </c>
      <c r="B115" s="2">
        <v>45596</v>
      </c>
      <c r="C115" t="s">
        <v>100</v>
      </c>
      <c r="D115" t="s">
        <v>101</v>
      </c>
      <c r="E115" t="s">
        <v>17</v>
      </c>
      <c r="F115" s="5">
        <v>6</v>
      </c>
      <c r="G115" s="5">
        <v>1</v>
      </c>
      <c r="H115" s="5">
        <v>4737</v>
      </c>
      <c r="I115" s="5">
        <v>2</v>
      </c>
      <c r="J115" s="5">
        <v>3158</v>
      </c>
      <c r="K115" t="s">
        <v>18</v>
      </c>
      <c r="L115" t="s">
        <v>19</v>
      </c>
      <c r="M115" t="s">
        <v>63</v>
      </c>
      <c r="N115" t="s">
        <v>90</v>
      </c>
      <c r="O115" t="s">
        <v>29</v>
      </c>
      <c r="P115" t="s">
        <v>36</v>
      </c>
      <c r="Q115">
        <f>Table1[[#This Row],[Course_Fee_AED]]-Table1[[#This Row],[Amount_Paid_AED]]</f>
        <v>1579</v>
      </c>
      <c r="R115">
        <f>Table1[[#This Row],[Course_Fee_AED]]-Table1[[#This Row],[pending Revenue]]</f>
        <v>3158</v>
      </c>
    </row>
    <row r="116" spans="1:18" x14ac:dyDescent="0.25">
      <c r="A116" t="s">
        <v>193</v>
      </c>
      <c r="B116" s="2">
        <v>45432</v>
      </c>
      <c r="C116" t="s">
        <v>15</v>
      </c>
      <c r="D116" t="s">
        <v>16</v>
      </c>
      <c r="E116" t="s">
        <v>26</v>
      </c>
      <c r="F116" s="5">
        <v>3</v>
      </c>
      <c r="G116" s="5">
        <v>1</v>
      </c>
      <c r="H116" s="5">
        <v>6494</v>
      </c>
      <c r="I116" s="5">
        <v>3</v>
      </c>
      <c r="J116" s="5">
        <v>6492</v>
      </c>
      <c r="K116" t="s">
        <v>18</v>
      </c>
      <c r="L116" t="s">
        <v>57</v>
      </c>
      <c r="M116" t="s">
        <v>63</v>
      </c>
      <c r="N116" t="s">
        <v>90</v>
      </c>
      <c r="O116" t="s">
        <v>71</v>
      </c>
      <c r="P116" t="s">
        <v>36</v>
      </c>
      <c r="Q116">
        <f>Table1[[#This Row],[Course_Fee_AED]]-Table1[[#This Row],[Amount_Paid_AED]]</f>
        <v>2</v>
      </c>
      <c r="R116">
        <f>Table1[[#This Row],[Course_Fee_AED]]-Table1[[#This Row],[pending Revenue]]</f>
        <v>6492</v>
      </c>
    </row>
    <row r="117" spans="1:18" x14ac:dyDescent="0.25">
      <c r="A117" t="s">
        <v>194</v>
      </c>
      <c r="B117" s="2">
        <v>45464</v>
      </c>
      <c r="C117" t="s">
        <v>75</v>
      </c>
      <c r="D117" t="s">
        <v>76</v>
      </c>
      <c r="E117" t="s">
        <v>26</v>
      </c>
      <c r="F117" s="5">
        <v>3</v>
      </c>
      <c r="G117" s="5">
        <v>1</v>
      </c>
      <c r="H117" s="5">
        <v>13724</v>
      </c>
      <c r="I117" s="5">
        <v>3</v>
      </c>
      <c r="J117" s="5">
        <v>13722</v>
      </c>
      <c r="K117" t="s">
        <v>18</v>
      </c>
      <c r="L117" t="s">
        <v>19</v>
      </c>
      <c r="M117" t="s">
        <v>63</v>
      </c>
      <c r="N117" t="s">
        <v>42</v>
      </c>
      <c r="O117" t="s">
        <v>87</v>
      </c>
      <c r="P117" t="s">
        <v>36</v>
      </c>
      <c r="Q117">
        <f>Table1[[#This Row],[Course_Fee_AED]]-Table1[[#This Row],[Amount_Paid_AED]]</f>
        <v>2</v>
      </c>
      <c r="R117">
        <f>Table1[[#This Row],[Course_Fee_AED]]-Table1[[#This Row],[pending Revenue]]</f>
        <v>13722</v>
      </c>
    </row>
    <row r="118" spans="1:18" x14ac:dyDescent="0.25">
      <c r="A118" t="s">
        <v>195</v>
      </c>
      <c r="B118" s="2">
        <v>45466</v>
      </c>
      <c r="C118" t="s">
        <v>75</v>
      </c>
      <c r="D118" t="s">
        <v>76</v>
      </c>
      <c r="E118" t="s">
        <v>26</v>
      </c>
      <c r="F118" s="5">
        <v>3</v>
      </c>
      <c r="G118" s="5">
        <v>1</v>
      </c>
      <c r="H118" s="5">
        <v>13021</v>
      </c>
      <c r="I118" s="5">
        <v>2</v>
      </c>
      <c r="J118" s="5">
        <v>8680</v>
      </c>
      <c r="K118" t="s">
        <v>18</v>
      </c>
      <c r="L118" t="s">
        <v>57</v>
      </c>
      <c r="M118" t="s">
        <v>47</v>
      </c>
      <c r="N118" t="s">
        <v>79</v>
      </c>
      <c r="O118" t="s">
        <v>49</v>
      </c>
      <c r="P118" t="s">
        <v>18</v>
      </c>
      <c r="Q118">
        <f>Table1[[#This Row],[Course_Fee_AED]]-Table1[[#This Row],[Amount_Paid_AED]]</f>
        <v>4341</v>
      </c>
      <c r="R118">
        <f>Table1[[#This Row],[Course_Fee_AED]]-Table1[[#This Row],[pending Revenue]]</f>
        <v>8680</v>
      </c>
    </row>
    <row r="119" spans="1:18" x14ac:dyDescent="0.25">
      <c r="A119" t="s">
        <v>196</v>
      </c>
      <c r="B119" s="2">
        <v>45495</v>
      </c>
      <c r="C119" t="s">
        <v>24</v>
      </c>
      <c r="D119" t="s">
        <v>25</v>
      </c>
      <c r="E119" t="s">
        <v>26</v>
      </c>
      <c r="F119" s="5">
        <v>3</v>
      </c>
      <c r="G119" s="5">
        <v>1</v>
      </c>
      <c r="H119" s="5">
        <v>5214</v>
      </c>
      <c r="I119" s="5">
        <v>2</v>
      </c>
      <c r="J119" s="5">
        <v>3476</v>
      </c>
      <c r="K119" t="s">
        <v>18</v>
      </c>
      <c r="L119" t="s">
        <v>19</v>
      </c>
      <c r="M119" t="s">
        <v>20</v>
      </c>
      <c r="N119" t="s">
        <v>116</v>
      </c>
      <c r="O119" t="s">
        <v>64</v>
      </c>
      <c r="P119" t="s">
        <v>36</v>
      </c>
      <c r="Q119">
        <f>Table1[[#This Row],[Course_Fee_AED]]-Table1[[#This Row],[Amount_Paid_AED]]</f>
        <v>1738</v>
      </c>
      <c r="R119">
        <f>Table1[[#This Row],[Course_Fee_AED]]-Table1[[#This Row],[pending Revenue]]</f>
        <v>3476</v>
      </c>
    </row>
    <row r="120" spans="1:18" x14ac:dyDescent="0.25">
      <c r="A120" t="s">
        <v>197</v>
      </c>
      <c r="B120" s="2">
        <v>45460</v>
      </c>
      <c r="C120" t="s">
        <v>31</v>
      </c>
      <c r="D120" t="s">
        <v>32</v>
      </c>
      <c r="E120" t="s">
        <v>17</v>
      </c>
      <c r="F120" s="5">
        <v>6</v>
      </c>
      <c r="G120" s="5">
        <v>1</v>
      </c>
      <c r="H120" s="5">
        <v>4836</v>
      </c>
      <c r="I120" s="5">
        <v>2</v>
      </c>
      <c r="J120" s="5">
        <v>3224</v>
      </c>
      <c r="K120" t="s">
        <v>18</v>
      </c>
      <c r="L120" t="s">
        <v>40</v>
      </c>
      <c r="M120" t="s">
        <v>47</v>
      </c>
      <c r="N120" t="s">
        <v>53</v>
      </c>
      <c r="O120" t="s">
        <v>43</v>
      </c>
      <c r="P120" t="s">
        <v>18</v>
      </c>
      <c r="Q120">
        <f>Table1[[#This Row],[Course_Fee_AED]]-Table1[[#This Row],[Amount_Paid_AED]]</f>
        <v>1612</v>
      </c>
      <c r="R120">
        <f>Table1[[#This Row],[Course_Fee_AED]]-Table1[[#This Row],[pending Revenue]]</f>
        <v>3224</v>
      </c>
    </row>
    <row r="121" spans="1:18" x14ac:dyDescent="0.25">
      <c r="A121" t="s">
        <v>198</v>
      </c>
      <c r="B121" s="2">
        <v>45358</v>
      </c>
      <c r="C121" t="s">
        <v>92</v>
      </c>
      <c r="D121" t="s">
        <v>93</v>
      </c>
      <c r="E121" t="s">
        <v>17</v>
      </c>
      <c r="F121" s="5">
        <v>6</v>
      </c>
      <c r="G121" s="5">
        <v>1</v>
      </c>
      <c r="H121" s="5">
        <v>7495</v>
      </c>
      <c r="I121" s="5">
        <v>3</v>
      </c>
      <c r="J121" s="5">
        <v>7494</v>
      </c>
      <c r="K121" t="s">
        <v>18</v>
      </c>
      <c r="L121" t="s">
        <v>19</v>
      </c>
      <c r="M121" t="s">
        <v>63</v>
      </c>
      <c r="N121" t="s">
        <v>90</v>
      </c>
      <c r="O121" t="s">
        <v>68</v>
      </c>
      <c r="P121" t="s">
        <v>36</v>
      </c>
      <c r="Q121">
        <f>Table1[[#This Row],[Course_Fee_AED]]-Table1[[#This Row],[Amount_Paid_AED]]</f>
        <v>1</v>
      </c>
      <c r="R121">
        <f>Table1[[#This Row],[Course_Fee_AED]]-Table1[[#This Row],[pending Revenue]]</f>
        <v>7494</v>
      </c>
    </row>
    <row r="122" spans="1:18" x14ac:dyDescent="0.25">
      <c r="A122" t="s">
        <v>199</v>
      </c>
      <c r="B122" s="2">
        <v>45344</v>
      </c>
      <c r="C122" t="s">
        <v>92</v>
      </c>
      <c r="D122" t="s">
        <v>93</v>
      </c>
      <c r="E122" t="s">
        <v>17</v>
      </c>
      <c r="F122" s="5">
        <v>6</v>
      </c>
      <c r="G122" s="5">
        <v>1</v>
      </c>
      <c r="H122" s="5">
        <v>4764</v>
      </c>
      <c r="I122" s="5">
        <v>3</v>
      </c>
      <c r="J122" s="5">
        <v>4764</v>
      </c>
      <c r="K122" t="s">
        <v>33</v>
      </c>
      <c r="L122" t="s">
        <v>40</v>
      </c>
      <c r="M122" t="s">
        <v>27</v>
      </c>
      <c r="N122" t="s">
        <v>28</v>
      </c>
      <c r="O122" t="s">
        <v>35</v>
      </c>
      <c r="P122" t="s">
        <v>36</v>
      </c>
      <c r="Q122">
        <f>Table1[[#This Row],[Course_Fee_AED]]-Table1[[#This Row],[Amount_Paid_AED]]</f>
        <v>0</v>
      </c>
      <c r="R122">
        <f>Table1[[#This Row],[Course_Fee_AED]]-Table1[[#This Row],[pending Revenue]]</f>
        <v>4764</v>
      </c>
    </row>
    <row r="123" spans="1:18" x14ac:dyDescent="0.25">
      <c r="A123" t="s">
        <v>200</v>
      </c>
      <c r="B123" s="2">
        <v>45543</v>
      </c>
      <c r="C123" t="s">
        <v>100</v>
      </c>
      <c r="D123" t="s">
        <v>101</v>
      </c>
      <c r="E123" t="s">
        <v>26</v>
      </c>
      <c r="F123" s="5">
        <v>3</v>
      </c>
      <c r="G123" s="5">
        <v>1</v>
      </c>
      <c r="H123" s="5">
        <v>3623</v>
      </c>
      <c r="I123" s="5">
        <v>2</v>
      </c>
      <c r="J123" s="5">
        <v>2414</v>
      </c>
      <c r="K123" t="s">
        <v>18</v>
      </c>
      <c r="L123" t="s">
        <v>57</v>
      </c>
      <c r="M123" t="s">
        <v>63</v>
      </c>
      <c r="N123" t="s">
        <v>70</v>
      </c>
      <c r="O123" t="s">
        <v>58</v>
      </c>
      <c r="P123" t="s">
        <v>18</v>
      </c>
      <c r="Q123">
        <f>Table1[[#This Row],[Course_Fee_AED]]-Table1[[#This Row],[Amount_Paid_AED]]</f>
        <v>1209</v>
      </c>
      <c r="R123">
        <f>Table1[[#This Row],[Course_Fee_AED]]-Table1[[#This Row],[pending Revenue]]</f>
        <v>2414</v>
      </c>
    </row>
    <row r="124" spans="1:18" x14ac:dyDescent="0.25">
      <c r="A124" t="s">
        <v>201</v>
      </c>
      <c r="B124" s="2">
        <v>45519</v>
      </c>
      <c r="C124" t="s">
        <v>75</v>
      </c>
      <c r="D124" t="s">
        <v>76</v>
      </c>
      <c r="E124" t="s">
        <v>17</v>
      </c>
      <c r="F124" s="5">
        <v>6</v>
      </c>
      <c r="G124" s="5">
        <v>1</v>
      </c>
      <c r="H124" s="5">
        <v>13734</v>
      </c>
      <c r="I124" s="5">
        <v>3</v>
      </c>
      <c r="J124" s="5">
        <v>13734</v>
      </c>
      <c r="K124" t="s">
        <v>33</v>
      </c>
      <c r="L124" t="s">
        <v>19</v>
      </c>
      <c r="M124" t="s">
        <v>20</v>
      </c>
      <c r="N124" t="s">
        <v>73</v>
      </c>
      <c r="O124" t="s">
        <v>22</v>
      </c>
      <c r="P124" t="s">
        <v>18</v>
      </c>
      <c r="Q124">
        <f>Table1[[#This Row],[Course_Fee_AED]]-Table1[[#This Row],[Amount_Paid_AED]]</f>
        <v>0</v>
      </c>
      <c r="R124">
        <f>Table1[[#This Row],[Course_Fee_AED]]-Table1[[#This Row],[pending Revenue]]</f>
        <v>13734</v>
      </c>
    </row>
    <row r="125" spans="1:18" x14ac:dyDescent="0.25">
      <c r="A125" t="s">
        <v>202</v>
      </c>
      <c r="B125" s="2">
        <v>45624</v>
      </c>
      <c r="C125" t="s">
        <v>24</v>
      </c>
      <c r="D125" t="s">
        <v>25</v>
      </c>
      <c r="E125" t="s">
        <v>17</v>
      </c>
      <c r="F125" s="5">
        <v>6</v>
      </c>
      <c r="G125" s="5">
        <v>1</v>
      </c>
      <c r="H125" s="5">
        <v>6723</v>
      </c>
      <c r="I125" s="5">
        <v>1</v>
      </c>
      <c r="J125" s="5">
        <v>2241</v>
      </c>
      <c r="K125" t="s">
        <v>18</v>
      </c>
      <c r="L125" t="s">
        <v>19</v>
      </c>
      <c r="M125" t="s">
        <v>63</v>
      </c>
      <c r="N125" t="s">
        <v>70</v>
      </c>
      <c r="O125" t="s">
        <v>22</v>
      </c>
      <c r="P125" t="s">
        <v>36</v>
      </c>
      <c r="Q125">
        <f>Table1[[#This Row],[Course_Fee_AED]]-Table1[[#This Row],[Amount_Paid_AED]]</f>
        <v>4482</v>
      </c>
      <c r="R125">
        <f>Table1[[#This Row],[Course_Fee_AED]]-Table1[[#This Row],[pending Revenue]]</f>
        <v>2241</v>
      </c>
    </row>
    <row r="126" spans="1:18" x14ac:dyDescent="0.25">
      <c r="A126" t="s">
        <v>203</v>
      </c>
      <c r="B126" s="2">
        <v>45315</v>
      </c>
      <c r="C126" t="s">
        <v>92</v>
      </c>
      <c r="D126" t="s">
        <v>93</v>
      </c>
      <c r="E126" t="s">
        <v>26</v>
      </c>
      <c r="F126" s="5">
        <v>3</v>
      </c>
      <c r="G126" s="5">
        <v>1</v>
      </c>
      <c r="H126" s="5">
        <v>7616</v>
      </c>
      <c r="I126" s="5">
        <v>3</v>
      </c>
      <c r="J126" s="5">
        <v>7614</v>
      </c>
      <c r="K126" t="s">
        <v>18</v>
      </c>
      <c r="L126" t="s">
        <v>57</v>
      </c>
      <c r="M126" t="s">
        <v>41</v>
      </c>
      <c r="N126" t="s">
        <v>86</v>
      </c>
      <c r="O126" t="s">
        <v>43</v>
      </c>
      <c r="P126" t="s">
        <v>36</v>
      </c>
      <c r="Q126">
        <f>Table1[[#This Row],[Course_Fee_AED]]-Table1[[#This Row],[Amount_Paid_AED]]</f>
        <v>2</v>
      </c>
      <c r="R126">
        <f>Table1[[#This Row],[Course_Fee_AED]]-Table1[[#This Row],[pending Revenue]]</f>
        <v>7614</v>
      </c>
    </row>
    <row r="127" spans="1:18" x14ac:dyDescent="0.25">
      <c r="A127" t="s">
        <v>204</v>
      </c>
      <c r="B127" s="2">
        <v>45417</v>
      </c>
      <c r="C127" t="s">
        <v>55</v>
      </c>
      <c r="D127" t="s">
        <v>56</v>
      </c>
      <c r="E127" t="s">
        <v>17</v>
      </c>
      <c r="F127" s="5">
        <v>6</v>
      </c>
      <c r="G127" s="5">
        <v>1</v>
      </c>
      <c r="H127" s="5">
        <v>7165</v>
      </c>
      <c r="I127" s="5">
        <v>3</v>
      </c>
      <c r="J127" s="5">
        <v>7164</v>
      </c>
      <c r="K127" t="s">
        <v>18</v>
      </c>
      <c r="L127" t="s">
        <v>40</v>
      </c>
      <c r="M127" t="s">
        <v>60</v>
      </c>
      <c r="N127" t="s">
        <v>21</v>
      </c>
      <c r="O127" t="s">
        <v>35</v>
      </c>
      <c r="P127" t="s">
        <v>36</v>
      </c>
      <c r="Q127">
        <f>Table1[[#This Row],[Course_Fee_AED]]-Table1[[#This Row],[Amount_Paid_AED]]</f>
        <v>1</v>
      </c>
      <c r="R127">
        <f>Table1[[#This Row],[Course_Fee_AED]]-Table1[[#This Row],[pending Revenue]]</f>
        <v>7164</v>
      </c>
    </row>
    <row r="128" spans="1:18" x14ac:dyDescent="0.25">
      <c r="A128" t="s">
        <v>205</v>
      </c>
      <c r="B128" s="2">
        <v>45451</v>
      </c>
      <c r="C128" t="s">
        <v>31</v>
      </c>
      <c r="D128" t="s">
        <v>32</v>
      </c>
      <c r="E128" t="s">
        <v>26</v>
      </c>
      <c r="F128" s="5">
        <v>3</v>
      </c>
      <c r="G128" s="5">
        <v>1</v>
      </c>
      <c r="H128" s="5">
        <v>7350</v>
      </c>
      <c r="I128" s="5">
        <v>1</v>
      </c>
      <c r="J128" s="5">
        <v>2450</v>
      </c>
      <c r="K128" t="s">
        <v>18</v>
      </c>
      <c r="L128" t="s">
        <v>57</v>
      </c>
      <c r="M128" t="s">
        <v>63</v>
      </c>
      <c r="N128" t="s">
        <v>42</v>
      </c>
      <c r="O128" t="s">
        <v>43</v>
      </c>
      <c r="P128" t="s">
        <v>36</v>
      </c>
      <c r="Q128">
        <f>Table1[[#This Row],[Course_Fee_AED]]-Table1[[#This Row],[Amount_Paid_AED]]</f>
        <v>4900</v>
      </c>
      <c r="R128">
        <f>Table1[[#This Row],[Course_Fee_AED]]-Table1[[#This Row],[pending Revenue]]</f>
        <v>2450</v>
      </c>
    </row>
    <row r="129" spans="1:18" x14ac:dyDescent="0.25">
      <c r="A129" t="s">
        <v>206</v>
      </c>
      <c r="B129" s="2">
        <v>45390</v>
      </c>
      <c r="C129" t="s">
        <v>31</v>
      </c>
      <c r="D129" t="s">
        <v>32</v>
      </c>
      <c r="E129" t="s">
        <v>17</v>
      </c>
      <c r="F129" s="5">
        <v>6</v>
      </c>
      <c r="G129" s="5">
        <v>1</v>
      </c>
      <c r="H129" s="5">
        <v>6302</v>
      </c>
      <c r="I129" s="5">
        <v>1</v>
      </c>
      <c r="J129" s="5">
        <v>2100</v>
      </c>
      <c r="K129" t="s">
        <v>18</v>
      </c>
      <c r="L129" t="s">
        <v>19</v>
      </c>
      <c r="M129" t="s">
        <v>60</v>
      </c>
      <c r="N129" t="s">
        <v>95</v>
      </c>
      <c r="O129" t="s">
        <v>22</v>
      </c>
      <c r="P129" t="s">
        <v>36</v>
      </c>
      <c r="Q129">
        <f>Table1[[#This Row],[Course_Fee_AED]]-Table1[[#This Row],[Amount_Paid_AED]]</f>
        <v>4202</v>
      </c>
      <c r="R129">
        <f>Table1[[#This Row],[Course_Fee_AED]]-Table1[[#This Row],[pending Revenue]]</f>
        <v>2100</v>
      </c>
    </row>
    <row r="130" spans="1:18" x14ac:dyDescent="0.25">
      <c r="A130" t="s">
        <v>207</v>
      </c>
      <c r="B130" s="2">
        <v>45319</v>
      </c>
      <c r="C130" t="s">
        <v>55</v>
      </c>
      <c r="D130" t="s">
        <v>56</v>
      </c>
      <c r="E130" t="s">
        <v>26</v>
      </c>
      <c r="F130" s="5">
        <v>3</v>
      </c>
      <c r="G130" s="5">
        <v>1</v>
      </c>
      <c r="H130" s="5">
        <v>11046</v>
      </c>
      <c r="I130" s="5">
        <v>3</v>
      </c>
      <c r="J130" s="5">
        <v>11046</v>
      </c>
      <c r="K130" t="s">
        <v>33</v>
      </c>
      <c r="L130" t="s">
        <v>57</v>
      </c>
      <c r="M130" t="s">
        <v>63</v>
      </c>
      <c r="N130" t="s">
        <v>70</v>
      </c>
      <c r="O130" t="s">
        <v>68</v>
      </c>
      <c r="P130" t="s">
        <v>36</v>
      </c>
      <c r="Q130">
        <f>Table1[[#This Row],[Course_Fee_AED]]-Table1[[#This Row],[Amount_Paid_AED]]</f>
        <v>0</v>
      </c>
      <c r="R130">
        <f>Table1[[#This Row],[Course_Fee_AED]]-Table1[[#This Row],[pending Revenue]]</f>
        <v>11046</v>
      </c>
    </row>
    <row r="131" spans="1:18" x14ac:dyDescent="0.25">
      <c r="A131" t="s">
        <v>208</v>
      </c>
      <c r="B131" s="2">
        <v>45399</v>
      </c>
      <c r="C131" t="s">
        <v>113</v>
      </c>
      <c r="D131" t="s">
        <v>93</v>
      </c>
      <c r="E131" t="s">
        <v>26</v>
      </c>
      <c r="F131" s="5">
        <v>3</v>
      </c>
      <c r="G131" s="5">
        <v>1</v>
      </c>
      <c r="H131" s="5">
        <v>3722</v>
      </c>
      <c r="I131" s="5">
        <v>1</v>
      </c>
      <c r="J131" s="5">
        <v>1240</v>
      </c>
      <c r="K131" t="s">
        <v>18</v>
      </c>
      <c r="L131" t="s">
        <v>40</v>
      </c>
      <c r="M131" t="s">
        <v>63</v>
      </c>
      <c r="N131" t="s">
        <v>86</v>
      </c>
      <c r="O131" t="s">
        <v>22</v>
      </c>
      <c r="P131" t="s">
        <v>36</v>
      </c>
      <c r="Q131">
        <f>Table1[[#This Row],[Course_Fee_AED]]-Table1[[#This Row],[Amount_Paid_AED]]</f>
        <v>2482</v>
      </c>
      <c r="R131">
        <f>Table1[[#This Row],[Course_Fee_AED]]-Table1[[#This Row],[pending Revenue]]</f>
        <v>1240</v>
      </c>
    </row>
    <row r="132" spans="1:18" x14ac:dyDescent="0.25">
      <c r="A132" t="s">
        <v>209</v>
      </c>
      <c r="B132" s="2">
        <v>45526</v>
      </c>
      <c r="C132" t="s">
        <v>92</v>
      </c>
      <c r="D132" t="s">
        <v>93</v>
      </c>
      <c r="E132" t="s">
        <v>17</v>
      </c>
      <c r="F132" s="5">
        <v>6</v>
      </c>
      <c r="G132" s="5">
        <v>1</v>
      </c>
      <c r="H132" s="5">
        <v>5343</v>
      </c>
      <c r="I132" s="5">
        <v>2</v>
      </c>
      <c r="J132" s="5">
        <v>3562</v>
      </c>
      <c r="K132" t="s">
        <v>18</v>
      </c>
      <c r="L132" t="s">
        <v>19</v>
      </c>
      <c r="M132" t="s">
        <v>20</v>
      </c>
      <c r="N132" t="s">
        <v>116</v>
      </c>
      <c r="O132" t="s">
        <v>29</v>
      </c>
      <c r="P132" t="s">
        <v>36</v>
      </c>
      <c r="Q132">
        <f>Table1[[#This Row],[Course_Fee_AED]]-Table1[[#This Row],[Amount_Paid_AED]]</f>
        <v>1781</v>
      </c>
      <c r="R132">
        <f>Table1[[#This Row],[Course_Fee_AED]]-Table1[[#This Row],[pending Revenue]]</f>
        <v>3562</v>
      </c>
    </row>
    <row r="133" spans="1:18" x14ac:dyDescent="0.25">
      <c r="A133" t="s">
        <v>210</v>
      </c>
      <c r="B133" s="2">
        <v>45328</v>
      </c>
      <c r="C133" t="s">
        <v>75</v>
      </c>
      <c r="D133" t="s">
        <v>76</v>
      </c>
      <c r="E133" t="s">
        <v>17</v>
      </c>
      <c r="F133" s="5">
        <v>6</v>
      </c>
      <c r="G133" s="5">
        <v>1</v>
      </c>
      <c r="H133" s="5">
        <v>14896</v>
      </c>
      <c r="I133" s="5">
        <v>1</v>
      </c>
      <c r="J133" s="5">
        <v>4965</v>
      </c>
      <c r="K133" t="s">
        <v>18</v>
      </c>
      <c r="L133" t="s">
        <v>57</v>
      </c>
      <c r="M133" t="s">
        <v>63</v>
      </c>
      <c r="N133" t="s">
        <v>116</v>
      </c>
      <c r="O133" t="s">
        <v>29</v>
      </c>
      <c r="P133" t="s">
        <v>18</v>
      </c>
      <c r="Q133">
        <f>Table1[[#This Row],[Course_Fee_AED]]-Table1[[#This Row],[Amount_Paid_AED]]</f>
        <v>9931</v>
      </c>
      <c r="R133">
        <f>Table1[[#This Row],[Course_Fee_AED]]-Table1[[#This Row],[pending Revenue]]</f>
        <v>4965</v>
      </c>
    </row>
    <row r="134" spans="1:18" x14ac:dyDescent="0.25">
      <c r="A134" t="s">
        <v>211</v>
      </c>
      <c r="B134" s="2">
        <v>45469</v>
      </c>
      <c r="C134" t="s">
        <v>106</v>
      </c>
      <c r="D134" t="s">
        <v>107</v>
      </c>
      <c r="E134" t="s">
        <v>17</v>
      </c>
      <c r="F134" s="5">
        <v>6</v>
      </c>
      <c r="G134" s="5">
        <v>1</v>
      </c>
      <c r="H134" s="5">
        <v>5386</v>
      </c>
      <c r="I134" s="5">
        <v>1</v>
      </c>
      <c r="J134" s="5">
        <v>1795</v>
      </c>
      <c r="K134" t="s">
        <v>18</v>
      </c>
      <c r="L134" t="s">
        <v>40</v>
      </c>
      <c r="M134" t="s">
        <v>20</v>
      </c>
      <c r="N134" t="s">
        <v>48</v>
      </c>
      <c r="O134" t="s">
        <v>64</v>
      </c>
      <c r="P134" t="s">
        <v>36</v>
      </c>
      <c r="Q134">
        <f>Table1[[#This Row],[Course_Fee_AED]]-Table1[[#This Row],[Amount_Paid_AED]]</f>
        <v>3591</v>
      </c>
      <c r="R134">
        <f>Table1[[#This Row],[Course_Fee_AED]]-Table1[[#This Row],[pending Revenue]]</f>
        <v>1795</v>
      </c>
    </row>
    <row r="135" spans="1:18" x14ac:dyDescent="0.25">
      <c r="A135" t="s">
        <v>212</v>
      </c>
      <c r="B135" s="2">
        <v>45535</v>
      </c>
      <c r="C135" t="s">
        <v>51</v>
      </c>
      <c r="D135" t="s">
        <v>52</v>
      </c>
      <c r="E135" t="s">
        <v>17</v>
      </c>
      <c r="F135" s="5">
        <v>6</v>
      </c>
      <c r="G135" s="5">
        <v>1</v>
      </c>
      <c r="H135" s="5">
        <v>4588</v>
      </c>
      <c r="I135" s="5">
        <v>3</v>
      </c>
      <c r="J135" s="5">
        <v>4587</v>
      </c>
      <c r="K135" t="s">
        <v>18</v>
      </c>
      <c r="L135" t="s">
        <v>19</v>
      </c>
      <c r="M135" t="s">
        <v>27</v>
      </c>
      <c r="N135" t="s">
        <v>48</v>
      </c>
      <c r="O135" t="s">
        <v>58</v>
      </c>
      <c r="P135" t="s">
        <v>36</v>
      </c>
      <c r="Q135">
        <f>Table1[[#This Row],[Course_Fee_AED]]-Table1[[#This Row],[Amount_Paid_AED]]</f>
        <v>1</v>
      </c>
      <c r="R135">
        <f>Table1[[#This Row],[Course_Fee_AED]]-Table1[[#This Row],[pending Revenue]]</f>
        <v>4587</v>
      </c>
    </row>
    <row r="136" spans="1:18" x14ac:dyDescent="0.25">
      <c r="A136" t="s">
        <v>213</v>
      </c>
      <c r="B136" s="2">
        <v>45370</v>
      </c>
      <c r="C136" t="s">
        <v>113</v>
      </c>
      <c r="D136" t="s">
        <v>93</v>
      </c>
      <c r="E136" t="s">
        <v>17</v>
      </c>
      <c r="F136" s="5">
        <v>6</v>
      </c>
      <c r="G136" s="5">
        <v>1</v>
      </c>
      <c r="H136" s="5">
        <v>3085</v>
      </c>
      <c r="I136" s="5">
        <v>2</v>
      </c>
      <c r="J136" s="5">
        <v>2056</v>
      </c>
      <c r="K136" t="s">
        <v>18</v>
      </c>
      <c r="L136" t="s">
        <v>40</v>
      </c>
      <c r="M136" t="s">
        <v>27</v>
      </c>
      <c r="N136" t="s">
        <v>48</v>
      </c>
      <c r="O136" t="s">
        <v>68</v>
      </c>
      <c r="P136" t="s">
        <v>18</v>
      </c>
      <c r="Q136">
        <f>Table1[[#This Row],[Course_Fee_AED]]-Table1[[#This Row],[Amount_Paid_AED]]</f>
        <v>1029</v>
      </c>
      <c r="R136">
        <f>Table1[[#This Row],[Course_Fee_AED]]-Table1[[#This Row],[pending Revenue]]</f>
        <v>2056</v>
      </c>
    </row>
    <row r="137" spans="1:18" x14ac:dyDescent="0.25">
      <c r="A137" t="s">
        <v>214</v>
      </c>
      <c r="B137" s="2">
        <v>45397</v>
      </c>
      <c r="C137" t="s">
        <v>45</v>
      </c>
      <c r="D137" t="s">
        <v>46</v>
      </c>
      <c r="E137" t="s">
        <v>26</v>
      </c>
      <c r="F137" s="5">
        <v>3</v>
      </c>
      <c r="G137" s="5">
        <v>1</v>
      </c>
      <c r="H137" s="5">
        <v>6795</v>
      </c>
      <c r="I137" s="5">
        <v>1</v>
      </c>
      <c r="J137" s="5">
        <v>2265</v>
      </c>
      <c r="K137" t="s">
        <v>18</v>
      </c>
      <c r="L137" t="s">
        <v>57</v>
      </c>
      <c r="M137" t="s">
        <v>41</v>
      </c>
      <c r="N137" t="s">
        <v>28</v>
      </c>
      <c r="O137" t="s">
        <v>68</v>
      </c>
      <c r="P137" t="s">
        <v>18</v>
      </c>
      <c r="Q137">
        <f>Table1[[#This Row],[Course_Fee_AED]]-Table1[[#This Row],[Amount_Paid_AED]]</f>
        <v>4530</v>
      </c>
      <c r="R137">
        <f>Table1[[#This Row],[Course_Fee_AED]]-Table1[[#This Row],[pending Revenue]]</f>
        <v>2265</v>
      </c>
    </row>
    <row r="138" spans="1:18" x14ac:dyDescent="0.25">
      <c r="A138" t="s">
        <v>215</v>
      </c>
      <c r="B138" s="2">
        <v>45297</v>
      </c>
      <c r="C138" t="s">
        <v>45</v>
      </c>
      <c r="D138" t="s">
        <v>46</v>
      </c>
      <c r="E138" t="s">
        <v>26</v>
      </c>
      <c r="F138" s="5">
        <v>3</v>
      </c>
      <c r="G138" s="5">
        <v>1</v>
      </c>
      <c r="H138" s="5">
        <v>4566</v>
      </c>
      <c r="I138" s="5">
        <v>2</v>
      </c>
      <c r="J138" s="5">
        <v>3044</v>
      </c>
      <c r="K138" t="s">
        <v>18</v>
      </c>
      <c r="L138" t="s">
        <v>57</v>
      </c>
      <c r="M138" t="s">
        <v>41</v>
      </c>
      <c r="N138" t="s">
        <v>21</v>
      </c>
      <c r="O138" t="s">
        <v>22</v>
      </c>
      <c r="P138" t="s">
        <v>18</v>
      </c>
      <c r="Q138">
        <f>Table1[[#This Row],[Course_Fee_AED]]-Table1[[#This Row],[Amount_Paid_AED]]</f>
        <v>1522</v>
      </c>
      <c r="R138">
        <f>Table1[[#This Row],[Course_Fee_AED]]-Table1[[#This Row],[pending Revenue]]</f>
        <v>3044</v>
      </c>
    </row>
    <row r="139" spans="1:18" x14ac:dyDescent="0.25">
      <c r="A139" t="s">
        <v>216</v>
      </c>
      <c r="B139" s="2">
        <v>45633</v>
      </c>
      <c r="C139" t="s">
        <v>38</v>
      </c>
      <c r="D139" t="s">
        <v>39</v>
      </c>
      <c r="E139" t="s">
        <v>26</v>
      </c>
      <c r="F139" s="5">
        <v>3</v>
      </c>
      <c r="G139" s="5">
        <v>1</v>
      </c>
      <c r="H139" s="5">
        <v>6127</v>
      </c>
      <c r="I139" s="5">
        <v>2</v>
      </c>
      <c r="J139" s="5">
        <v>4084</v>
      </c>
      <c r="K139" t="s">
        <v>18</v>
      </c>
      <c r="L139" t="s">
        <v>40</v>
      </c>
      <c r="M139" t="s">
        <v>27</v>
      </c>
      <c r="N139" t="s">
        <v>86</v>
      </c>
      <c r="O139" t="s">
        <v>58</v>
      </c>
      <c r="P139" t="s">
        <v>36</v>
      </c>
      <c r="Q139">
        <f>Table1[[#This Row],[Course_Fee_AED]]-Table1[[#This Row],[Amount_Paid_AED]]</f>
        <v>2043</v>
      </c>
      <c r="R139">
        <f>Table1[[#This Row],[Course_Fee_AED]]-Table1[[#This Row],[pending Revenue]]</f>
        <v>4084</v>
      </c>
    </row>
    <row r="140" spans="1:18" x14ac:dyDescent="0.25">
      <c r="A140" t="s">
        <v>217</v>
      </c>
      <c r="B140" s="2">
        <v>45413</v>
      </c>
      <c r="C140" t="s">
        <v>51</v>
      </c>
      <c r="D140" t="s">
        <v>52</v>
      </c>
      <c r="E140" t="s">
        <v>17</v>
      </c>
      <c r="F140" s="5">
        <v>6</v>
      </c>
      <c r="G140" s="5">
        <v>1</v>
      </c>
      <c r="H140" s="5">
        <v>4531</v>
      </c>
      <c r="I140" s="5">
        <v>2</v>
      </c>
      <c r="J140" s="5">
        <v>3020</v>
      </c>
      <c r="K140" t="s">
        <v>18</v>
      </c>
      <c r="L140" t="s">
        <v>19</v>
      </c>
      <c r="M140" t="s">
        <v>20</v>
      </c>
      <c r="N140" t="s">
        <v>154</v>
      </c>
      <c r="O140" t="s">
        <v>29</v>
      </c>
      <c r="P140" t="s">
        <v>36</v>
      </c>
      <c r="Q140">
        <f>Table1[[#This Row],[Course_Fee_AED]]-Table1[[#This Row],[Amount_Paid_AED]]</f>
        <v>1511</v>
      </c>
      <c r="R140">
        <f>Table1[[#This Row],[Course_Fee_AED]]-Table1[[#This Row],[pending Revenue]]</f>
        <v>3020</v>
      </c>
    </row>
    <row r="141" spans="1:18" x14ac:dyDescent="0.25">
      <c r="A141" t="s">
        <v>218</v>
      </c>
      <c r="B141" s="2">
        <v>45422</v>
      </c>
      <c r="C141" t="s">
        <v>15</v>
      </c>
      <c r="D141" t="s">
        <v>16</v>
      </c>
      <c r="E141" t="s">
        <v>17</v>
      </c>
      <c r="F141" s="5">
        <v>6</v>
      </c>
      <c r="G141" s="5">
        <v>1</v>
      </c>
      <c r="H141" s="5">
        <v>6224</v>
      </c>
      <c r="I141" s="5">
        <v>1</v>
      </c>
      <c r="J141" s="5">
        <v>2074</v>
      </c>
      <c r="K141" t="s">
        <v>18</v>
      </c>
      <c r="L141" t="s">
        <v>57</v>
      </c>
      <c r="M141" t="s">
        <v>60</v>
      </c>
      <c r="N141" t="s">
        <v>116</v>
      </c>
      <c r="O141" t="s">
        <v>43</v>
      </c>
      <c r="P141" t="s">
        <v>36</v>
      </c>
      <c r="Q141">
        <f>Table1[[#This Row],[Course_Fee_AED]]-Table1[[#This Row],[Amount_Paid_AED]]</f>
        <v>4150</v>
      </c>
      <c r="R141">
        <f>Table1[[#This Row],[Course_Fee_AED]]-Table1[[#This Row],[pending Revenue]]</f>
        <v>2074</v>
      </c>
    </row>
    <row r="142" spans="1:18" x14ac:dyDescent="0.25">
      <c r="A142" t="s">
        <v>219</v>
      </c>
      <c r="B142" s="2">
        <v>45432</v>
      </c>
      <c r="C142" t="s">
        <v>24</v>
      </c>
      <c r="D142" t="s">
        <v>25</v>
      </c>
      <c r="E142" t="s">
        <v>17</v>
      </c>
      <c r="F142" s="5">
        <v>6</v>
      </c>
      <c r="G142" s="5">
        <v>1</v>
      </c>
      <c r="H142" s="5">
        <v>6218</v>
      </c>
      <c r="I142" s="5">
        <v>1</v>
      </c>
      <c r="J142" s="5">
        <v>2072</v>
      </c>
      <c r="K142" t="s">
        <v>18</v>
      </c>
      <c r="L142" t="s">
        <v>40</v>
      </c>
      <c r="M142" t="s">
        <v>27</v>
      </c>
      <c r="N142" t="s">
        <v>70</v>
      </c>
      <c r="O142" t="s">
        <v>49</v>
      </c>
      <c r="P142" t="s">
        <v>36</v>
      </c>
      <c r="Q142">
        <f>Table1[[#This Row],[Course_Fee_AED]]-Table1[[#This Row],[Amount_Paid_AED]]</f>
        <v>4146</v>
      </c>
      <c r="R142">
        <f>Table1[[#This Row],[Course_Fee_AED]]-Table1[[#This Row],[pending Revenue]]</f>
        <v>2072</v>
      </c>
    </row>
    <row r="143" spans="1:18" x14ac:dyDescent="0.25">
      <c r="A143" t="s">
        <v>220</v>
      </c>
      <c r="B143" s="2">
        <v>45400</v>
      </c>
      <c r="C143" t="s">
        <v>31</v>
      </c>
      <c r="D143" t="s">
        <v>32</v>
      </c>
      <c r="E143" t="s">
        <v>26</v>
      </c>
      <c r="F143" s="5">
        <v>3</v>
      </c>
      <c r="G143" s="5">
        <v>1</v>
      </c>
      <c r="H143" s="5">
        <v>7396</v>
      </c>
      <c r="I143" s="5">
        <v>3</v>
      </c>
      <c r="J143" s="5">
        <v>7395</v>
      </c>
      <c r="K143" t="s">
        <v>18</v>
      </c>
      <c r="L143" t="s">
        <v>40</v>
      </c>
      <c r="M143" t="s">
        <v>27</v>
      </c>
      <c r="N143" t="s">
        <v>154</v>
      </c>
      <c r="O143" t="s">
        <v>43</v>
      </c>
      <c r="P143" t="s">
        <v>36</v>
      </c>
      <c r="Q143">
        <f>Table1[[#This Row],[Course_Fee_AED]]-Table1[[#This Row],[Amount_Paid_AED]]</f>
        <v>1</v>
      </c>
      <c r="R143">
        <f>Table1[[#This Row],[Course_Fee_AED]]-Table1[[#This Row],[pending Revenue]]</f>
        <v>7395</v>
      </c>
    </row>
    <row r="144" spans="1:18" x14ac:dyDescent="0.25">
      <c r="A144" t="s">
        <v>221</v>
      </c>
      <c r="B144" s="2">
        <v>45562</v>
      </c>
      <c r="C144" t="s">
        <v>75</v>
      </c>
      <c r="D144" t="s">
        <v>76</v>
      </c>
      <c r="E144" t="s">
        <v>26</v>
      </c>
      <c r="F144" s="5">
        <v>3</v>
      </c>
      <c r="G144" s="5">
        <v>1</v>
      </c>
      <c r="H144" s="5">
        <v>10471</v>
      </c>
      <c r="I144" s="5">
        <v>3</v>
      </c>
      <c r="J144" s="5">
        <v>10470</v>
      </c>
      <c r="K144" t="s">
        <v>18</v>
      </c>
      <c r="L144" t="s">
        <v>19</v>
      </c>
      <c r="M144" t="s">
        <v>27</v>
      </c>
      <c r="N144" t="s">
        <v>61</v>
      </c>
      <c r="O144" t="s">
        <v>64</v>
      </c>
      <c r="P144" t="s">
        <v>18</v>
      </c>
      <c r="Q144">
        <f>Table1[[#This Row],[Course_Fee_AED]]-Table1[[#This Row],[Amount_Paid_AED]]</f>
        <v>1</v>
      </c>
      <c r="R144">
        <f>Table1[[#This Row],[Course_Fee_AED]]-Table1[[#This Row],[pending Revenue]]</f>
        <v>10470</v>
      </c>
    </row>
    <row r="145" spans="1:18" x14ac:dyDescent="0.25">
      <c r="A145" t="s">
        <v>222</v>
      </c>
      <c r="B145" s="2">
        <v>45363</v>
      </c>
      <c r="C145" t="s">
        <v>31</v>
      </c>
      <c r="D145" t="s">
        <v>32</v>
      </c>
      <c r="E145" t="s">
        <v>26</v>
      </c>
      <c r="F145" s="5">
        <v>3</v>
      </c>
      <c r="G145" s="5">
        <v>1</v>
      </c>
      <c r="H145" s="5">
        <v>7540</v>
      </c>
      <c r="I145" s="5">
        <v>1</v>
      </c>
      <c r="J145" s="5">
        <v>2513</v>
      </c>
      <c r="K145" t="s">
        <v>18</v>
      </c>
      <c r="L145" t="s">
        <v>57</v>
      </c>
      <c r="M145" t="s">
        <v>47</v>
      </c>
      <c r="N145" t="s">
        <v>95</v>
      </c>
      <c r="O145" t="s">
        <v>49</v>
      </c>
      <c r="P145" t="s">
        <v>36</v>
      </c>
      <c r="Q145">
        <f>Table1[[#This Row],[Course_Fee_AED]]-Table1[[#This Row],[Amount_Paid_AED]]</f>
        <v>5027</v>
      </c>
      <c r="R145">
        <f>Table1[[#This Row],[Course_Fee_AED]]-Table1[[#This Row],[pending Revenue]]</f>
        <v>2513</v>
      </c>
    </row>
    <row r="146" spans="1:18" x14ac:dyDescent="0.25">
      <c r="A146" t="s">
        <v>223</v>
      </c>
      <c r="B146" s="2">
        <v>45539</v>
      </c>
      <c r="C146" t="s">
        <v>113</v>
      </c>
      <c r="D146" t="s">
        <v>93</v>
      </c>
      <c r="E146" t="s">
        <v>26</v>
      </c>
      <c r="F146" s="5">
        <v>3</v>
      </c>
      <c r="G146" s="5">
        <v>1</v>
      </c>
      <c r="H146" s="5">
        <v>4193</v>
      </c>
      <c r="I146" s="5">
        <v>3</v>
      </c>
      <c r="J146" s="5">
        <v>4191</v>
      </c>
      <c r="K146" t="s">
        <v>18</v>
      </c>
      <c r="L146" t="s">
        <v>19</v>
      </c>
      <c r="M146" t="s">
        <v>41</v>
      </c>
      <c r="N146" t="s">
        <v>90</v>
      </c>
      <c r="O146" t="s">
        <v>43</v>
      </c>
      <c r="P146" t="s">
        <v>18</v>
      </c>
      <c r="Q146">
        <f>Table1[[#This Row],[Course_Fee_AED]]-Table1[[#This Row],[Amount_Paid_AED]]</f>
        <v>2</v>
      </c>
      <c r="R146">
        <f>Table1[[#This Row],[Course_Fee_AED]]-Table1[[#This Row],[pending Revenue]]</f>
        <v>4191</v>
      </c>
    </row>
    <row r="147" spans="1:18" x14ac:dyDescent="0.25">
      <c r="A147" t="s">
        <v>224</v>
      </c>
      <c r="B147" s="2">
        <v>45389</v>
      </c>
      <c r="C147" t="s">
        <v>15</v>
      </c>
      <c r="D147" t="s">
        <v>16</v>
      </c>
      <c r="E147" t="s">
        <v>26</v>
      </c>
      <c r="F147" s="5">
        <v>3</v>
      </c>
      <c r="G147" s="5">
        <v>1</v>
      </c>
      <c r="H147" s="5">
        <v>7757</v>
      </c>
      <c r="I147" s="5">
        <v>2</v>
      </c>
      <c r="J147" s="5">
        <v>5170</v>
      </c>
      <c r="K147" t="s">
        <v>18</v>
      </c>
      <c r="L147" t="s">
        <v>40</v>
      </c>
      <c r="M147" t="s">
        <v>20</v>
      </c>
      <c r="N147" t="s">
        <v>48</v>
      </c>
      <c r="O147" t="s">
        <v>87</v>
      </c>
      <c r="P147" t="s">
        <v>18</v>
      </c>
      <c r="Q147">
        <f>Table1[[#This Row],[Course_Fee_AED]]-Table1[[#This Row],[Amount_Paid_AED]]</f>
        <v>2587</v>
      </c>
      <c r="R147">
        <f>Table1[[#This Row],[Course_Fee_AED]]-Table1[[#This Row],[pending Revenue]]</f>
        <v>5170</v>
      </c>
    </row>
    <row r="148" spans="1:18" x14ac:dyDescent="0.25">
      <c r="A148" t="s">
        <v>225</v>
      </c>
      <c r="B148" s="2">
        <v>45456</v>
      </c>
      <c r="C148" t="s">
        <v>113</v>
      </c>
      <c r="D148" t="s">
        <v>93</v>
      </c>
      <c r="E148" t="s">
        <v>26</v>
      </c>
      <c r="F148" s="5">
        <v>3</v>
      </c>
      <c r="G148" s="5">
        <v>1</v>
      </c>
      <c r="H148" s="5">
        <v>3830</v>
      </c>
      <c r="I148" s="5">
        <v>1</v>
      </c>
      <c r="J148" s="5">
        <v>1276</v>
      </c>
      <c r="K148" t="s">
        <v>18</v>
      </c>
      <c r="L148" t="s">
        <v>40</v>
      </c>
      <c r="M148" t="s">
        <v>47</v>
      </c>
      <c r="N148" t="s">
        <v>154</v>
      </c>
      <c r="O148" t="s">
        <v>68</v>
      </c>
      <c r="P148" t="s">
        <v>36</v>
      </c>
      <c r="Q148">
        <f>Table1[[#This Row],[Course_Fee_AED]]-Table1[[#This Row],[Amount_Paid_AED]]</f>
        <v>2554</v>
      </c>
      <c r="R148">
        <f>Table1[[#This Row],[Course_Fee_AED]]-Table1[[#This Row],[pending Revenue]]</f>
        <v>1276</v>
      </c>
    </row>
    <row r="149" spans="1:18" x14ac:dyDescent="0.25">
      <c r="A149" t="s">
        <v>226</v>
      </c>
      <c r="B149" s="2">
        <v>45405</v>
      </c>
      <c r="C149" t="s">
        <v>45</v>
      </c>
      <c r="D149" t="s">
        <v>46</v>
      </c>
      <c r="E149" t="s">
        <v>26</v>
      </c>
      <c r="F149" s="5">
        <v>3</v>
      </c>
      <c r="G149" s="5">
        <v>1</v>
      </c>
      <c r="H149" s="5">
        <v>5578</v>
      </c>
      <c r="I149" s="5">
        <v>2</v>
      </c>
      <c r="J149" s="5">
        <v>3718</v>
      </c>
      <c r="K149" t="s">
        <v>18</v>
      </c>
      <c r="L149" t="s">
        <v>40</v>
      </c>
      <c r="M149" t="s">
        <v>47</v>
      </c>
      <c r="N149" t="s">
        <v>53</v>
      </c>
      <c r="O149" t="s">
        <v>29</v>
      </c>
      <c r="P149" t="s">
        <v>36</v>
      </c>
      <c r="Q149">
        <f>Table1[[#This Row],[Course_Fee_AED]]-Table1[[#This Row],[Amount_Paid_AED]]</f>
        <v>1860</v>
      </c>
      <c r="R149">
        <f>Table1[[#This Row],[Course_Fee_AED]]-Table1[[#This Row],[pending Revenue]]</f>
        <v>3718</v>
      </c>
    </row>
    <row r="150" spans="1:18" x14ac:dyDescent="0.25">
      <c r="A150" t="s">
        <v>227</v>
      </c>
      <c r="B150" s="2">
        <v>45533</v>
      </c>
      <c r="C150" t="s">
        <v>55</v>
      </c>
      <c r="D150" t="s">
        <v>56</v>
      </c>
      <c r="E150" t="s">
        <v>26</v>
      </c>
      <c r="F150" s="5">
        <v>3</v>
      </c>
      <c r="G150" s="5">
        <v>1</v>
      </c>
      <c r="H150" s="5">
        <v>10886</v>
      </c>
      <c r="I150" s="5">
        <v>1</v>
      </c>
      <c r="J150" s="5">
        <v>3628</v>
      </c>
      <c r="K150" t="s">
        <v>18</v>
      </c>
      <c r="L150" t="s">
        <v>19</v>
      </c>
      <c r="M150" t="s">
        <v>41</v>
      </c>
      <c r="N150" t="s">
        <v>28</v>
      </c>
      <c r="O150" t="s">
        <v>68</v>
      </c>
      <c r="P150" t="s">
        <v>18</v>
      </c>
      <c r="Q150">
        <f>Table1[[#This Row],[Course_Fee_AED]]-Table1[[#This Row],[Amount_Paid_AED]]</f>
        <v>7258</v>
      </c>
      <c r="R150">
        <f>Table1[[#This Row],[Course_Fee_AED]]-Table1[[#This Row],[pending Revenue]]</f>
        <v>3628</v>
      </c>
    </row>
    <row r="151" spans="1:18" x14ac:dyDescent="0.25">
      <c r="A151" t="s">
        <v>228</v>
      </c>
      <c r="B151" s="2">
        <v>45618</v>
      </c>
      <c r="C151" t="s">
        <v>75</v>
      </c>
      <c r="D151" t="s">
        <v>76</v>
      </c>
      <c r="E151" t="s">
        <v>17</v>
      </c>
      <c r="F151" s="5">
        <v>6</v>
      </c>
      <c r="G151" s="5">
        <v>1</v>
      </c>
      <c r="H151" s="5">
        <v>7358</v>
      </c>
      <c r="I151" s="5">
        <v>1</v>
      </c>
      <c r="J151" s="5">
        <v>2452</v>
      </c>
      <c r="K151" t="s">
        <v>18</v>
      </c>
      <c r="L151" t="s">
        <v>40</v>
      </c>
      <c r="M151" t="s">
        <v>41</v>
      </c>
      <c r="N151" t="s">
        <v>79</v>
      </c>
      <c r="O151" t="s">
        <v>35</v>
      </c>
      <c r="P151" t="s">
        <v>36</v>
      </c>
      <c r="Q151">
        <f>Table1[[#This Row],[Course_Fee_AED]]-Table1[[#This Row],[Amount_Paid_AED]]</f>
        <v>4906</v>
      </c>
      <c r="R151">
        <f>Table1[[#This Row],[Course_Fee_AED]]-Table1[[#This Row],[pending Revenue]]</f>
        <v>2452</v>
      </c>
    </row>
    <row r="152" spans="1:18" x14ac:dyDescent="0.25">
      <c r="A152" t="s">
        <v>229</v>
      </c>
      <c r="B152" s="2">
        <v>45309</v>
      </c>
      <c r="C152" t="s">
        <v>55</v>
      </c>
      <c r="D152" t="s">
        <v>56</v>
      </c>
      <c r="E152" t="s">
        <v>26</v>
      </c>
      <c r="F152" s="5">
        <v>3</v>
      </c>
      <c r="G152" s="5">
        <v>1</v>
      </c>
      <c r="H152" s="5">
        <v>8958</v>
      </c>
      <c r="I152" s="5">
        <v>3</v>
      </c>
      <c r="J152" s="5">
        <v>8958</v>
      </c>
      <c r="K152" t="s">
        <v>33</v>
      </c>
      <c r="L152" t="s">
        <v>57</v>
      </c>
      <c r="M152" t="s">
        <v>63</v>
      </c>
      <c r="N152" t="s">
        <v>53</v>
      </c>
      <c r="O152" t="s">
        <v>58</v>
      </c>
      <c r="P152" t="s">
        <v>36</v>
      </c>
      <c r="Q152">
        <f>Table1[[#This Row],[Course_Fee_AED]]-Table1[[#This Row],[Amount_Paid_AED]]</f>
        <v>0</v>
      </c>
      <c r="R152">
        <f>Table1[[#This Row],[Course_Fee_AED]]-Table1[[#This Row],[pending Revenue]]</f>
        <v>8958</v>
      </c>
    </row>
    <row r="153" spans="1:18" x14ac:dyDescent="0.25">
      <c r="A153" t="s">
        <v>230</v>
      </c>
      <c r="B153" s="2">
        <v>45387</v>
      </c>
      <c r="C153" t="s">
        <v>66</v>
      </c>
      <c r="D153" t="s">
        <v>56</v>
      </c>
      <c r="E153" t="s">
        <v>26</v>
      </c>
      <c r="F153" s="5">
        <v>3</v>
      </c>
      <c r="G153" s="5">
        <v>1</v>
      </c>
      <c r="H153" s="5">
        <v>10213</v>
      </c>
      <c r="I153" s="5">
        <v>3</v>
      </c>
      <c r="J153" s="5">
        <v>10212</v>
      </c>
      <c r="K153" t="s">
        <v>18</v>
      </c>
      <c r="L153" t="s">
        <v>40</v>
      </c>
      <c r="M153" t="s">
        <v>27</v>
      </c>
      <c r="N153" t="s">
        <v>21</v>
      </c>
      <c r="O153" t="s">
        <v>68</v>
      </c>
      <c r="P153" t="s">
        <v>18</v>
      </c>
      <c r="Q153">
        <f>Table1[[#This Row],[Course_Fee_AED]]-Table1[[#This Row],[Amount_Paid_AED]]</f>
        <v>1</v>
      </c>
      <c r="R153">
        <f>Table1[[#This Row],[Course_Fee_AED]]-Table1[[#This Row],[pending Revenue]]</f>
        <v>10212</v>
      </c>
    </row>
    <row r="154" spans="1:18" x14ac:dyDescent="0.25">
      <c r="A154" t="s">
        <v>231</v>
      </c>
      <c r="B154" s="2">
        <v>45353</v>
      </c>
      <c r="C154" t="s">
        <v>100</v>
      </c>
      <c r="D154" t="s">
        <v>101</v>
      </c>
      <c r="E154" t="s">
        <v>17</v>
      </c>
      <c r="F154" s="5">
        <v>6</v>
      </c>
      <c r="G154" s="5">
        <v>1</v>
      </c>
      <c r="H154" s="5">
        <v>5922</v>
      </c>
      <c r="I154" s="5">
        <v>1</v>
      </c>
      <c r="J154" s="5">
        <v>1974</v>
      </c>
      <c r="K154" t="s">
        <v>18</v>
      </c>
      <c r="L154" t="s">
        <v>19</v>
      </c>
      <c r="M154" t="s">
        <v>63</v>
      </c>
      <c r="N154" t="s">
        <v>53</v>
      </c>
      <c r="O154" t="s">
        <v>29</v>
      </c>
      <c r="P154" t="s">
        <v>18</v>
      </c>
      <c r="Q154">
        <f>Table1[[#This Row],[Course_Fee_AED]]-Table1[[#This Row],[Amount_Paid_AED]]</f>
        <v>3948</v>
      </c>
      <c r="R154">
        <f>Table1[[#This Row],[Course_Fee_AED]]-Table1[[#This Row],[pending Revenue]]</f>
        <v>1974</v>
      </c>
    </row>
    <row r="155" spans="1:18" x14ac:dyDescent="0.25">
      <c r="A155" t="s">
        <v>232</v>
      </c>
      <c r="B155" s="2">
        <v>45621</v>
      </c>
      <c r="C155" t="s">
        <v>82</v>
      </c>
      <c r="D155" t="s">
        <v>83</v>
      </c>
      <c r="E155" t="s">
        <v>17</v>
      </c>
      <c r="F155" s="5">
        <v>6</v>
      </c>
      <c r="G155" s="5">
        <v>1</v>
      </c>
      <c r="H155" s="5">
        <v>11544</v>
      </c>
      <c r="I155" s="5">
        <v>2</v>
      </c>
      <c r="J155" s="5">
        <v>7696</v>
      </c>
      <c r="K155" t="s">
        <v>18</v>
      </c>
      <c r="L155" t="s">
        <v>57</v>
      </c>
      <c r="M155" t="s">
        <v>60</v>
      </c>
      <c r="N155" t="s">
        <v>34</v>
      </c>
      <c r="O155" t="s">
        <v>29</v>
      </c>
      <c r="P155" t="s">
        <v>18</v>
      </c>
      <c r="Q155">
        <f>Table1[[#This Row],[Course_Fee_AED]]-Table1[[#This Row],[Amount_Paid_AED]]</f>
        <v>3848</v>
      </c>
      <c r="R155">
        <f>Table1[[#This Row],[Course_Fee_AED]]-Table1[[#This Row],[pending Revenue]]</f>
        <v>7696</v>
      </c>
    </row>
    <row r="156" spans="1:18" x14ac:dyDescent="0.25">
      <c r="A156" t="s">
        <v>233</v>
      </c>
      <c r="B156" s="2">
        <v>45500</v>
      </c>
      <c r="C156" t="s">
        <v>31</v>
      </c>
      <c r="D156" t="s">
        <v>32</v>
      </c>
      <c r="E156" t="s">
        <v>26</v>
      </c>
      <c r="F156" s="5">
        <v>3</v>
      </c>
      <c r="G156" s="5">
        <v>1</v>
      </c>
      <c r="H156" s="5">
        <v>6885</v>
      </c>
      <c r="I156" s="5">
        <v>1</v>
      </c>
      <c r="J156" s="5">
        <v>2295</v>
      </c>
      <c r="K156" t="s">
        <v>18</v>
      </c>
      <c r="L156" t="s">
        <v>57</v>
      </c>
      <c r="M156" t="s">
        <v>20</v>
      </c>
      <c r="N156" t="s">
        <v>116</v>
      </c>
      <c r="O156" t="s">
        <v>35</v>
      </c>
      <c r="P156" t="s">
        <v>18</v>
      </c>
      <c r="Q156">
        <f>Table1[[#This Row],[Course_Fee_AED]]-Table1[[#This Row],[Amount_Paid_AED]]</f>
        <v>4590</v>
      </c>
      <c r="R156">
        <f>Table1[[#This Row],[Course_Fee_AED]]-Table1[[#This Row],[pending Revenue]]</f>
        <v>2295</v>
      </c>
    </row>
    <row r="157" spans="1:18" x14ac:dyDescent="0.25">
      <c r="A157" t="s">
        <v>234</v>
      </c>
      <c r="B157" s="2">
        <v>45460</v>
      </c>
      <c r="C157" t="s">
        <v>106</v>
      </c>
      <c r="D157" t="s">
        <v>107</v>
      </c>
      <c r="E157" t="s">
        <v>17</v>
      </c>
      <c r="F157" s="5">
        <v>6</v>
      </c>
      <c r="G157" s="5">
        <v>1</v>
      </c>
      <c r="H157" s="5">
        <v>6450</v>
      </c>
      <c r="I157" s="5">
        <v>2</v>
      </c>
      <c r="J157" s="5">
        <v>4300</v>
      </c>
      <c r="K157" t="s">
        <v>18</v>
      </c>
      <c r="L157" t="s">
        <v>57</v>
      </c>
      <c r="M157" t="s">
        <v>60</v>
      </c>
      <c r="N157" t="s">
        <v>53</v>
      </c>
      <c r="O157" t="s">
        <v>71</v>
      </c>
      <c r="P157" t="s">
        <v>18</v>
      </c>
      <c r="Q157">
        <f>Table1[[#This Row],[Course_Fee_AED]]-Table1[[#This Row],[Amount_Paid_AED]]</f>
        <v>2150</v>
      </c>
      <c r="R157">
        <f>Table1[[#This Row],[Course_Fee_AED]]-Table1[[#This Row],[pending Revenue]]</f>
        <v>4300</v>
      </c>
    </row>
    <row r="158" spans="1:18" x14ac:dyDescent="0.25">
      <c r="A158" t="s">
        <v>235</v>
      </c>
      <c r="B158" s="2">
        <v>45463</v>
      </c>
      <c r="C158" t="s">
        <v>100</v>
      </c>
      <c r="D158" t="s">
        <v>101</v>
      </c>
      <c r="E158" t="s">
        <v>26</v>
      </c>
      <c r="F158" s="5">
        <v>3</v>
      </c>
      <c r="G158" s="5">
        <v>1</v>
      </c>
      <c r="H158" s="5">
        <v>4700</v>
      </c>
      <c r="I158" s="5">
        <v>1</v>
      </c>
      <c r="J158" s="5">
        <v>1566</v>
      </c>
      <c r="K158" t="s">
        <v>18</v>
      </c>
      <c r="L158" t="s">
        <v>40</v>
      </c>
      <c r="M158" t="s">
        <v>41</v>
      </c>
      <c r="N158" t="s">
        <v>90</v>
      </c>
      <c r="O158" t="s">
        <v>64</v>
      </c>
      <c r="P158" t="s">
        <v>18</v>
      </c>
      <c r="Q158">
        <f>Table1[[#This Row],[Course_Fee_AED]]-Table1[[#This Row],[Amount_Paid_AED]]</f>
        <v>3134</v>
      </c>
      <c r="R158">
        <f>Table1[[#This Row],[Course_Fee_AED]]-Table1[[#This Row],[pending Revenue]]</f>
        <v>1566</v>
      </c>
    </row>
    <row r="159" spans="1:18" x14ac:dyDescent="0.25">
      <c r="A159" t="s">
        <v>236</v>
      </c>
      <c r="B159" s="2">
        <v>45548</v>
      </c>
      <c r="C159" t="s">
        <v>92</v>
      </c>
      <c r="D159" t="s">
        <v>93</v>
      </c>
      <c r="E159" t="s">
        <v>17</v>
      </c>
      <c r="F159" s="5">
        <v>6</v>
      </c>
      <c r="G159" s="5">
        <v>1</v>
      </c>
      <c r="H159" s="5">
        <v>5778</v>
      </c>
      <c r="I159" s="5">
        <v>2</v>
      </c>
      <c r="J159" s="5">
        <v>3852</v>
      </c>
      <c r="K159" t="s">
        <v>18</v>
      </c>
      <c r="L159" t="s">
        <v>57</v>
      </c>
      <c r="M159" t="s">
        <v>27</v>
      </c>
      <c r="N159" t="s">
        <v>48</v>
      </c>
      <c r="O159" t="s">
        <v>35</v>
      </c>
      <c r="P159" t="s">
        <v>18</v>
      </c>
      <c r="Q159">
        <f>Table1[[#This Row],[Course_Fee_AED]]-Table1[[#This Row],[Amount_Paid_AED]]</f>
        <v>1926</v>
      </c>
      <c r="R159">
        <f>Table1[[#This Row],[Course_Fee_AED]]-Table1[[#This Row],[pending Revenue]]</f>
        <v>3852</v>
      </c>
    </row>
    <row r="160" spans="1:18" x14ac:dyDescent="0.25">
      <c r="A160" t="s">
        <v>237</v>
      </c>
      <c r="B160" s="2">
        <v>45405</v>
      </c>
      <c r="C160" t="s">
        <v>45</v>
      </c>
      <c r="D160" t="s">
        <v>46</v>
      </c>
      <c r="E160" t="s">
        <v>26</v>
      </c>
      <c r="F160" s="5">
        <v>3</v>
      </c>
      <c r="G160" s="5">
        <v>1</v>
      </c>
      <c r="H160" s="5">
        <v>4583</v>
      </c>
      <c r="I160" s="5">
        <v>1</v>
      </c>
      <c r="J160" s="5">
        <v>1527</v>
      </c>
      <c r="K160" t="s">
        <v>18</v>
      </c>
      <c r="L160" t="s">
        <v>40</v>
      </c>
      <c r="M160" t="s">
        <v>20</v>
      </c>
      <c r="N160" t="s">
        <v>42</v>
      </c>
      <c r="O160" t="s">
        <v>35</v>
      </c>
      <c r="P160" t="s">
        <v>36</v>
      </c>
      <c r="Q160">
        <f>Table1[[#This Row],[Course_Fee_AED]]-Table1[[#This Row],[Amount_Paid_AED]]</f>
        <v>3056</v>
      </c>
      <c r="R160">
        <f>Table1[[#This Row],[Course_Fee_AED]]-Table1[[#This Row],[pending Revenue]]</f>
        <v>1527</v>
      </c>
    </row>
    <row r="161" spans="1:18" x14ac:dyDescent="0.25">
      <c r="A161" t="s">
        <v>238</v>
      </c>
      <c r="B161" s="2">
        <v>45534</v>
      </c>
      <c r="C161" t="s">
        <v>106</v>
      </c>
      <c r="D161" t="s">
        <v>107</v>
      </c>
      <c r="E161" t="s">
        <v>17</v>
      </c>
      <c r="F161" s="5">
        <v>6</v>
      </c>
      <c r="G161" s="5">
        <v>1</v>
      </c>
      <c r="H161" s="5">
        <v>7446</v>
      </c>
      <c r="I161" s="5">
        <v>1</v>
      </c>
      <c r="J161" s="5">
        <v>2482</v>
      </c>
      <c r="K161" t="s">
        <v>18</v>
      </c>
      <c r="L161" t="s">
        <v>40</v>
      </c>
      <c r="M161" t="s">
        <v>47</v>
      </c>
      <c r="N161" t="s">
        <v>48</v>
      </c>
      <c r="O161" t="s">
        <v>71</v>
      </c>
      <c r="P161" t="s">
        <v>36</v>
      </c>
      <c r="Q161">
        <f>Table1[[#This Row],[Course_Fee_AED]]-Table1[[#This Row],[Amount_Paid_AED]]</f>
        <v>4964</v>
      </c>
      <c r="R161">
        <f>Table1[[#This Row],[Course_Fee_AED]]-Table1[[#This Row],[pending Revenue]]</f>
        <v>2482</v>
      </c>
    </row>
    <row r="162" spans="1:18" x14ac:dyDescent="0.25">
      <c r="A162" t="s">
        <v>239</v>
      </c>
      <c r="B162" s="2">
        <v>45349</v>
      </c>
      <c r="C162" t="s">
        <v>24</v>
      </c>
      <c r="D162" t="s">
        <v>25</v>
      </c>
      <c r="E162" t="s">
        <v>26</v>
      </c>
      <c r="F162" s="5">
        <v>3</v>
      </c>
      <c r="G162" s="5">
        <v>1</v>
      </c>
      <c r="H162" s="5">
        <v>5270</v>
      </c>
      <c r="I162" s="5">
        <v>3</v>
      </c>
      <c r="J162" s="5">
        <v>5268</v>
      </c>
      <c r="K162" t="s">
        <v>18</v>
      </c>
      <c r="L162" t="s">
        <v>19</v>
      </c>
      <c r="M162" t="s">
        <v>63</v>
      </c>
      <c r="N162" t="s">
        <v>34</v>
      </c>
      <c r="O162" t="s">
        <v>29</v>
      </c>
      <c r="P162" t="s">
        <v>36</v>
      </c>
      <c r="Q162">
        <f>Table1[[#This Row],[Course_Fee_AED]]-Table1[[#This Row],[Amount_Paid_AED]]</f>
        <v>2</v>
      </c>
      <c r="R162">
        <f>Table1[[#This Row],[Course_Fee_AED]]-Table1[[#This Row],[pending Revenue]]</f>
        <v>5268</v>
      </c>
    </row>
    <row r="163" spans="1:18" x14ac:dyDescent="0.25">
      <c r="A163" t="s">
        <v>240</v>
      </c>
      <c r="B163" s="2">
        <v>45433</v>
      </c>
      <c r="C163" t="s">
        <v>45</v>
      </c>
      <c r="D163" t="s">
        <v>46</v>
      </c>
      <c r="E163" t="s">
        <v>26</v>
      </c>
      <c r="F163" s="5">
        <v>3</v>
      </c>
      <c r="G163" s="5">
        <v>1</v>
      </c>
      <c r="H163" s="5">
        <v>5872</v>
      </c>
      <c r="I163" s="5">
        <v>1</v>
      </c>
      <c r="J163" s="5">
        <v>1957</v>
      </c>
      <c r="K163" t="s">
        <v>18</v>
      </c>
      <c r="L163" t="s">
        <v>57</v>
      </c>
      <c r="M163" t="s">
        <v>63</v>
      </c>
      <c r="N163" t="s">
        <v>61</v>
      </c>
      <c r="O163" t="s">
        <v>22</v>
      </c>
      <c r="P163" t="s">
        <v>36</v>
      </c>
      <c r="Q163">
        <f>Table1[[#This Row],[Course_Fee_AED]]-Table1[[#This Row],[Amount_Paid_AED]]</f>
        <v>3915</v>
      </c>
      <c r="R163">
        <f>Table1[[#This Row],[Course_Fee_AED]]-Table1[[#This Row],[pending Revenue]]</f>
        <v>1957</v>
      </c>
    </row>
    <row r="164" spans="1:18" x14ac:dyDescent="0.25">
      <c r="A164" t="s">
        <v>241</v>
      </c>
      <c r="B164" s="2">
        <v>45626</v>
      </c>
      <c r="C164" t="s">
        <v>38</v>
      </c>
      <c r="D164" t="s">
        <v>39</v>
      </c>
      <c r="E164" t="s">
        <v>26</v>
      </c>
      <c r="F164" s="5">
        <v>3</v>
      </c>
      <c r="G164" s="5">
        <v>1</v>
      </c>
      <c r="H164" s="5">
        <v>4264</v>
      </c>
      <c r="I164" s="5">
        <v>3</v>
      </c>
      <c r="J164" s="5">
        <v>4263</v>
      </c>
      <c r="K164" t="s">
        <v>18</v>
      </c>
      <c r="L164" t="s">
        <v>57</v>
      </c>
      <c r="M164" t="s">
        <v>20</v>
      </c>
      <c r="N164" t="s">
        <v>61</v>
      </c>
      <c r="O164" t="s">
        <v>68</v>
      </c>
      <c r="P164" t="s">
        <v>36</v>
      </c>
      <c r="Q164">
        <f>Table1[[#This Row],[Course_Fee_AED]]-Table1[[#This Row],[Amount_Paid_AED]]</f>
        <v>1</v>
      </c>
      <c r="R164">
        <f>Table1[[#This Row],[Course_Fee_AED]]-Table1[[#This Row],[pending Revenue]]</f>
        <v>4263</v>
      </c>
    </row>
    <row r="165" spans="1:18" x14ac:dyDescent="0.25">
      <c r="A165" t="s">
        <v>242</v>
      </c>
      <c r="B165" s="2">
        <v>45457</v>
      </c>
      <c r="C165" t="s">
        <v>38</v>
      </c>
      <c r="D165" t="s">
        <v>39</v>
      </c>
      <c r="E165" t="s">
        <v>17</v>
      </c>
      <c r="F165" s="5">
        <v>6</v>
      </c>
      <c r="G165" s="5">
        <v>1</v>
      </c>
      <c r="H165" s="5">
        <v>6509</v>
      </c>
      <c r="I165" s="5">
        <v>1</v>
      </c>
      <c r="J165" s="5">
        <v>2169</v>
      </c>
      <c r="K165" t="s">
        <v>18</v>
      </c>
      <c r="L165" t="s">
        <v>57</v>
      </c>
      <c r="M165" t="s">
        <v>20</v>
      </c>
      <c r="N165" t="s">
        <v>86</v>
      </c>
      <c r="O165" t="s">
        <v>35</v>
      </c>
      <c r="P165" t="s">
        <v>18</v>
      </c>
      <c r="Q165">
        <f>Table1[[#This Row],[Course_Fee_AED]]-Table1[[#This Row],[Amount_Paid_AED]]</f>
        <v>4340</v>
      </c>
      <c r="R165">
        <f>Table1[[#This Row],[Course_Fee_AED]]-Table1[[#This Row],[pending Revenue]]</f>
        <v>2169</v>
      </c>
    </row>
    <row r="166" spans="1:18" x14ac:dyDescent="0.25">
      <c r="A166" t="s">
        <v>243</v>
      </c>
      <c r="B166" s="2">
        <v>45639</v>
      </c>
      <c r="C166" t="s">
        <v>113</v>
      </c>
      <c r="D166" t="s">
        <v>93</v>
      </c>
      <c r="E166" t="s">
        <v>17</v>
      </c>
      <c r="F166" s="5">
        <v>6</v>
      </c>
      <c r="G166" s="5">
        <v>1</v>
      </c>
      <c r="H166" s="5">
        <v>3059</v>
      </c>
      <c r="I166" s="5">
        <v>1</v>
      </c>
      <c r="J166" s="5">
        <v>1019</v>
      </c>
      <c r="K166" t="s">
        <v>18</v>
      </c>
      <c r="L166" t="s">
        <v>57</v>
      </c>
      <c r="M166" t="s">
        <v>20</v>
      </c>
      <c r="N166" t="s">
        <v>34</v>
      </c>
      <c r="O166" t="s">
        <v>58</v>
      </c>
      <c r="P166" t="s">
        <v>36</v>
      </c>
      <c r="Q166">
        <f>Table1[[#This Row],[Course_Fee_AED]]-Table1[[#This Row],[Amount_Paid_AED]]</f>
        <v>2040</v>
      </c>
      <c r="R166">
        <f>Table1[[#This Row],[Course_Fee_AED]]-Table1[[#This Row],[pending Revenue]]</f>
        <v>1019</v>
      </c>
    </row>
    <row r="167" spans="1:18" x14ac:dyDescent="0.25">
      <c r="A167" t="s">
        <v>244</v>
      </c>
      <c r="B167" s="2">
        <v>45593</v>
      </c>
      <c r="C167" t="s">
        <v>38</v>
      </c>
      <c r="D167" t="s">
        <v>39</v>
      </c>
      <c r="E167" t="s">
        <v>26</v>
      </c>
      <c r="F167" s="5">
        <v>3</v>
      </c>
      <c r="G167" s="5">
        <v>1</v>
      </c>
      <c r="H167" s="5">
        <v>4628</v>
      </c>
      <c r="I167" s="5">
        <v>1</v>
      </c>
      <c r="J167" s="5">
        <v>1542</v>
      </c>
      <c r="K167" t="s">
        <v>18</v>
      </c>
      <c r="L167" t="s">
        <v>40</v>
      </c>
      <c r="M167" t="s">
        <v>63</v>
      </c>
      <c r="N167" t="s">
        <v>53</v>
      </c>
      <c r="O167" t="s">
        <v>49</v>
      </c>
      <c r="P167" t="s">
        <v>18</v>
      </c>
      <c r="Q167">
        <f>Table1[[#This Row],[Course_Fee_AED]]-Table1[[#This Row],[Amount_Paid_AED]]</f>
        <v>3086</v>
      </c>
      <c r="R167">
        <f>Table1[[#This Row],[Course_Fee_AED]]-Table1[[#This Row],[pending Revenue]]</f>
        <v>1542</v>
      </c>
    </row>
    <row r="168" spans="1:18" x14ac:dyDescent="0.25">
      <c r="A168" t="s">
        <v>245</v>
      </c>
      <c r="B168" s="2">
        <v>45328</v>
      </c>
      <c r="C168" t="s">
        <v>66</v>
      </c>
      <c r="D168" t="s">
        <v>56</v>
      </c>
      <c r="E168" t="s">
        <v>26</v>
      </c>
      <c r="F168" s="5">
        <v>3</v>
      </c>
      <c r="G168" s="5">
        <v>1</v>
      </c>
      <c r="H168" s="5">
        <v>7708</v>
      </c>
      <c r="I168" s="5">
        <v>2</v>
      </c>
      <c r="J168" s="5">
        <v>5138</v>
      </c>
      <c r="K168" t="s">
        <v>18</v>
      </c>
      <c r="L168" t="s">
        <v>57</v>
      </c>
      <c r="M168" t="s">
        <v>20</v>
      </c>
      <c r="N168" t="s">
        <v>61</v>
      </c>
      <c r="O168" t="s">
        <v>64</v>
      </c>
      <c r="P168" t="s">
        <v>18</v>
      </c>
      <c r="Q168">
        <f>Table1[[#This Row],[Course_Fee_AED]]-Table1[[#This Row],[Amount_Paid_AED]]</f>
        <v>2570</v>
      </c>
      <c r="R168">
        <f>Table1[[#This Row],[Course_Fee_AED]]-Table1[[#This Row],[pending Revenue]]</f>
        <v>5138</v>
      </c>
    </row>
    <row r="169" spans="1:18" x14ac:dyDescent="0.25">
      <c r="A169" t="s">
        <v>246</v>
      </c>
      <c r="B169" s="2">
        <v>45513</v>
      </c>
      <c r="C169" t="s">
        <v>51</v>
      </c>
      <c r="D169" t="s">
        <v>52</v>
      </c>
      <c r="E169" t="s">
        <v>26</v>
      </c>
      <c r="F169" s="5">
        <v>3</v>
      </c>
      <c r="G169" s="5">
        <v>1</v>
      </c>
      <c r="H169" s="5">
        <v>4039</v>
      </c>
      <c r="I169" s="5">
        <v>2</v>
      </c>
      <c r="J169" s="5">
        <v>2692</v>
      </c>
      <c r="K169" t="s">
        <v>18</v>
      </c>
      <c r="L169" t="s">
        <v>40</v>
      </c>
      <c r="M169" t="s">
        <v>47</v>
      </c>
      <c r="N169" t="s">
        <v>21</v>
      </c>
      <c r="O169" t="s">
        <v>58</v>
      </c>
      <c r="P169" t="s">
        <v>18</v>
      </c>
      <c r="Q169">
        <f>Table1[[#This Row],[Course_Fee_AED]]-Table1[[#This Row],[Amount_Paid_AED]]</f>
        <v>1347</v>
      </c>
      <c r="R169">
        <f>Table1[[#This Row],[Course_Fee_AED]]-Table1[[#This Row],[pending Revenue]]</f>
        <v>2692</v>
      </c>
    </row>
    <row r="170" spans="1:18" x14ac:dyDescent="0.25">
      <c r="A170" t="s">
        <v>247</v>
      </c>
      <c r="B170" s="2">
        <v>45399</v>
      </c>
      <c r="C170" t="s">
        <v>92</v>
      </c>
      <c r="D170" t="s">
        <v>93</v>
      </c>
      <c r="E170" t="s">
        <v>26</v>
      </c>
      <c r="F170" s="5">
        <v>3</v>
      </c>
      <c r="G170" s="5">
        <v>1</v>
      </c>
      <c r="H170" s="5">
        <v>7546</v>
      </c>
      <c r="I170" s="5">
        <v>1</v>
      </c>
      <c r="J170" s="5">
        <v>2515</v>
      </c>
      <c r="K170" t="s">
        <v>18</v>
      </c>
      <c r="L170" t="s">
        <v>19</v>
      </c>
      <c r="M170" t="s">
        <v>41</v>
      </c>
      <c r="N170" t="s">
        <v>70</v>
      </c>
      <c r="O170" t="s">
        <v>43</v>
      </c>
      <c r="P170" t="s">
        <v>18</v>
      </c>
      <c r="Q170">
        <f>Table1[[#This Row],[Course_Fee_AED]]-Table1[[#This Row],[Amount_Paid_AED]]</f>
        <v>5031</v>
      </c>
      <c r="R170">
        <f>Table1[[#This Row],[Course_Fee_AED]]-Table1[[#This Row],[pending Revenue]]</f>
        <v>2515</v>
      </c>
    </row>
    <row r="171" spans="1:18" x14ac:dyDescent="0.25">
      <c r="A171" t="s">
        <v>248</v>
      </c>
      <c r="B171" s="2">
        <v>45301</v>
      </c>
      <c r="C171" t="s">
        <v>38</v>
      </c>
      <c r="D171" t="s">
        <v>39</v>
      </c>
      <c r="E171" t="s">
        <v>26</v>
      </c>
      <c r="F171" s="5">
        <v>3</v>
      </c>
      <c r="G171" s="5">
        <v>1</v>
      </c>
      <c r="H171" s="5">
        <v>5204</v>
      </c>
      <c r="I171" s="5">
        <v>3</v>
      </c>
      <c r="J171" s="5">
        <v>5202</v>
      </c>
      <c r="K171" t="s">
        <v>18</v>
      </c>
      <c r="L171" t="s">
        <v>19</v>
      </c>
      <c r="M171" t="s">
        <v>27</v>
      </c>
      <c r="N171" t="s">
        <v>116</v>
      </c>
      <c r="O171" t="s">
        <v>58</v>
      </c>
      <c r="P171" t="s">
        <v>18</v>
      </c>
      <c r="Q171">
        <f>Table1[[#This Row],[Course_Fee_AED]]-Table1[[#This Row],[Amount_Paid_AED]]</f>
        <v>2</v>
      </c>
      <c r="R171">
        <f>Table1[[#This Row],[Course_Fee_AED]]-Table1[[#This Row],[pending Revenue]]</f>
        <v>5202</v>
      </c>
    </row>
    <row r="172" spans="1:18" x14ac:dyDescent="0.25">
      <c r="A172" t="s">
        <v>249</v>
      </c>
      <c r="B172" s="2">
        <v>45587</v>
      </c>
      <c r="C172" t="s">
        <v>66</v>
      </c>
      <c r="D172" t="s">
        <v>56</v>
      </c>
      <c r="E172" t="s">
        <v>17</v>
      </c>
      <c r="F172" s="5">
        <v>6</v>
      </c>
      <c r="G172" s="5">
        <v>1</v>
      </c>
      <c r="H172" s="5">
        <v>11908</v>
      </c>
      <c r="I172" s="5">
        <v>2</v>
      </c>
      <c r="J172" s="5">
        <v>7938</v>
      </c>
      <c r="K172" t="s">
        <v>18</v>
      </c>
      <c r="L172" t="s">
        <v>40</v>
      </c>
      <c r="M172" t="s">
        <v>47</v>
      </c>
      <c r="N172" t="s">
        <v>53</v>
      </c>
      <c r="O172" t="s">
        <v>71</v>
      </c>
      <c r="P172" t="s">
        <v>18</v>
      </c>
      <c r="Q172">
        <f>Table1[[#This Row],[Course_Fee_AED]]-Table1[[#This Row],[Amount_Paid_AED]]</f>
        <v>3970</v>
      </c>
      <c r="R172">
        <f>Table1[[#This Row],[Course_Fee_AED]]-Table1[[#This Row],[pending Revenue]]</f>
        <v>7938</v>
      </c>
    </row>
    <row r="173" spans="1:18" x14ac:dyDescent="0.25">
      <c r="A173" t="s">
        <v>250</v>
      </c>
      <c r="B173" s="2">
        <v>45568</v>
      </c>
      <c r="C173" t="s">
        <v>38</v>
      </c>
      <c r="D173" t="s">
        <v>39</v>
      </c>
      <c r="E173" t="s">
        <v>26</v>
      </c>
      <c r="F173" s="5">
        <v>3</v>
      </c>
      <c r="G173" s="5">
        <v>1</v>
      </c>
      <c r="H173" s="5">
        <v>7350</v>
      </c>
      <c r="I173" s="5">
        <v>3</v>
      </c>
      <c r="J173" s="5">
        <v>7350</v>
      </c>
      <c r="K173" t="s">
        <v>33</v>
      </c>
      <c r="L173" t="s">
        <v>19</v>
      </c>
      <c r="M173" t="s">
        <v>41</v>
      </c>
      <c r="N173" t="s">
        <v>21</v>
      </c>
      <c r="O173" t="s">
        <v>43</v>
      </c>
      <c r="P173" t="s">
        <v>36</v>
      </c>
      <c r="Q173">
        <f>Table1[[#This Row],[Course_Fee_AED]]-Table1[[#This Row],[Amount_Paid_AED]]</f>
        <v>0</v>
      </c>
      <c r="R173">
        <f>Table1[[#This Row],[Course_Fee_AED]]-Table1[[#This Row],[pending Revenue]]</f>
        <v>7350</v>
      </c>
    </row>
    <row r="174" spans="1:18" x14ac:dyDescent="0.25">
      <c r="A174" t="s">
        <v>251</v>
      </c>
      <c r="B174" s="2">
        <v>45522</v>
      </c>
      <c r="C174" t="s">
        <v>92</v>
      </c>
      <c r="D174" t="s">
        <v>93</v>
      </c>
      <c r="E174" t="s">
        <v>17</v>
      </c>
      <c r="F174" s="5">
        <v>6</v>
      </c>
      <c r="G174" s="5">
        <v>1</v>
      </c>
      <c r="H174" s="5">
        <v>5444</v>
      </c>
      <c r="I174" s="5">
        <v>1</v>
      </c>
      <c r="J174" s="5">
        <v>1814</v>
      </c>
      <c r="K174" t="s">
        <v>18</v>
      </c>
      <c r="L174" t="s">
        <v>40</v>
      </c>
      <c r="M174" t="s">
        <v>27</v>
      </c>
      <c r="N174" t="s">
        <v>86</v>
      </c>
      <c r="O174" t="s">
        <v>35</v>
      </c>
      <c r="P174" t="s">
        <v>36</v>
      </c>
      <c r="Q174">
        <f>Table1[[#This Row],[Course_Fee_AED]]-Table1[[#This Row],[Amount_Paid_AED]]</f>
        <v>3630</v>
      </c>
      <c r="R174">
        <f>Table1[[#This Row],[Course_Fee_AED]]-Table1[[#This Row],[pending Revenue]]</f>
        <v>1814</v>
      </c>
    </row>
    <row r="175" spans="1:18" x14ac:dyDescent="0.25">
      <c r="A175" t="s">
        <v>252</v>
      </c>
      <c r="B175" s="2">
        <v>45379</v>
      </c>
      <c r="C175" t="s">
        <v>100</v>
      </c>
      <c r="D175" t="s">
        <v>101</v>
      </c>
      <c r="E175" t="s">
        <v>17</v>
      </c>
      <c r="F175" s="5">
        <v>6</v>
      </c>
      <c r="G175" s="5">
        <v>1</v>
      </c>
      <c r="H175" s="5">
        <v>5723</v>
      </c>
      <c r="I175" s="5">
        <v>2</v>
      </c>
      <c r="J175" s="5">
        <v>3814</v>
      </c>
      <c r="K175" t="s">
        <v>18</v>
      </c>
      <c r="L175" t="s">
        <v>40</v>
      </c>
      <c r="M175" t="s">
        <v>20</v>
      </c>
      <c r="N175" t="s">
        <v>28</v>
      </c>
      <c r="O175" t="s">
        <v>49</v>
      </c>
      <c r="P175" t="s">
        <v>36</v>
      </c>
      <c r="Q175">
        <f>Table1[[#This Row],[Course_Fee_AED]]-Table1[[#This Row],[Amount_Paid_AED]]</f>
        <v>1909</v>
      </c>
      <c r="R175">
        <f>Table1[[#This Row],[Course_Fee_AED]]-Table1[[#This Row],[pending Revenue]]</f>
        <v>3814</v>
      </c>
    </row>
    <row r="176" spans="1:18" x14ac:dyDescent="0.25">
      <c r="A176" t="s">
        <v>253</v>
      </c>
      <c r="B176" s="2">
        <v>45355</v>
      </c>
      <c r="C176" t="s">
        <v>113</v>
      </c>
      <c r="D176" t="s">
        <v>93</v>
      </c>
      <c r="E176" t="s">
        <v>26</v>
      </c>
      <c r="F176" s="5">
        <v>3</v>
      </c>
      <c r="G176" s="5">
        <v>1</v>
      </c>
      <c r="H176" s="5">
        <v>3373</v>
      </c>
      <c r="I176" s="5">
        <v>2</v>
      </c>
      <c r="J176" s="5">
        <v>2248</v>
      </c>
      <c r="K176" t="s">
        <v>18</v>
      </c>
      <c r="L176" t="s">
        <v>40</v>
      </c>
      <c r="M176" t="s">
        <v>63</v>
      </c>
      <c r="N176" t="s">
        <v>86</v>
      </c>
      <c r="O176" t="s">
        <v>87</v>
      </c>
      <c r="P176" t="s">
        <v>18</v>
      </c>
      <c r="Q176">
        <f>Table1[[#This Row],[Course_Fee_AED]]-Table1[[#This Row],[Amount_Paid_AED]]</f>
        <v>1125</v>
      </c>
      <c r="R176">
        <f>Table1[[#This Row],[Course_Fee_AED]]-Table1[[#This Row],[pending Revenue]]</f>
        <v>2248</v>
      </c>
    </row>
    <row r="177" spans="1:18" x14ac:dyDescent="0.25">
      <c r="A177" t="s">
        <v>254</v>
      </c>
      <c r="B177" s="2">
        <v>45578</v>
      </c>
      <c r="C177" t="s">
        <v>31</v>
      </c>
      <c r="D177" t="s">
        <v>32</v>
      </c>
      <c r="E177" t="s">
        <v>26</v>
      </c>
      <c r="F177" s="5">
        <v>3</v>
      </c>
      <c r="G177" s="5">
        <v>1</v>
      </c>
      <c r="H177" s="5">
        <v>5632</v>
      </c>
      <c r="I177" s="5">
        <v>3</v>
      </c>
      <c r="J177" s="5">
        <v>5631</v>
      </c>
      <c r="K177" t="s">
        <v>18</v>
      </c>
      <c r="L177" t="s">
        <v>57</v>
      </c>
      <c r="M177" t="s">
        <v>27</v>
      </c>
      <c r="N177" t="s">
        <v>154</v>
      </c>
      <c r="O177" t="s">
        <v>49</v>
      </c>
      <c r="P177" t="s">
        <v>18</v>
      </c>
      <c r="Q177">
        <f>Table1[[#This Row],[Course_Fee_AED]]-Table1[[#This Row],[Amount_Paid_AED]]</f>
        <v>1</v>
      </c>
      <c r="R177">
        <f>Table1[[#This Row],[Course_Fee_AED]]-Table1[[#This Row],[pending Revenue]]</f>
        <v>5631</v>
      </c>
    </row>
    <row r="178" spans="1:18" x14ac:dyDescent="0.25">
      <c r="A178" t="s">
        <v>255</v>
      </c>
      <c r="B178" s="2">
        <v>45307</v>
      </c>
      <c r="C178" t="s">
        <v>106</v>
      </c>
      <c r="D178" t="s">
        <v>107</v>
      </c>
      <c r="E178" t="s">
        <v>17</v>
      </c>
      <c r="F178" s="5">
        <v>6</v>
      </c>
      <c r="G178" s="5">
        <v>1</v>
      </c>
      <c r="H178" s="5">
        <v>6517</v>
      </c>
      <c r="I178" s="5">
        <v>1</v>
      </c>
      <c r="J178" s="5">
        <v>2172</v>
      </c>
      <c r="K178" t="s">
        <v>18</v>
      </c>
      <c r="L178" t="s">
        <v>57</v>
      </c>
      <c r="M178" t="s">
        <v>20</v>
      </c>
      <c r="N178" t="s">
        <v>79</v>
      </c>
      <c r="O178" t="s">
        <v>49</v>
      </c>
      <c r="P178" t="s">
        <v>18</v>
      </c>
      <c r="Q178">
        <f>Table1[[#This Row],[Course_Fee_AED]]-Table1[[#This Row],[Amount_Paid_AED]]</f>
        <v>4345</v>
      </c>
      <c r="R178">
        <f>Table1[[#This Row],[Course_Fee_AED]]-Table1[[#This Row],[pending Revenue]]</f>
        <v>2172</v>
      </c>
    </row>
    <row r="179" spans="1:18" x14ac:dyDescent="0.25">
      <c r="A179" t="s">
        <v>256</v>
      </c>
      <c r="B179" s="2">
        <v>45561</v>
      </c>
      <c r="C179" t="s">
        <v>55</v>
      </c>
      <c r="D179" t="s">
        <v>56</v>
      </c>
      <c r="E179" t="s">
        <v>26</v>
      </c>
      <c r="F179" s="5">
        <v>3</v>
      </c>
      <c r="G179" s="5">
        <v>1</v>
      </c>
      <c r="H179" s="5">
        <v>9088</v>
      </c>
      <c r="I179" s="5">
        <v>3</v>
      </c>
      <c r="J179" s="5">
        <v>9087</v>
      </c>
      <c r="K179" t="s">
        <v>18</v>
      </c>
      <c r="L179" t="s">
        <v>19</v>
      </c>
      <c r="M179" t="s">
        <v>41</v>
      </c>
      <c r="N179" t="s">
        <v>73</v>
      </c>
      <c r="O179" t="s">
        <v>35</v>
      </c>
      <c r="P179" t="s">
        <v>36</v>
      </c>
      <c r="Q179">
        <f>Table1[[#This Row],[Course_Fee_AED]]-Table1[[#This Row],[Amount_Paid_AED]]</f>
        <v>1</v>
      </c>
      <c r="R179">
        <f>Table1[[#This Row],[Course_Fee_AED]]-Table1[[#This Row],[pending Revenue]]</f>
        <v>9087</v>
      </c>
    </row>
    <row r="180" spans="1:18" x14ac:dyDescent="0.25">
      <c r="A180" t="s">
        <v>257</v>
      </c>
      <c r="B180" s="2">
        <v>45385</v>
      </c>
      <c r="C180" t="s">
        <v>100</v>
      </c>
      <c r="D180" t="s">
        <v>101</v>
      </c>
      <c r="E180" t="s">
        <v>17</v>
      </c>
      <c r="F180" s="5">
        <v>6</v>
      </c>
      <c r="G180" s="5">
        <v>1</v>
      </c>
      <c r="H180" s="5">
        <v>5871</v>
      </c>
      <c r="I180" s="5">
        <v>2</v>
      </c>
      <c r="J180" s="5">
        <v>3914</v>
      </c>
      <c r="K180" t="s">
        <v>18</v>
      </c>
      <c r="L180" t="s">
        <v>57</v>
      </c>
      <c r="M180" t="s">
        <v>41</v>
      </c>
      <c r="N180" t="s">
        <v>53</v>
      </c>
      <c r="O180" t="s">
        <v>71</v>
      </c>
      <c r="P180" t="s">
        <v>18</v>
      </c>
      <c r="Q180">
        <f>Table1[[#This Row],[Course_Fee_AED]]-Table1[[#This Row],[Amount_Paid_AED]]</f>
        <v>1957</v>
      </c>
      <c r="R180">
        <f>Table1[[#This Row],[Course_Fee_AED]]-Table1[[#This Row],[pending Revenue]]</f>
        <v>3914</v>
      </c>
    </row>
    <row r="181" spans="1:18" x14ac:dyDescent="0.25">
      <c r="A181" t="s">
        <v>258</v>
      </c>
      <c r="B181" s="2">
        <v>45312</v>
      </c>
      <c r="C181" t="s">
        <v>100</v>
      </c>
      <c r="D181" t="s">
        <v>101</v>
      </c>
      <c r="E181" t="s">
        <v>17</v>
      </c>
      <c r="F181" s="5">
        <v>6</v>
      </c>
      <c r="G181" s="5">
        <v>1</v>
      </c>
      <c r="H181" s="5">
        <v>3962</v>
      </c>
      <c r="I181" s="5">
        <v>3</v>
      </c>
      <c r="J181" s="5">
        <v>3960</v>
      </c>
      <c r="K181" t="s">
        <v>18</v>
      </c>
      <c r="L181" t="s">
        <v>57</v>
      </c>
      <c r="M181" t="s">
        <v>41</v>
      </c>
      <c r="N181" t="s">
        <v>70</v>
      </c>
      <c r="O181" t="s">
        <v>71</v>
      </c>
      <c r="P181" t="s">
        <v>36</v>
      </c>
      <c r="Q181">
        <f>Table1[[#This Row],[Course_Fee_AED]]-Table1[[#This Row],[Amount_Paid_AED]]</f>
        <v>2</v>
      </c>
      <c r="R181">
        <f>Table1[[#This Row],[Course_Fee_AED]]-Table1[[#This Row],[pending Revenue]]</f>
        <v>3960</v>
      </c>
    </row>
    <row r="182" spans="1:18" x14ac:dyDescent="0.25">
      <c r="A182" t="s">
        <v>259</v>
      </c>
      <c r="B182" s="2">
        <v>45446</v>
      </c>
      <c r="C182" t="s">
        <v>106</v>
      </c>
      <c r="D182" t="s">
        <v>107</v>
      </c>
      <c r="E182" t="s">
        <v>17</v>
      </c>
      <c r="F182" s="5">
        <v>6</v>
      </c>
      <c r="G182" s="5">
        <v>1</v>
      </c>
      <c r="H182" s="5">
        <v>7893</v>
      </c>
      <c r="I182" s="5">
        <v>2</v>
      </c>
      <c r="J182" s="5">
        <v>5262</v>
      </c>
      <c r="K182" t="s">
        <v>18</v>
      </c>
      <c r="L182" t="s">
        <v>57</v>
      </c>
      <c r="M182" t="s">
        <v>27</v>
      </c>
      <c r="N182" t="s">
        <v>95</v>
      </c>
      <c r="O182" t="s">
        <v>49</v>
      </c>
      <c r="P182" t="s">
        <v>36</v>
      </c>
      <c r="Q182">
        <f>Table1[[#This Row],[Course_Fee_AED]]-Table1[[#This Row],[Amount_Paid_AED]]</f>
        <v>2631</v>
      </c>
      <c r="R182">
        <f>Table1[[#This Row],[Course_Fee_AED]]-Table1[[#This Row],[pending Revenue]]</f>
        <v>5262</v>
      </c>
    </row>
    <row r="183" spans="1:18" x14ac:dyDescent="0.25">
      <c r="A183" t="s">
        <v>260</v>
      </c>
      <c r="B183" s="2">
        <v>45607</v>
      </c>
      <c r="C183" t="s">
        <v>82</v>
      </c>
      <c r="D183" t="s">
        <v>83</v>
      </c>
      <c r="E183" t="s">
        <v>26</v>
      </c>
      <c r="F183" s="5">
        <v>3</v>
      </c>
      <c r="G183" s="5">
        <v>1</v>
      </c>
      <c r="H183" s="5">
        <v>14688</v>
      </c>
      <c r="I183" s="5">
        <v>1</v>
      </c>
      <c r="J183" s="5">
        <v>4896</v>
      </c>
      <c r="K183" t="s">
        <v>18</v>
      </c>
      <c r="L183" t="s">
        <v>57</v>
      </c>
      <c r="M183" t="s">
        <v>47</v>
      </c>
      <c r="N183" t="s">
        <v>70</v>
      </c>
      <c r="O183" t="s">
        <v>71</v>
      </c>
      <c r="P183" t="s">
        <v>36</v>
      </c>
      <c r="Q183">
        <f>Table1[[#This Row],[Course_Fee_AED]]-Table1[[#This Row],[Amount_Paid_AED]]</f>
        <v>9792</v>
      </c>
      <c r="R183">
        <f>Table1[[#This Row],[Course_Fee_AED]]-Table1[[#This Row],[pending Revenue]]</f>
        <v>4896</v>
      </c>
    </row>
    <row r="184" spans="1:18" x14ac:dyDescent="0.25">
      <c r="A184" t="s">
        <v>261</v>
      </c>
      <c r="B184" s="2">
        <v>45391</v>
      </c>
      <c r="C184" t="s">
        <v>38</v>
      </c>
      <c r="D184" t="s">
        <v>39</v>
      </c>
      <c r="E184" t="s">
        <v>17</v>
      </c>
      <c r="F184" s="5">
        <v>6</v>
      </c>
      <c r="G184" s="5">
        <v>1</v>
      </c>
      <c r="H184" s="5">
        <v>6471</v>
      </c>
      <c r="I184" s="5">
        <v>1</v>
      </c>
      <c r="J184" s="5">
        <v>2157</v>
      </c>
      <c r="K184" t="s">
        <v>18</v>
      </c>
      <c r="L184" t="s">
        <v>40</v>
      </c>
      <c r="M184" t="s">
        <v>20</v>
      </c>
      <c r="N184" t="s">
        <v>73</v>
      </c>
      <c r="O184" t="s">
        <v>22</v>
      </c>
      <c r="P184" t="s">
        <v>36</v>
      </c>
      <c r="Q184">
        <f>Table1[[#This Row],[Course_Fee_AED]]-Table1[[#This Row],[Amount_Paid_AED]]</f>
        <v>4314</v>
      </c>
      <c r="R184">
        <f>Table1[[#This Row],[Course_Fee_AED]]-Table1[[#This Row],[pending Revenue]]</f>
        <v>2157</v>
      </c>
    </row>
    <row r="185" spans="1:18" x14ac:dyDescent="0.25">
      <c r="A185" t="s">
        <v>262</v>
      </c>
      <c r="B185" s="2">
        <v>45597</v>
      </c>
      <c r="C185" t="s">
        <v>106</v>
      </c>
      <c r="D185" t="s">
        <v>107</v>
      </c>
      <c r="E185" t="s">
        <v>26</v>
      </c>
      <c r="F185" s="5">
        <v>3</v>
      </c>
      <c r="G185" s="5">
        <v>1</v>
      </c>
      <c r="H185" s="5">
        <v>5772</v>
      </c>
      <c r="I185" s="5">
        <v>3</v>
      </c>
      <c r="J185" s="5">
        <v>5772</v>
      </c>
      <c r="K185" t="s">
        <v>33</v>
      </c>
      <c r="L185" t="s">
        <v>19</v>
      </c>
      <c r="M185" t="s">
        <v>60</v>
      </c>
      <c r="N185" t="s">
        <v>28</v>
      </c>
      <c r="O185" t="s">
        <v>68</v>
      </c>
      <c r="P185" t="s">
        <v>36</v>
      </c>
      <c r="Q185">
        <f>Table1[[#This Row],[Course_Fee_AED]]-Table1[[#This Row],[Amount_Paid_AED]]</f>
        <v>0</v>
      </c>
      <c r="R185">
        <f>Table1[[#This Row],[Course_Fee_AED]]-Table1[[#This Row],[pending Revenue]]</f>
        <v>5772</v>
      </c>
    </row>
    <row r="186" spans="1:18" x14ac:dyDescent="0.25">
      <c r="A186" t="s">
        <v>263</v>
      </c>
      <c r="B186" s="2">
        <v>45313</v>
      </c>
      <c r="C186" t="s">
        <v>92</v>
      </c>
      <c r="D186" t="s">
        <v>93</v>
      </c>
      <c r="E186" t="s">
        <v>17</v>
      </c>
      <c r="F186" s="5">
        <v>6</v>
      </c>
      <c r="G186" s="5">
        <v>1</v>
      </c>
      <c r="H186" s="5">
        <v>6143</v>
      </c>
      <c r="I186" s="5">
        <v>2</v>
      </c>
      <c r="J186" s="5">
        <v>4094</v>
      </c>
      <c r="K186" t="s">
        <v>18</v>
      </c>
      <c r="L186" t="s">
        <v>19</v>
      </c>
      <c r="M186" t="s">
        <v>27</v>
      </c>
      <c r="N186" t="s">
        <v>34</v>
      </c>
      <c r="O186" t="s">
        <v>29</v>
      </c>
      <c r="P186" t="s">
        <v>36</v>
      </c>
      <c r="Q186">
        <f>Table1[[#This Row],[Course_Fee_AED]]-Table1[[#This Row],[Amount_Paid_AED]]</f>
        <v>2049</v>
      </c>
      <c r="R186">
        <f>Table1[[#This Row],[Course_Fee_AED]]-Table1[[#This Row],[pending Revenue]]</f>
        <v>4094</v>
      </c>
    </row>
    <row r="187" spans="1:18" x14ac:dyDescent="0.25">
      <c r="A187" t="s">
        <v>264</v>
      </c>
      <c r="B187" s="2">
        <v>45557</v>
      </c>
      <c r="C187" t="s">
        <v>38</v>
      </c>
      <c r="D187" t="s">
        <v>39</v>
      </c>
      <c r="E187" t="s">
        <v>17</v>
      </c>
      <c r="F187" s="5">
        <v>6</v>
      </c>
      <c r="G187" s="5">
        <v>1</v>
      </c>
      <c r="H187" s="5">
        <v>5491</v>
      </c>
      <c r="I187" s="5">
        <v>2</v>
      </c>
      <c r="J187" s="5">
        <v>3660</v>
      </c>
      <c r="K187" t="s">
        <v>18</v>
      </c>
      <c r="L187" t="s">
        <v>19</v>
      </c>
      <c r="M187" t="s">
        <v>27</v>
      </c>
      <c r="N187" t="s">
        <v>21</v>
      </c>
      <c r="O187" t="s">
        <v>29</v>
      </c>
      <c r="P187" t="s">
        <v>18</v>
      </c>
      <c r="Q187">
        <f>Table1[[#This Row],[Course_Fee_AED]]-Table1[[#This Row],[Amount_Paid_AED]]</f>
        <v>1831</v>
      </c>
      <c r="R187">
        <f>Table1[[#This Row],[Course_Fee_AED]]-Table1[[#This Row],[pending Revenue]]</f>
        <v>3660</v>
      </c>
    </row>
    <row r="188" spans="1:18" x14ac:dyDescent="0.25">
      <c r="A188" t="s">
        <v>265</v>
      </c>
      <c r="B188" s="2">
        <v>45356</v>
      </c>
      <c r="C188" t="s">
        <v>113</v>
      </c>
      <c r="D188" t="s">
        <v>93</v>
      </c>
      <c r="E188" t="s">
        <v>17</v>
      </c>
      <c r="F188" s="5">
        <v>6</v>
      </c>
      <c r="G188" s="5">
        <v>1</v>
      </c>
      <c r="H188" s="5">
        <v>4092</v>
      </c>
      <c r="I188" s="5">
        <v>2</v>
      </c>
      <c r="J188" s="5">
        <v>2728</v>
      </c>
      <c r="K188" t="s">
        <v>18</v>
      </c>
      <c r="L188" t="s">
        <v>19</v>
      </c>
      <c r="M188" t="s">
        <v>63</v>
      </c>
      <c r="N188" t="s">
        <v>42</v>
      </c>
      <c r="O188" t="s">
        <v>58</v>
      </c>
      <c r="P188" t="s">
        <v>18</v>
      </c>
      <c r="Q188">
        <f>Table1[[#This Row],[Course_Fee_AED]]-Table1[[#This Row],[Amount_Paid_AED]]</f>
        <v>1364</v>
      </c>
      <c r="R188">
        <f>Table1[[#This Row],[Course_Fee_AED]]-Table1[[#This Row],[pending Revenue]]</f>
        <v>2728</v>
      </c>
    </row>
    <row r="189" spans="1:18" x14ac:dyDescent="0.25">
      <c r="A189" t="s">
        <v>266</v>
      </c>
      <c r="B189" s="2">
        <v>45633</v>
      </c>
      <c r="C189" t="s">
        <v>38</v>
      </c>
      <c r="D189" t="s">
        <v>39</v>
      </c>
      <c r="E189" t="s">
        <v>17</v>
      </c>
      <c r="F189" s="5">
        <v>6</v>
      </c>
      <c r="G189" s="5">
        <v>1</v>
      </c>
      <c r="H189" s="5">
        <v>5313</v>
      </c>
      <c r="I189" s="5">
        <v>3</v>
      </c>
      <c r="J189" s="5">
        <v>5313</v>
      </c>
      <c r="K189" t="s">
        <v>33</v>
      </c>
      <c r="L189" t="s">
        <v>57</v>
      </c>
      <c r="M189" t="s">
        <v>60</v>
      </c>
      <c r="N189" t="s">
        <v>86</v>
      </c>
      <c r="O189" t="s">
        <v>49</v>
      </c>
      <c r="P189" t="s">
        <v>18</v>
      </c>
      <c r="Q189">
        <f>Table1[[#This Row],[Course_Fee_AED]]-Table1[[#This Row],[Amount_Paid_AED]]</f>
        <v>0</v>
      </c>
      <c r="R189">
        <f>Table1[[#This Row],[Course_Fee_AED]]-Table1[[#This Row],[pending Revenue]]</f>
        <v>5313</v>
      </c>
    </row>
    <row r="190" spans="1:18" x14ac:dyDescent="0.25">
      <c r="A190" t="s">
        <v>267</v>
      </c>
      <c r="B190" s="2">
        <v>45647</v>
      </c>
      <c r="C190" t="s">
        <v>75</v>
      </c>
      <c r="D190" t="s">
        <v>76</v>
      </c>
      <c r="E190" t="s">
        <v>26</v>
      </c>
      <c r="F190" s="5">
        <v>3</v>
      </c>
      <c r="G190" s="5">
        <v>1</v>
      </c>
      <c r="H190" s="5">
        <v>11806</v>
      </c>
      <c r="I190" s="5">
        <v>2</v>
      </c>
      <c r="J190" s="5">
        <v>7870</v>
      </c>
      <c r="K190" t="s">
        <v>18</v>
      </c>
      <c r="L190" t="s">
        <v>40</v>
      </c>
      <c r="M190" t="s">
        <v>47</v>
      </c>
      <c r="N190" t="s">
        <v>154</v>
      </c>
      <c r="O190" t="s">
        <v>49</v>
      </c>
      <c r="P190" t="s">
        <v>18</v>
      </c>
      <c r="Q190">
        <f>Table1[[#This Row],[Course_Fee_AED]]-Table1[[#This Row],[Amount_Paid_AED]]</f>
        <v>3936</v>
      </c>
      <c r="R190">
        <f>Table1[[#This Row],[Course_Fee_AED]]-Table1[[#This Row],[pending Revenue]]</f>
        <v>7870</v>
      </c>
    </row>
    <row r="191" spans="1:18" x14ac:dyDescent="0.25">
      <c r="A191" t="s">
        <v>268</v>
      </c>
      <c r="B191" s="2">
        <v>45318</v>
      </c>
      <c r="C191" t="s">
        <v>15</v>
      </c>
      <c r="D191" t="s">
        <v>16</v>
      </c>
      <c r="E191" t="s">
        <v>26</v>
      </c>
      <c r="F191" s="5">
        <v>3</v>
      </c>
      <c r="G191" s="5">
        <v>1</v>
      </c>
      <c r="H191" s="5">
        <v>5503</v>
      </c>
      <c r="I191" s="5">
        <v>3</v>
      </c>
      <c r="J191" s="5">
        <v>5502</v>
      </c>
      <c r="K191" t="s">
        <v>18</v>
      </c>
      <c r="L191" t="s">
        <v>19</v>
      </c>
      <c r="M191" t="s">
        <v>20</v>
      </c>
      <c r="N191" t="s">
        <v>34</v>
      </c>
      <c r="O191" t="s">
        <v>22</v>
      </c>
      <c r="P191" t="s">
        <v>36</v>
      </c>
      <c r="Q191">
        <f>Table1[[#This Row],[Course_Fee_AED]]-Table1[[#This Row],[Amount_Paid_AED]]</f>
        <v>1</v>
      </c>
      <c r="R191">
        <f>Table1[[#This Row],[Course_Fee_AED]]-Table1[[#This Row],[pending Revenue]]</f>
        <v>5502</v>
      </c>
    </row>
    <row r="192" spans="1:18" x14ac:dyDescent="0.25">
      <c r="A192" t="s">
        <v>269</v>
      </c>
      <c r="B192" s="2">
        <v>45330</v>
      </c>
      <c r="C192" t="s">
        <v>82</v>
      </c>
      <c r="D192" t="s">
        <v>83</v>
      </c>
      <c r="E192" t="s">
        <v>26</v>
      </c>
      <c r="F192" s="5">
        <v>3</v>
      </c>
      <c r="G192" s="5">
        <v>1</v>
      </c>
      <c r="H192" s="5">
        <v>14684</v>
      </c>
      <c r="I192" s="5">
        <v>3</v>
      </c>
      <c r="J192" s="5">
        <v>14682</v>
      </c>
      <c r="K192" t="s">
        <v>18</v>
      </c>
      <c r="L192" t="s">
        <v>57</v>
      </c>
      <c r="M192" t="s">
        <v>27</v>
      </c>
      <c r="N192" t="s">
        <v>90</v>
      </c>
      <c r="O192" t="s">
        <v>49</v>
      </c>
      <c r="P192" t="s">
        <v>36</v>
      </c>
      <c r="Q192">
        <f>Table1[[#This Row],[Course_Fee_AED]]-Table1[[#This Row],[Amount_Paid_AED]]</f>
        <v>2</v>
      </c>
      <c r="R192">
        <f>Table1[[#This Row],[Course_Fee_AED]]-Table1[[#This Row],[pending Revenue]]</f>
        <v>14682</v>
      </c>
    </row>
    <row r="193" spans="1:18" x14ac:dyDescent="0.25">
      <c r="A193" t="s">
        <v>270</v>
      </c>
      <c r="B193" s="2">
        <v>45338</v>
      </c>
      <c r="C193" t="s">
        <v>66</v>
      </c>
      <c r="D193" t="s">
        <v>56</v>
      </c>
      <c r="E193" t="s">
        <v>17</v>
      </c>
      <c r="F193" s="5">
        <v>6</v>
      </c>
      <c r="G193" s="5">
        <v>1</v>
      </c>
      <c r="H193" s="5">
        <v>7264</v>
      </c>
      <c r="I193" s="5">
        <v>1</v>
      </c>
      <c r="J193" s="5">
        <v>2421</v>
      </c>
      <c r="K193" t="s">
        <v>18</v>
      </c>
      <c r="L193" t="s">
        <v>40</v>
      </c>
      <c r="M193" t="s">
        <v>60</v>
      </c>
      <c r="N193" t="s">
        <v>95</v>
      </c>
      <c r="O193" t="s">
        <v>64</v>
      </c>
      <c r="P193" t="s">
        <v>36</v>
      </c>
      <c r="Q193">
        <f>Table1[[#This Row],[Course_Fee_AED]]-Table1[[#This Row],[Amount_Paid_AED]]</f>
        <v>4843</v>
      </c>
      <c r="R193">
        <f>Table1[[#This Row],[Course_Fee_AED]]-Table1[[#This Row],[pending Revenue]]</f>
        <v>2421</v>
      </c>
    </row>
    <row r="194" spans="1:18" x14ac:dyDescent="0.25">
      <c r="A194" t="s">
        <v>271</v>
      </c>
      <c r="B194" s="2">
        <v>45570</v>
      </c>
      <c r="C194" t="s">
        <v>45</v>
      </c>
      <c r="D194" t="s">
        <v>46</v>
      </c>
      <c r="E194" t="s">
        <v>17</v>
      </c>
      <c r="F194" s="5">
        <v>6</v>
      </c>
      <c r="G194" s="5">
        <v>1</v>
      </c>
      <c r="H194" s="5">
        <v>4108</v>
      </c>
      <c r="I194" s="5">
        <v>2</v>
      </c>
      <c r="J194" s="5">
        <v>2738</v>
      </c>
      <c r="K194" t="s">
        <v>18</v>
      </c>
      <c r="L194" t="s">
        <v>57</v>
      </c>
      <c r="M194" t="s">
        <v>63</v>
      </c>
      <c r="N194" t="s">
        <v>53</v>
      </c>
      <c r="O194" t="s">
        <v>22</v>
      </c>
      <c r="P194" t="s">
        <v>36</v>
      </c>
      <c r="Q194">
        <f>Table1[[#This Row],[Course_Fee_AED]]-Table1[[#This Row],[Amount_Paid_AED]]</f>
        <v>1370</v>
      </c>
      <c r="R194">
        <f>Table1[[#This Row],[Course_Fee_AED]]-Table1[[#This Row],[pending Revenue]]</f>
        <v>2738</v>
      </c>
    </row>
    <row r="195" spans="1:18" x14ac:dyDescent="0.25">
      <c r="A195" t="s">
        <v>272</v>
      </c>
      <c r="B195" s="2">
        <v>45601</v>
      </c>
      <c r="C195" t="s">
        <v>82</v>
      </c>
      <c r="D195" t="s">
        <v>83</v>
      </c>
      <c r="E195" t="s">
        <v>26</v>
      </c>
      <c r="F195" s="5">
        <v>3</v>
      </c>
      <c r="G195" s="5">
        <v>1</v>
      </c>
      <c r="H195" s="5">
        <v>10920</v>
      </c>
      <c r="I195" s="5">
        <v>1</v>
      </c>
      <c r="J195" s="5">
        <v>3640</v>
      </c>
      <c r="K195" t="s">
        <v>18</v>
      </c>
      <c r="L195" t="s">
        <v>19</v>
      </c>
      <c r="M195" t="s">
        <v>60</v>
      </c>
      <c r="N195" t="s">
        <v>42</v>
      </c>
      <c r="O195" t="s">
        <v>35</v>
      </c>
      <c r="P195" t="s">
        <v>36</v>
      </c>
      <c r="Q195">
        <f>Table1[[#This Row],[Course_Fee_AED]]-Table1[[#This Row],[Amount_Paid_AED]]</f>
        <v>7280</v>
      </c>
      <c r="R195">
        <f>Table1[[#This Row],[Course_Fee_AED]]-Table1[[#This Row],[pending Revenue]]</f>
        <v>3640</v>
      </c>
    </row>
    <row r="196" spans="1:18" x14ac:dyDescent="0.25">
      <c r="A196" t="s">
        <v>273</v>
      </c>
      <c r="B196" s="2">
        <v>45344</v>
      </c>
      <c r="C196" t="s">
        <v>31</v>
      </c>
      <c r="D196" t="s">
        <v>32</v>
      </c>
      <c r="E196" t="s">
        <v>17</v>
      </c>
      <c r="F196" s="5">
        <v>6</v>
      </c>
      <c r="G196" s="5">
        <v>1</v>
      </c>
      <c r="H196" s="5">
        <v>6683</v>
      </c>
      <c r="I196" s="5">
        <v>1</v>
      </c>
      <c r="J196" s="5">
        <v>2227</v>
      </c>
      <c r="K196" t="s">
        <v>18</v>
      </c>
      <c r="L196" t="s">
        <v>57</v>
      </c>
      <c r="M196" t="s">
        <v>47</v>
      </c>
      <c r="N196" t="s">
        <v>42</v>
      </c>
      <c r="O196" t="s">
        <v>35</v>
      </c>
      <c r="P196" t="s">
        <v>18</v>
      </c>
      <c r="Q196">
        <f>Table1[[#This Row],[Course_Fee_AED]]-Table1[[#This Row],[Amount_Paid_AED]]</f>
        <v>4456</v>
      </c>
      <c r="R196">
        <f>Table1[[#This Row],[Course_Fee_AED]]-Table1[[#This Row],[pending Revenue]]</f>
        <v>2227</v>
      </c>
    </row>
    <row r="197" spans="1:18" x14ac:dyDescent="0.25">
      <c r="A197" t="s">
        <v>274</v>
      </c>
      <c r="B197" s="2">
        <v>45484</v>
      </c>
      <c r="C197" t="s">
        <v>66</v>
      </c>
      <c r="D197" t="s">
        <v>56</v>
      </c>
      <c r="E197" t="s">
        <v>26</v>
      </c>
      <c r="F197" s="5">
        <v>3</v>
      </c>
      <c r="G197" s="5">
        <v>1</v>
      </c>
      <c r="H197" s="5">
        <v>9436</v>
      </c>
      <c r="I197" s="5">
        <v>2</v>
      </c>
      <c r="J197" s="5">
        <v>6290</v>
      </c>
      <c r="K197" t="s">
        <v>18</v>
      </c>
      <c r="L197" t="s">
        <v>40</v>
      </c>
      <c r="M197" t="s">
        <v>20</v>
      </c>
      <c r="N197" t="s">
        <v>70</v>
      </c>
      <c r="O197" t="s">
        <v>43</v>
      </c>
      <c r="P197" t="s">
        <v>18</v>
      </c>
      <c r="Q197">
        <f>Table1[[#This Row],[Course_Fee_AED]]-Table1[[#This Row],[Amount_Paid_AED]]</f>
        <v>3146</v>
      </c>
      <c r="R197">
        <f>Table1[[#This Row],[Course_Fee_AED]]-Table1[[#This Row],[pending Revenue]]</f>
        <v>6290</v>
      </c>
    </row>
    <row r="198" spans="1:18" x14ac:dyDescent="0.25">
      <c r="A198" t="s">
        <v>275</v>
      </c>
      <c r="B198" s="2">
        <v>45297</v>
      </c>
      <c r="C198" t="s">
        <v>15</v>
      </c>
      <c r="D198" t="s">
        <v>16</v>
      </c>
      <c r="E198" t="s">
        <v>26</v>
      </c>
      <c r="F198" s="5">
        <v>3</v>
      </c>
      <c r="G198" s="5">
        <v>1</v>
      </c>
      <c r="H198" s="5">
        <v>6333</v>
      </c>
      <c r="I198" s="5">
        <v>3</v>
      </c>
      <c r="J198" s="5">
        <v>6333</v>
      </c>
      <c r="K198" t="s">
        <v>33</v>
      </c>
      <c r="L198" t="s">
        <v>19</v>
      </c>
      <c r="M198" t="s">
        <v>63</v>
      </c>
      <c r="N198" t="s">
        <v>79</v>
      </c>
      <c r="O198" t="s">
        <v>64</v>
      </c>
      <c r="P198" t="s">
        <v>36</v>
      </c>
      <c r="Q198">
        <f>Table1[[#This Row],[Course_Fee_AED]]-Table1[[#This Row],[Amount_Paid_AED]]</f>
        <v>0</v>
      </c>
      <c r="R198">
        <f>Table1[[#This Row],[Course_Fee_AED]]-Table1[[#This Row],[pending Revenue]]</f>
        <v>6333</v>
      </c>
    </row>
    <row r="199" spans="1:18" x14ac:dyDescent="0.25">
      <c r="A199" t="s">
        <v>276</v>
      </c>
      <c r="B199" s="2">
        <v>45603</v>
      </c>
      <c r="C199" t="s">
        <v>92</v>
      </c>
      <c r="D199" t="s">
        <v>93</v>
      </c>
      <c r="E199" t="s">
        <v>17</v>
      </c>
      <c r="F199" s="5">
        <v>6</v>
      </c>
      <c r="G199" s="5">
        <v>1</v>
      </c>
      <c r="H199" s="5">
        <v>5958</v>
      </c>
      <c r="I199" s="5">
        <v>3</v>
      </c>
      <c r="J199" s="5">
        <v>5958</v>
      </c>
      <c r="K199" t="s">
        <v>33</v>
      </c>
      <c r="L199" t="s">
        <v>40</v>
      </c>
      <c r="M199" t="s">
        <v>47</v>
      </c>
      <c r="N199" t="s">
        <v>70</v>
      </c>
      <c r="O199" t="s">
        <v>49</v>
      </c>
      <c r="P199" t="s">
        <v>36</v>
      </c>
      <c r="Q199">
        <f>Table1[[#This Row],[Course_Fee_AED]]-Table1[[#This Row],[Amount_Paid_AED]]</f>
        <v>0</v>
      </c>
      <c r="R199">
        <f>Table1[[#This Row],[Course_Fee_AED]]-Table1[[#This Row],[pending Revenue]]</f>
        <v>5958</v>
      </c>
    </row>
    <row r="200" spans="1:18" x14ac:dyDescent="0.25">
      <c r="A200" t="s">
        <v>277</v>
      </c>
      <c r="B200" s="2">
        <v>45445</v>
      </c>
      <c r="C200" t="s">
        <v>24</v>
      </c>
      <c r="D200" t="s">
        <v>25</v>
      </c>
      <c r="E200" t="s">
        <v>26</v>
      </c>
      <c r="F200" s="5">
        <v>3</v>
      </c>
      <c r="G200" s="5">
        <v>1</v>
      </c>
      <c r="H200" s="5">
        <v>4550</v>
      </c>
      <c r="I200" s="5">
        <v>3</v>
      </c>
      <c r="J200" s="5">
        <v>4548</v>
      </c>
      <c r="K200" t="s">
        <v>18</v>
      </c>
      <c r="L200" t="s">
        <v>19</v>
      </c>
      <c r="M200" t="s">
        <v>63</v>
      </c>
      <c r="N200" t="s">
        <v>154</v>
      </c>
      <c r="O200" t="s">
        <v>58</v>
      </c>
      <c r="P200" t="s">
        <v>18</v>
      </c>
      <c r="Q200">
        <f>Table1[[#This Row],[Course_Fee_AED]]-Table1[[#This Row],[Amount_Paid_AED]]</f>
        <v>2</v>
      </c>
      <c r="R200">
        <f>Table1[[#This Row],[Course_Fee_AED]]-Table1[[#This Row],[pending Revenue]]</f>
        <v>4548</v>
      </c>
    </row>
    <row r="201" spans="1:18" x14ac:dyDescent="0.25">
      <c r="A201" t="s">
        <v>278</v>
      </c>
      <c r="B201" s="2">
        <v>45449</v>
      </c>
      <c r="C201" t="s">
        <v>113</v>
      </c>
      <c r="D201" t="s">
        <v>93</v>
      </c>
      <c r="E201" t="s">
        <v>26</v>
      </c>
      <c r="F201" s="5">
        <v>3</v>
      </c>
      <c r="G201" s="5">
        <v>1</v>
      </c>
      <c r="H201" s="5">
        <v>4839</v>
      </c>
      <c r="I201" s="5">
        <v>1</v>
      </c>
      <c r="J201" s="5">
        <v>1613</v>
      </c>
      <c r="K201" t="s">
        <v>18</v>
      </c>
      <c r="L201" t="s">
        <v>19</v>
      </c>
      <c r="M201" t="s">
        <v>41</v>
      </c>
      <c r="N201" t="s">
        <v>90</v>
      </c>
      <c r="O201" t="s">
        <v>43</v>
      </c>
      <c r="P201" t="s">
        <v>36</v>
      </c>
      <c r="Q201">
        <f>Table1[[#This Row],[Course_Fee_AED]]-Table1[[#This Row],[Amount_Paid_AED]]</f>
        <v>3226</v>
      </c>
      <c r="R201">
        <f>Table1[[#This Row],[Course_Fee_AED]]-Table1[[#This Row],[pending Revenue]]</f>
        <v>1613</v>
      </c>
    </row>
    <row r="202" spans="1:18" x14ac:dyDescent="0.25">
      <c r="A202" t="s">
        <v>279</v>
      </c>
      <c r="B202" s="2">
        <v>45641</v>
      </c>
      <c r="C202" t="s">
        <v>55</v>
      </c>
      <c r="D202" t="s">
        <v>56</v>
      </c>
      <c r="E202" t="s">
        <v>26</v>
      </c>
      <c r="F202" s="5">
        <v>3</v>
      </c>
      <c r="G202" s="5">
        <v>1</v>
      </c>
      <c r="H202" s="5">
        <v>10066</v>
      </c>
      <c r="I202" s="5">
        <v>1</v>
      </c>
      <c r="J202" s="5">
        <v>3355</v>
      </c>
      <c r="K202" t="s">
        <v>18</v>
      </c>
      <c r="L202" t="s">
        <v>19</v>
      </c>
      <c r="M202" t="s">
        <v>47</v>
      </c>
      <c r="N202" t="s">
        <v>42</v>
      </c>
      <c r="O202" t="s">
        <v>71</v>
      </c>
      <c r="P202" t="s">
        <v>18</v>
      </c>
      <c r="Q202">
        <f>Table1[[#This Row],[Course_Fee_AED]]-Table1[[#This Row],[Amount_Paid_AED]]</f>
        <v>6711</v>
      </c>
      <c r="R202">
        <f>Table1[[#This Row],[Course_Fee_AED]]-Table1[[#This Row],[pending Revenue]]</f>
        <v>3355</v>
      </c>
    </row>
    <row r="203" spans="1:18" x14ac:dyDescent="0.25">
      <c r="A203" t="s">
        <v>280</v>
      </c>
      <c r="B203" s="2">
        <v>45638</v>
      </c>
      <c r="C203" t="s">
        <v>38</v>
      </c>
      <c r="D203" t="s">
        <v>39</v>
      </c>
      <c r="E203" t="s">
        <v>17</v>
      </c>
      <c r="F203" s="5">
        <v>6</v>
      </c>
      <c r="G203" s="5">
        <v>1</v>
      </c>
      <c r="H203" s="5">
        <v>6543</v>
      </c>
      <c r="I203" s="5">
        <v>1</v>
      </c>
      <c r="J203" s="5">
        <v>2181</v>
      </c>
      <c r="K203" t="s">
        <v>18</v>
      </c>
      <c r="L203" t="s">
        <v>40</v>
      </c>
      <c r="M203" t="s">
        <v>41</v>
      </c>
      <c r="N203" t="s">
        <v>61</v>
      </c>
      <c r="O203" t="s">
        <v>68</v>
      </c>
      <c r="P203" t="s">
        <v>18</v>
      </c>
      <c r="Q203">
        <f>Table1[[#This Row],[Course_Fee_AED]]-Table1[[#This Row],[Amount_Paid_AED]]</f>
        <v>4362</v>
      </c>
      <c r="R203">
        <f>Table1[[#This Row],[Course_Fee_AED]]-Table1[[#This Row],[pending Revenue]]</f>
        <v>2181</v>
      </c>
    </row>
    <row r="204" spans="1:18" x14ac:dyDescent="0.25">
      <c r="A204" t="s">
        <v>281</v>
      </c>
      <c r="B204" s="2">
        <v>45546</v>
      </c>
      <c r="C204" t="s">
        <v>92</v>
      </c>
      <c r="D204" t="s">
        <v>93</v>
      </c>
      <c r="E204" t="s">
        <v>26</v>
      </c>
      <c r="F204" s="5">
        <v>3</v>
      </c>
      <c r="G204" s="5">
        <v>1</v>
      </c>
      <c r="H204" s="5">
        <v>5961</v>
      </c>
      <c r="I204" s="5">
        <v>2</v>
      </c>
      <c r="J204" s="5">
        <v>3974</v>
      </c>
      <c r="K204" t="s">
        <v>18</v>
      </c>
      <c r="L204" t="s">
        <v>40</v>
      </c>
      <c r="M204" t="s">
        <v>20</v>
      </c>
      <c r="N204" t="s">
        <v>116</v>
      </c>
      <c r="O204" t="s">
        <v>71</v>
      </c>
      <c r="P204" t="s">
        <v>36</v>
      </c>
      <c r="Q204">
        <f>Table1[[#This Row],[Course_Fee_AED]]-Table1[[#This Row],[Amount_Paid_AED]]</f>
        <v>1987</v>
      </c>
      <c r="R204">
        <f>Table1[[#This Row],[Course_Fee_AED]]-Table1[[#This Row],[pending Revenue]]</f>
        <v>3974</v>
      </c>
    </row>
    <row r="205" spans="1:18" x14ac:dyDescent="0.25">
      <c r="A205" t="s">
        <v>282</v>
      </c>
      <c r="B205" s="2">
        <v>45640</v>
      </c>
      <c r="C205" t="s">
        <v>38</v>
      </c>
      <c r="D205" t="s">
        <v>39</v>
      </c>
      <c r="E205" t="s">
        <v>17</v>
      </c>
      <c r="F205" s="5">
        <v>6</v>
      </c>
      <c r="G205" s="5">
        <v>1</v>
      </c>
      <c r="H205" s="5">
        <v>5428</v>
      </c>
      <c r="I205" s="5">
        <v>3</v>
      </c>
      <c r="J205" s="5">
        <v>5427</v>
      </c>
      <c r="K205" t="s">
        <v>18</v>
      </c>
      <c r="L205" t="s">
        <v>40</v>
      </c>
      <c r="M205" t="s">
        <v>63</v>
      </c>
      <c r="N205" t="s">
        <v>90</v>
      </c>
      <c r="O205" t="s">
        <v>49</v>
      </c>
      <c r="P205" t="s">
        <v>18</v>
      </c>
      <c r="Q205">
        <f>Table1[[#This Row],[Course_Fee_AED]]-Table1[[#This Row],[Amount_Paid_AED]]</f>
        <v>1</v>
      </c>
      <c r="R205">
        <f>Table1[[#This Row],[Course_Fee_AED]]-Table1[[#This Row],[pending Revenue]]</f>
        <v>5427</v>
      </c>
    </row>
    <row r="206" spans="1:18" x14ac:dyDescent="0.25">
      <c r="A206" t="s">
        <v>283</v>
      </c>
      <c r="B206" s="2">
        <v>45435</v>
      </c>
      <c r="C206" t="s">
        <v>24</v>
      </c>
      <c r="D206" t="s">
        <v>25</v>
      </c>
      <c r="E206" t="s">
        <v>17</v>
      </c>
      <c r="F206" s="5">
        <v>6</v>
      </c>
      <c r="G206" s="5">
        <v>1</v>
      </c>
      <c r="H206" s="5">
        <v>4591</v>
      </c>
      <c r="I206" s="5">
        <v>3</v>
      </c>
      <c r="J206" s="5">
        <v>4590</v>
      </c>
      <c r="K206" t="s">
        <v>18</v>
      </c>
      <c r="L206" t="s">
        <v>57</v>
      </c>
      <c r="M206" t="s">
        <v>20</v>
      </c>
      <c r="N206" t="s">
        <v>48</v>
      </c>
      <c r="O206" t="s">
        <v>58</v>
      </c>
      <c r="P206" t="s">
        <v>36</v>
      </c>
      <c r="Q206">
        <f>Table1[[#This Row],[Course_Fee_AED]]-Table1[[#This Row],[Amount_Paid_AED]]</f>
        <v>1</v>
      </c>
      <c r="R206">
        <f>Table1[[#This Row],[Course_Fee_AED]]-Table1[[#This Row],[pending Revenue]]</f>
        <v>4590</v>
      </c>
    </row>
    <row r="207" spans="1:18" x14ac:dyDescent="0.25">
      <c r="A207" t="s">
        <v>284</v>
      </c>
      <c r="B207" s="2">
        <v>45404</v>
      </c>
      <c r="C207" t="s">
        <v>55</v>
      </c>
      <c r="D207" t="s">
        <v>56</v>
      </c>
      <c r="E207" t="s">
        <v>26</v>
      </c>
      <c r="F207" s="5">
        <v>3</v>
      </c>
      <c r="G207" s="5">
        <v>1</v>
      </c>
      <c r="H207" s="5">
        <v>9207</v>
      </c>
      <c r="I207" s="5">
        <v>3</v>
      </c>
      <c r="J207" s="5">
        <v>9207</v>
      </c>
      <c r="K207" t="s">
        <v>33</v>
      </c>
      <c r="L207" t="s">
        <v>40</v>
      </c>
      <c r="M207" t="s">
        <v>63</v>
      </c>
      <c r="N207" t="s">
        <v>70</v>
      </c>
      <c r="O207" t="s">
        <v>35</v>
      </c>
      <c r="P207" t="s">
        <v>36</v>
      </c>
      <c r="Q207">
        <f>Table1[[#This Row],[Course_Fee_AED]]-Table1[[#This Row],[Amount_Paid_AED]]</f>
        <v>0</v>
      </c>
      <c r="R207">
        <f>Table1[[#This Row],[Course_Fee_AED]]-Table1[[#This Row],[pending Revenue]]</f>
        <v>9207</v>
      </c>
    </row>
    <row r="208" spans="1:18" x14ac:dyDescent="0.25">
      <c r="A208" t="s">
        <v>285</v>
      </c>
      <c r="B208" s="2">
        <v>45577</v>
      </c>
      <c r="C208" t="s">
        <v>100</v>
      </c>
      <c r="D208" t="s">
        <v>101</v>
      </c>
      <c r="E208" t="s">
        <v>26</v>
      </c>
      <c r="F208" s="5">
        <v>3</v>
      </c>
      <c r="G208" s="5">
        <v>1</v>
      </c>
      <c r="H208" s="5">
        <v>5166</v>
      </c>
      <c r="I208" s="5">
        <v>2</v>
      </c>
      <c r="J208" s="5">
        <v>3444</v>
      </c>
      <c r="K208" t="s">
        <v>18</v>
      </c>
      <c r="L208" t="s">
        <v>40</v>
      </c>
      <c r="M208" t="s">
        <v>47</v>
      </c>
      <c r="N208" t="s">
        <v>154</v>
      </c>
      <c r="O208" t="s">
        <v>71</v>
      </c>
      <c r="P208" t="s">
        <v>36</v>
      </c>
      <c r="Q208">
        <f>Table1[[#This Row],[Course_Fee_AED]]-Table1[[#This Row],[Amount_Paid_AED]]</f>
        <v>1722</v>
      </c>
      <c r="R208">
        <f>Table1[[#This Row],[Course_Fee_AED]]-Table1[[#This Row],[pending Revenue]]</f>
        <v>3444</v>
      </c>
    </row>
    <row r="209" spans="1:18" x14ac:dyDescent="0.25">
      <c r="A209" t="s">
        <v>286</v>
      </c>
      <c r="B209" s="2">
        <v>45338</v>
      </c>
      <c r="C209" t="s">
        <v>106</v>
      </c>
      <c r="D209" t="s">
        <v>107</v>
      </c>
      <c r="E209" t="s">
        <v>17</v>
      </c>
      <c r="F209" s="5">
        <v>6</v>
      </c>
      <c r="G209" s="5">
        <v>1</v>
      </c>
      <c r="H209" s="5">
        <v>5322</v>
      </c>
      <c r="I209" s="5">
        <v>1</v>
      </c>
      <c r="J209" s="5">
        <v>1774</v>
      </c>
      <c r="K209" t="s">
        <v>18</v>
      </c>
      <c r="L209" t="s">
        <v>40</v>
      </c>
      <c r="M209" t="s">
        <v>20</v>
      </c>
      <c r="N209" t="s">
        <v>90</v>
      </c>
      <c r="O209" t="s">
        <v>22</v>
      </c>
      <c r="P209" t="s">
        <v>36</v>
      </c>
      <c r="Q209">
        <f>Table1[[#This Row],[Course_Fee_AED]]-Table1[[#This Row],[Amount_Paid_AED]]</f>
        <v>3548</v>
      </c>
      <c r="R209">
        <f>Table1[[#This Row],[Course_Fee_AED]]-Table1[[#This Row],[pending Revenue]]</f>
        <v>1774</v>
      </c>
    </row>
    <row r="210" spans="1:18" x14ac:dyDescent="0.25">
      <c r="A210" t="s">
        <v>287</v>
      </c>
      <c r="B210" s="2">
        <v>45425</v>
      </c>
      <c r="C210" t="s">
        <v>24</v>
      </c>
      <c r="D210" t="s">
        <v>25</v>
      </c>
      <c r="E210" t="s">
        <v>17</v>
      </c>
      <c r="F210" s="5">
        <v>6</v>
      </c>
      <c r="G210" s="5">
        <v>1</v>
      </c>
      <c r="H210" s="5">
        <v>6806</v>
      </c>
      <c r="I210" s="5">
        <v>1</v>
      </c>
      <c r="J210" s="5">
        <v>2268</v>
      </c>
      <c r="K210" t="s">
        <v>18</v>
      </c>
      <c r="L210" t="s">
        <v>19</v>
      </c>
      <c r="M210" t="s">
        <v>47</v>
      </c>
      <c r="N210" t="s">
        <v>86</v>
      </c>
      <c r="O210" t="s">
        <v>29</v>
      </c>
      <c r="P210" t="s">
        <v>18</v>
      </c>
      <c r="Q210">
        <f>Table1[[#This Row],[Course_Fee_AED]]-Table1[[#This Row],[Amount_Paid_AED]]</f>
        <v>4538</v>
      </c>
      <c r="R210">
        <f>Table1[[#This Row],[Course_Fee_AED]]-Table1[[#This Row],[pending Revenue]]</f>
        <v>2268</v>
      </c>
    </row>
    <row r="211" spans="1:18" x14ac:dyDescent="0.25">
      <c r="A211" t="s">
        <v>288</v>
      </c>
      <c r="B211" s="2">
        <v>45513</v>
      </c>
      <c r="C211" t="s">
        <v>113</v>
      </c>
      <c r="D211" t="s">
        <v>93</v>
      </c>
      <c r="E211" t="s">
        <v>17</v>
      </c>
      <c r="F211" s="5">
        <v>6</v>
      </c>
      <c r="G211" s="5">
        <v>1</v>
      </c>
      <c r="H211" s="5">
        <v>4800</v>
      </c>
      <c r="I211" s="5">
        <v>2</v>
      </c>
      <c r="J211" s="5">
        <v>3200</v>
      </c>
      <c r="K211" t="s">
        <v>18</v>
      </c>
      <c r="L211" t="s">
        <v>19</v>
      </c>
      <c r="M211" t="s">
        <v>20</v>
      </c>
      <c r="N211" t="s">
        <v>61</v>
      </c>
      <c r="O211" t="s">
        <v>35</v>
      </c>
      <c r="P211" t="s">
        <v>36</v>
      </c>
      <c r="Q211">
        <f>Table1[[#This Row],[Course_Fee_AED]]-Table1[[#This Row],[Amount_Paid_AED]]</f>
        <v>1600</v>
      </c>
      <c r="R211">
        <f>Table1[[#This Row],[Course_Fee_AED]]-Table1[[#This Row],[pending Revenue]]</f>
        <v>3200</v>
      </c>
    </row>
    <row r="212" spans="1:18" x14ac:dyDescent="0.25">
      <c r="A212" t="s">
        <v>289</v>
      </c>
      <c r="B212" s="2">
        <v>45595</v>
      </c>
      <c r="C212" t="s">
        <v>75</v>
      </c>
      <c r="D212" t="s">
        <v>76</v>
      </c>
      <c r="E212" t="s">
        <v>26</v>
      </c>
      <c r="F212" s="5">
        <v>3</v>
      </c>
      <c r="G212" s="5">
        <v>1</v>
      </c>
      <c r="H212" s="5">
        <v>9491</v>
      </c>
      <c r="I212" s="5">
        <v>3</v>
      </c>
      <c r="J212" s="5">
        <v>9489</v>
      </c>
      <c r="K212" t="s">
        <v>18</v>
      </c>
      <c r="L212" t="s">
        <v>57</v>
      </c>
      <c r="M212" t="s">
        <v>20</v>
      </c>
      <c r="N212" t="s">
        <v>53</v>
      </c>
      <c r="O212" t="s">
        <v>49</v>
      </c>
      <c r="P212" t="s">
        <v>36</v>
      </c>
      <c r="Q212">
        <f>Table1[[#This Row],[Course_Fee_AED]]-Table1[[#This Row],[Amount_Paid_AED]]</f>
        <v>2</v>
      </c>
      <c r="R212">
        <f>Table1[[#This Row],[Course_Fee_AED]]-Table1[[#This Row],[pending Revenue]]</f>
        <v>9489</v>
      </c>
    </row>
    <row r="213" spans="1:18" x14ac:dyDescent="0.25">
      <c r="A213" t="s">
        <v>290</v>
      </c>
      <c r="B213" s="2">
        <v>45535</v>
      </c>
      <c r="C213" t="s">
        <v>75</v>
      </c>
      <c r="D213" t="s">
        <v>76</v>
      </c>
      <c r="E213" t="s">
        <v>17</v>
      </c>
      <c r="F213" s="5">
        <v>6</v>
      </c>
      <c r="G213" s="5">
        <v>1</v>
      </c>
      <c r="H213" s="5">
        <v>10336</v>
      </c>
      <c r="I213" s="5">
        <v>2</v>
      </c>
      <c r="J213" s="5">
        <v>6890</v>
      </c>
      <c r="K213" t="s">
        <v>18</v>
      </c>
      <c r="L213" t="s">
        <v>19</v>
      </c>
      <c r="M213" t="s">
        <v>20</v>
      </c>
      <c r="N213" t="s">
        <v>61</v>
      </c>
      <c r="O213" t="s">
        <v>29</v>
      </c>
      <c r="P213" t="s">
        <v>18</v>
      </c>
      <c r="Q213">
        <f>Table1[[#This Row],[Course_Fee_AED]]-Table1[[#This Row],[Amount_Paid_AED]]</f>
        <v>3446</v>
      </c>
      <c r="R213">
        <f>Table1[[#This Row],[Course_Fee_AED]]-Table1[[#This Row],[pending Revenue]]</f>
        <v>6890</v>
      </c>
    </row>
    <row r="214" spans="1:18" x14ac:dyDescent="0.25">
      <c r="A214" t="s">
        <v>291</v>
      </c>
      <c r="B214" s="2">
        <v>45406</v>
      </c>
      <c r="C214" t="s">
        <v>92</v>
      </c>
      <c r="D214" t="s">
        <v>93</v>
      </c>
      <c r="E214" t="s">
        <v>26</v>
      </c>
      <c r="F214" s="5">
        <v>3</v>
      </c>
      <c r="G214" s="5">
        <v>1</v>
      </c>
      <c r="H214" s="5">
        <v>6146</v>
      </c>
      <c r="I214" s="5">
        <v>2</v>
      </c>
      <c r="J214" s="5">
        <v>4096</v>
      </c>
      <c r="K214" t="s">
        <v>18</v>
      </c>
      <c r="L214" t="s">
        <v>19</v>
      </c>
      <c r="M214" t="s">
        <v>41</v>
      </c>
      <c r="N214" t="s">
        <v>28</v>
      </c>
      <c r="O214" t="s">
        <v>58</v>
      </c>
      <c r="P214" t="s">
        <v>36</v>
      </c>
      <c r="Q214">
        <f>Table1[[#This Row],[Course_Fee_AED]]-Table1[[#This Row],[Amount_Paid_AED]]</f>
        <v>2050</v>
      </c>
      <c r="R214">
        <f>Table1[[#This Row],[Course_Fee_AED]]-Table1[[#This Row],[pending Revenue]]</f>
        <v>4096</v>
      </c>
    </row>
    <row r="215" spans="1:18" x14ac:dyDescent="0.25">
      <c r="A215" t="s">
        <v>292</v>
      </c>
      <c r="B215" s="2">
        <v>45382</v>
      </c>
      <c r="C215" t="s">
        <v>38</v>
      </c>
      <c r="D215" t="s">
        <v>39</v>
      </c>
      <c r="E215" t="s">
        <v>26</v>
      </c>
      <c r="F215" s="5">
        <v>3</v>
      </c>
      <c r="G215" s="5">
        <v>1</v>
      </c>
      <c r="H215" s="5">
        <v>6958</v>
      </c>
      <c r="I215" s="5">
        <v>2</v>
      </c>
      <c r="J215" s="5">
        <v>4638</v>
      </c>
      <c r="K215" t="s">
        <v>18</v>
      </c>
      <c r="L215" t="s">
        <v>57</v>
      </c>
      <c r="M215" t="s">
        <v>47</v>
      </c>
      <c r="N215" t="s">
        <v>70</v>
      </c>
      <c r="O215" t="s">
        <v>35</v>
      </c>
      <c r="P215" t="s">
        <v>18</v>
      </c>
      <c r="Q215">
        <f>Table1[[#This Row],[Course_Fee_AED]]-Table1[[#This Row],[Amount_Paid_AED]]</f>
        <v>2320</v>
      </c>
      <c r="R215">
        <f>Table1[[#This Row],[Course_Fee_AED]]-Table1[[#This Row],[pending Revenue]]</f>
        <v>4638</v>
      </c>
    </row>
    <row r="216" spans="1:18" x14ac:dyDescent="0.25">
      <c r="A216" t="s">
        <v>293</v>
      </c>
      <c r="B216" s="2">
        <v>45573</v>
      </c>
      <c r="C216" t="s">
        <v>92</v>
      </c>
      <c r="D216" t="s">
        <v>93</v>
      </c>
      <c r="E216" t="s">
        <v>26</v>
      </c>
      <c r="F216" s="5">
        <v>3</v>
      </c>
      <c r="G216" s="5">
        <v>1</v>
      </c>
      <c r="H216" s="5">
        <v>5536</v>
      </c>
      <c r="I216" s="5">
        <v>2</v>
      </c>
      <c r="J216" s="5">
        <v>3690</v>
      </c>
      <c r="K216" t="s">
        <v>18</v>
      </c>
      <c r="L216" t="s">
        <v>57</v>
      </c>
      <c r="M216" t="s">
        <v>41</v>
      </c>
      <c r="N216" t="s">
        <v>79</v>
      </c>
      <c r="O216" t="s">
        <v>35</v>
      </c>
      <c r="P216" t="s">
        <v>18</v>
      </c>
      <c r="Q216">
        <f>Table1[[#This Row],[Course_Fee_AED]]-Table1[[#This Row],[Amount_Paid_AED]]</f>
        <v>1846</v>
      </c>
      <c r="R216">
        <f>Table1[[#This Row],[Course_Fee_AED]]-Table1[[#This Row],[pending Revenue]]</f>
        <v>3690</v>
      </c>
    </row>
    <row r="217" spans="1:18" x14ac:dyDescent="0.25">
      <c r="A217" t="s">
        <v>294</v>
      </c>
      <c r="B217" s="2">
        <v>45530</v>
      </c>
      <c r="C217" t="s">
        <v>51</v>
      </c>
      <c r="D217" t="s">
        <v>52</v>
      </c>
      <c r="E217" t="s">
        <v>17</v>
      </c>
      <c r="F217" s="5">
        <v>6</v>
      </c>
      <c r="G217" s="5">
        <v>1</v>
      </c>
      <c r="H217" s="5">
        <v>4045</v>
      </c>
      <c r="I217" s="5">
        <v>1</v>
      </c>
      <c r="J217" s="5">
        <v>1348</v>
      </c>
      <c r="K217" t="s">
        <v>18</v>
      </c>
      <c r="L217" t="s">
        <v>40</v>
      </c>
      <c r="M217" t="s">
        <v>41</v>
      </c>
      <c r="N217" t="s">
        <v>53</v>
      </c>
      <c r="O217" t="s">
        <v>71</v>
      </c>
      <c r="P217" t="s">
        <v>18</v>
      </c>
      <c r="Q217">
        <f>Table1[[#This Row],[Course_Fee_AED]]-Table1[[#This Row],[Amount_Paid_AED]]</f>
        <v>2697</v>
      </c>
      <c r="R217">
        <f>Table1[[#This Row],[Course_Fee_AED]]-Table1[[#This Row],[pending Revenue]]</f>
        <v>1348</v>
      </c>
    </row>
    <row r="218" spans="1:18" x14ac:dyDescent="0.25">
      <c r="A218" t="s">
        <v>295</v>
      </c>
      <c r="B218" s="2">
        <v>45591</v>
      </c>
      <c r="C218" t="s">
        <v>38</v>
      </c>
      <c r="D218" t="s">
        <v>39</v>
      </c>
      <c r="E218" t="s">
        <v>26</v>
      </c>
      <c r="F218" s="5">
        <v>3</v>
      </c>
      <c r="G218" s="5">
        <v>1</v>
      </c>
      <c r="H218" s="5">
        <v>6520</v>
      </c>
      <c r="I218" s="5">
        <v>1</v>
      </c>
      <c r="J218" s="5">
        <v>2173</v>
      </c>
      <c r="K218" t="s">
        <v>18</v>
      </c>
      <c r="L218" t="s">
        <v>19</v>
      </c>
      <c r="M218" t="s">
        <v>47</v>
      </c>
      <c r="N218" t="s">
        <v>48</v>
      </c>
      <c r="O218" t="s">
        <v>22</v>
      </c>
      <c r="P218" t="s">
        <v>18</v>
      </c>
      <c r="Q218">
        <f>Table1[[#This Row],[Course_Fee_AED]]-Table1[[#This Row],[Amount_Paid_AED]]</f>
        <v>4347</v>
      </c>
      <c r="R218">
        <f>Table1[[#This Row],[Course_Fee_AED]]-Table1[[#This Row],[pending Revenue]]</f>
        <v>2173</v>
      </c>
    </row>
    <row r="219" spans="1:18" x14ac:dyDescent="0.25">
      <c r="A219" t="s">
        <v>296</v>
      </c>
      <c r="B219" s="2">
        <v>45297</v>
      </c>
      <c r="C219" t="s">
        <v>75</v>
      </c>
      <c r="D219" t="s">
        <v>76</v>
      </c>
      <c r="E219" t="s">
        <v>17</v>
      </c>
      <c r="F219" s="5">
        <v>6</v>
      </c>
      <c r="G219" s="5">
        <v>1</v>
      </c>
      <c r="H219" s="5">
        <v>12522</v>
      </c>
      <c r="I219" s="5">
        <v>2</v>
      </c>
      <c r="J219" s="5">
        <v>8348</v>
      </c>
      <c r="K219" t="s">
        <v>18</v>
      </c>
      <c r="L219" t="s">
        <v>19</v>
      </c>
      <c r="M219" t="s">
        <v>60</v>
      </c>
      <c r="N219" t="s">
        <v>34</v>
      </c>
      <c r="O219" t="s">
        <v>43</v>
      </c>
      <c r="P219" t="s">
        <v>18</v>
      </c>
      <c r="Q219">
        <f>Table1[[#This Row],[Course_Fee_AED]]-Table1[[#This Row],[Amount_Paid_AED]]</f>
        <v>4174</v>
      </c>
      <c r="R219">
        <f>Table1[[#This Row],[Course_Fee_AED]]-Table1[[#This Row],[pending Revenue]]</f>
        <v>8348</v>
      </c>
    </row>
    <row r="220" spans="1:18" x14ac:dyDescent="0.25">
      <c r="A220" t="s">
        <v>297</v>
      </c>
      <c r="B220" s="2">
        <v>45617</v>
      </c>
      <c r="C220" t="s">
        <v>75</v>
      </c>
      <c r="D220" t="s">
        <v>76</v>
      </c>
      <c r="E220" t="s">
        <v>17</v>
      </c>
      <c r="F220" s="5">
        <v>6</v>
      </c>
      <c r="G220" s="5">
        <v>1</v>
      </c>
      <c r="H220" s="5">
        <v>14428</v>
      </c>
      <c r="I220" s="5">
        <v>1</v>
      </c>
      <c r="J220" s="5">
        <v>4809</v>
      </c>
      <c r="K220" t="s">
        <v>18</v>
      </c>
      <c r="L220" t="s">
        <v>57</v>
      </c>
      <c r="M220" t="s">
        <v>63</v>
      </c>
      <c r="N220" t="s">
        <v>95</v>
      </c>
      <c r="O220" t="s">
        <v>68</v>
      </c>
      <c r="P220" t="s">
        <v>18</v>
      </c>
      <c r="Q220">
        <f>Table1[[#This Row],[Course_Fee_AED]]-Table1[[#This Row],[Amount_Paid_AED]]</f>
        <v>9619</v>
      </c>
      <c r="R220">
        <f>Table1[[#This Row],[Course_Fee_AED]]-Table1[[#This Row],[pending Revenue]]</f>
        <v>4809</v>
      </c>
    </row>
    <row r="221" spans="1:18" x14ac:dyDescent="0.25">
      <c r="A221" t="s">
        <v>298</v>
      </c>
      <c r="B221" s="2">
        <v>45342</v>
      </c>
      <c r="C221" t="s">
        <v>92</v>
      </c>
      <c r="D221" t="s">
        <v>93</v>
      </c>
      <c r="E221" t="s">
        <v>17</v>
      </c>
      <c r="F221" s="5">
        <v>6</v>
      </c>
      <c r="G221" s="5">
        <v>1</v>
      </c>
      <c r="H221" s="5">
        <v>7416</v>
      </c>
      <c r="I221" s="5">
        <v>2</v>
      </c>
      <c r="J221" s="5">
        <v>4944</v>
      </c>
      <c r="K221" t="s">
        <v>18</v>
      </c>
      <c r="L221" t="s">
        <v>19</v>
      </c>
      <c r="M221" t="s">
        <v>20</v>
      </c>
      <c r="N221" t="s">
        <v>34</v>
      </c>
      <c r="O221" t="s">
        <v>35</v>
      </c>
      <c r="P221" t="s">
        <v>18</v>
      </c>
      <c r="Q221">
        <f>Table1[[#This Row],[Course_Fee_AED]]-Table1[[#This Row],[Amount_Paid_AED]]</f>
        <v>2472</v>
      </c>
      <c r="R221">
        <f>Table1[[#This Row],[Course_Fee_AED]]-Table1[[#This Row],[pending Revenue]]</f>
        <v>4944</v>
      </c>
    </row>
    <row r="222" spans="1:18" x14ac:dyDescent="0.25">
      <c r="A222" t="s">
        <v>299</v>
      </c>
      <c r="B222" s="2">
        <v>45341</v>
      </c>
      <c r="C222" t="s">
        <v>24</v>
      </c>
      <c r="D222" t="s">
        <v>25</v>
      </c>
      <c r="E222" t="s">
        <v>17</v>
      </c>
      <c r="F222" s="5">
        <v>6</v>
      </c>
      <c r="G222" s="5">
        <v>1</v>
      </c>
      <c r="H222" s="5">
        <v>4916</v>
      </c>
      <c r="I222" s="5">
        <v>1</v>
      </c>
      <c r="J222" s="5">
        <v>1638</v>
      </c>
      <c r="K222" t="s">
        <v>18</v>
      </c>
      <c r="L222" t="s">
        <v>57</v>
      </c>
      <c r="M222" t="s">
        <v>47</v>
      </c>
      <c r="N222" t="s">
        <v>21</v>
      </c>
      <c r="O222" t="s">
        <v>22</v>
      </c>
      <c r="P222" t="s">
        <v>18</v>
      </c>
      <c r="Q222">
        <f>Table1[[#This Row],[Course_Fee_AED]]-Table1[[#This Row],[Amount_Paid_AED]]</f>
        <v>3278</v>
      </c>
      <c r="R222">
        <f>Table1[[#This Row],[Course_Fee_AED]]-Table1[[#This Row],[pending Revenue]]</f>
        <v>1638</v>
      </c>
    </row>
    <row r="223" spans="1:18" x14ac:dyDescent="0.25">
      <c r="A223" t="s">
        <v>300</v>
      </c>
      <c r="B223" s="2">
        <v>45459</v>
      </c>
      <c r="C223" t="s">
        <v>66</v>
      </c>
      <c r="D223" t="s">
        <v>56</v>
      </c>
      <c r="E223" t="s">
        <v>26</v>
      </c>
      <c r="F223" s="5">
        <v>3</v>
      </c>
      <c r="G223" s="5">
        <v>1</v>
      </c>
      <c r="H223" s="5">
        <v>7141</v>
      </c>
      <c r="I223" s="5">
        <v>2</v>
      </c>
      <c r="J223" s="5">
        <v>4760</v>
      </c>
      <c r="K223" t="s">
        <v>18</v>
      </c>
      <c r="L223" t="s">
        <v>19</v>
      </c>
      <c r="M223" t="s">
        <v>47</v>
      </c>
      <c r="N223" t="s">
        <v>116</v>
      </c>
      <c r="O223" t="s">
        <v>29</v>
      </c>
      <c r="P223" t="s">
        <v>36</v>
      </c>
      <c r="Q223">
        <f>Table1[[#This Row],[Course_Fee_AED]]-Table1[[#This Row],[Amount_Paid_AED]]</f>
        <v>2381</v>
      </c>
      <c r="R223">
        <f>Table1[[#This Row],[Course_Fee_AED]]-Table1[[#This Row],[pending Revenue]]</f>
        <v>4760</v>
      </c>
    </row>
    <row r="224" spans="1:18" x14ac:dyDescent="0.25">
      <c r="A224" t="s">
        <v>301</v>
      </c>
      <c r="B224" s="2">
        <v>45539</v>
      </c>
      <c r="C224" t="s">
        <v>24</v>
      </c>
      <c r="D224" t="s">
        <v>25</v>
      </c>
      <c r="E224" t="s">
        <v>26</v>
      </c>
      <c r="F224" s="5">
        <v>3</v>
      </c>
      <c r="G224" s="5">
        <v>1</v>
      </c>
      <c r="H224" s="5">
        <v>4961</v>
      </c>
      <c r="I224" s="5">
        <v>3</v>
      </c>
      <c r="J224" s="5">
        <v>4959</v>
      </c>
      <c r="K224" t="s">
        <v>18</v>
      </c>
      <c r="L224" t="s">
        <v>19</v>
      </c>
      <c r="M224" t="s">
        <v>20</v>
      </c>
      <c r="N224" t="s">
        <v>21</v>
      </c>
      <c r="O224" t="s">
        <v>22</v>
      </c>
      <c r="P224" t="s">
        <v>36</v>
      </c>
      <c r="Q224">
        <f>Table1[[#This Row],[Course_Fee_AED]]-Table1[[#This Row],[Amount_Paid_AED]]</f>
        <v>2</v>
      </c>
      <c r="R224">
        <f>Table1[[#This Row],[Course_Fee_AED]]-Table1[[#This Row],[pending Revenue]]</f>
        <v>4959</v>
      </c>
    </row>
    <row r="225" spans="1:18" x14ac:dyDescent="0.25">
      <c r="A225" t="s">
        <v>302</v>
      </c>
      <c r="B225" s="2">
        <v>45397</v>
      </c>
      <c r="C225" t="s">
        <v>106</v>
      </c>
      <c r="D225" t="s">
        <v>107</v>
      </c>
      <c r="E225" t="s">
        <v>17</v>
      </c>
      <c r="F225" s="5">
        <v>6</v>
      </c>
      <c r="G225" s="5">
        <v>1</v>
      </c>
      <c r="H225" s="5">
        <v>8043</v>
      </c>
      <c r="I225" s="5">
        <v>1</v>
      </c>
      <c r="J225" s="5">
        <v>2681</v>
      </c>
      <c r="K225" t="s">
        <v>18</v>
      </c>
      <c r="L225" t="s">
        <v>40</v>
      </c>
      <c r="M225" t="s">
        <v>60</v>
      </c>
      <c r="N225" t="s">
        <v>61</v>
      </c>
      <c r="O225" t="s">
        <v>64</v>
      </c>
      <c r="P225" t="s">
        <v>18</v>
      </c>
      <c r="Q225">
        <f>Table1[[#This Row],[Course_Fee_AED]]-Table1[[#This Row],[Amount_Paid_AED]]</f>
        <v>5362</v>
      </c>
      <c r="R225">
        <f>Table1[[#This Row],[Course_Fee_AED]]-Table1[[#This Row],[pending Revenue]]</f>
        <v>2681</v>
      </c>
    </row>
    <row r="226" spans="1:18" x14ac:dyDescent="0.25">
      <c r="A226" t="s">
        <v>303</v>
      </c>
      <c r="B226" s="2">
        <v>45430</v>
      </c>
      <c r="C226" t="s">
        <v>15</v>
      </c>
      <c r="D226" t="s">
        <v>16</v>
      </c>
      <c r="E226" t="s">
        <v>26</v>
      </c>
      <c r="F226" s="5">
        <v>3</v>
      </c>
      <c r="G226" s="5">
        <v>1</v>
      </c>
      <c r="H226" s="5">
        <v>6797</v>
      </c>
      <c r="I226" s="5">
        <v>3</v>
      </c>
      <c r="J226" s="5">
        <v>6795</v>
      </c>
      <c r="K226" t="s">
        <v>18</v>
      </c>
      <c r="L226" t="s">
        <v>40</v>
      </c>
      <c r="M226" t="s">
        <v>41</v>
      </c>
      <c r="N226" t="s">
        <v>21</v>
      </c>
      <c r="O226" t="s">
        <v>71</v>
      </c>
      <c r="P226" t="s">
        <v>36</v>
      </c>
      <c r="Q226">
        <f>Table1[[#This Row],[Course_Fee_AED]]-Table1[[#This Row],[Amount_Paid_AED]]</f>
        <v>2</v>
      </c>
      <c r="R226">
        <f>Table1[[#This Row],[Course_Fee_AED]]-Table1[[#This Row],[pending Revenue]]</f>
        <v>6795</v>
      </c>
    </row>
    <row r="227" spans="1:18" x14ac:dyDescent="0.25">
      <c r="A227" t="s">
        <v>304</v>
      </c>
      <c r="B227" s="2">
        <v>45432</v>
      </c>
      <c r="C227" t="s">
        <v>45</v>
      </c>
      <c r="D227" t="s">
        <v>46</v>
      </c>
      <c r="E227" t="s">
        <v>26</v>
      </c>
      <c r="F227" s="5">
        <v>3</v>
      </c>
      <c r="G227" s="5">
        <v>1</v>
      </c>
      <c r="H227" s="5">
        <v>6767</v>
      </c>
      <c r="I227" s="5">
        <v>2</v>
      </c>
      <c r="J227" s="5">
        <v>4510</v>
      </c>
      <c r="K227" t="s">
        <v>18</v>
      </c>
      <c r="L227" t="s">
        <v>57</v>
      </c>
      <c r="M227" t="s">
        <v>27</v>
      </c>
      <c r="N227" t="s">
        <v>53</v>
      </c>
      <c r="O227" t="s">
        <v>71</v>
      </c>
      <c r="P227" t="s">
        <v>36</v>
      </c>
      <c r="Q227">
        <f>Table1[[#This Row],[Course_Fee_AED]]-Table1[[#This Row],[Amount_Paid_AED]]</f>
        <v>2257</v>
      </c>
      <c r="R227">
        <f>Table1[[#This Row],[Course_Fee_AED]]-Table1[[#This Row],[pending Revenue]]</f>
        <v>4510</v>
      </c>
    </row>
    <row r="228" spans="1:18" x14ac:dyDescent="0.25">
      <c r="A228" t="s">
        <v>305</v>
      </c>
      <c r="B228" s="2">
        <v>45368</v>
      </c>
      <c r="C228" t="s">
        <v>66</v>
      </c>
      <c r="D228" t="s">
        <v>56</v>
      </c>
      <c r="E228" t="s">
        <v>17</v>
      </c>
      <c r="F228" s="5">
        <v>6</v>
      </c>
      <c r="G228" s="5">
        <v>1</v>
      </c>
      <c r="H228" s="5">
        <v>9968</v>
      </c>
      <c r="I228" s="5">
        <v>2</v>
      </c>
      <c r="J228" s="5">
        <v>6644</v>
      </c>
      <c r="K228" t="s">
        <v>18</v>
      </c>
      <c r="L228" t="s">
        <v>57</v>
      </c>
      <c r="M228" t="s">
        <v>63</v>
      </c>
      <c r="N228" t="s">
        <v>28</v>
      </c>
      <c r="O228" t="s">
        <v>22</v>
      </c>
      <c r="P228" t="s">
        <v>36</v>
      </c>
      <c r="Q228">
        <f>Table1[[#This Row],[Course_Fee_AED]]-Table1[[#This Row],[Amount_Paid_AED]]</f>
        <v>3324</v>
      </c>
      <c r="R228">
        <f>Table1[[#This Row],[Course_Fee_AED]]-Table1[[#This Row],[pending Revenue]]</f>
        <v>6644</v>
      </c>
    </row>
    <row r="229" spans="1:18" x14ac:dyDescent="0.25">
      <c r="A229" t="s">
        <v>306</v>
      </c>
      <c r="B229" s="2">
        <v>45499</v>
      </c>
      <c r="C229" t="s">
        <v>106</v>
      </c>
      <c r="D229" t="s">
        <v>107</v>
      </c>
      <c r="E229" t="s">
        <v>26</v>
      </c>
      <c r="F229" s="5">
        <v>3</v>
      </c>
      <c r="G229" s="5">
        <v>1</v>
      </c>
      <c r="H229" s="5">
        <v>6186</v>
      </c>
      <c r="I229" s="5">
        <v>3</v>
      </c>
      <c r="J229" s="5">
        <v>6186</v>
      </c>
      <c r="K229" t="s">
        <v>33</v>
      </c>
      <c r="L229" t="s">
        <v>57</v>
      </c>
      <c r="M229" t="s">
        <v>27</v>
      </c>
      <c r="N229" t="s">
        <v>61</v>
      </c>
      <c r="O229" t="s">
        <v>58</v>
      </c>
      <c r="P229" t="s">
        <v>18</v>
      </c>
      <c r="Q229">
        <f>Table1[[#This Row],[Course_Fee_AED]]-Table1[[#This Row],[Amount_Paid_AED]]</f>
        <v>0</v>
      </c>
      <c r="R229">
        <f>Table1[[#This Row],[Course_Fee_AED]]-Table1[[#This Row],[pending Revenue]]</f>
        <v>6186</v>
      </c>
    </row>
    <row r="230" spans="1:18" x14ac:dyDescent="0.25">
      <c r="A230" t="s">
        <v>307</v>
      </c>
      <c r="B230" s="2">
        <v>45478</v>
      </c>
      <c r="C230" t="s">
        <v>100</v>
      </c>
      <c r="D230" t="s">
        <v>101</v>
      </c>
      <c r="E230" t="s">
        <v>26</v>
      </c>
      <c r="F230" s="5">
        <v>3</v>
      </c>
      <c r="G230" s="5">
        <v>1</v>
      </c>
      <c r="H230" s="5">
        <v>5797</v>
      </c>
      <c r="I230" s="5">
        <v>3</v>
      </c>
      <c r="J230" s="5">
        <v>5796</v>
      </c>
      <c r="K230" t="s">
        <v>18</v>
      </c>
      <c r="L230" t="s">
        <v>19</v>
      </c>
      <c r="M230" t="s">
        <v>47</v>
      </c>
      <c r="N230" t="s">
        <v>61</v>
      </c>
      <c r="O230" t="s">
        <v>68</v>
      </c>
      <c r="P230" t="s">
        <v>36</v>
      </c>
      <c r="Q230">
        <f>Table1[[#This Row],[Course_Fee_AED]]-Table1[[#This Row],[Amount_Paid_AED]]</f>
        <v>1</v>
      </c>
      <c r="R230">
        <f>Table1[[#This Row],[Course_Fee_AED]]-Table1[[#This Row],[pending Revenue]]</f>
        <v>5796</v>
      </c>
    </row>
    <row r="231" spans="1:18" x14ac:dyDescent="0.25">
      <c r="A231" t="s">
        <v>308</v>
      </c>
      <c r="B231" s="2">
        <v>45366</v>
      </c>
      <c r="C231" t="s">
        <v>45</v>
      </c>
      <c r="D231" t="s">
        <v>46</v>
      </c>
      <c r="E231" t="s">
        <v>17</v>
      </c>
      <c r="F231" s="5">
        <v>6</v>
      </c>
      <c r="G231" s="5">
        <v>1</v>
      </c>
      <c r="H231" s="5">
        <v>4530</v>
      </c>
      <c r="I231" s="5">
        <v>1</v>
      </c>
      <c r="J231" s="5">
        <v>1510</v>
      </c>
      <c r="K231" t="s">
        <v>18</v>
      </c>
      <c r="L231" t="s">
        <v>57</v>
      </c>
      <c r="M231" t="s">
        <v>63</v>
      </c>
      <c r="N231" t="s">
        <v>61</v>
      </c>
      <c r="O231" t="s">
        <v>22</v>
      </c>
      <c r="P231" t="s">
        <v>18</v>
      </c>
      <c r="Q231">
        <f>Table1[[#This Row],[Course_Fee_AED]]-Table1[[#This Row],[Amount_Paid_AED]]</f>
        <v>3020</v>
      </c>
      <c r="R231">
        <f>Table1[[#This Row],[Course_Fee_AED]]-Table1[[#This Row],[pending Revenue]]</f>
        <v>1510</v>
      </c>
    </row>
    <row r="232" spans="1:18" x14ac:dyDescent="0.25">
      <c r="A232" t="s">
        <v>309</v>
      </c>
      <c r="B232" s="2">
        <v>45436</v>
      </c>
      <c r="C232" t="s">
        <v>106</v>
      </c>
      <c r="D232" t="s">
        <v>107</v>
      </c>
      <c r="E232" t="s">
        <v>26</v>
      </c>
      <c r="F232" s="5">
        <v>3</v>
      </c>
      <c r="G232" s="5">
        <v>1</v>
      </c>
      <c r="H232" s="5">
        <v>5083</v>
      </c>
      <c r="I232" s="5">
        <v>1</v>
      </c>
      <c r="J232" s="5">
        <v>1694</v>
      </c>
      <c r="K232" t="s">
        <v>18</v>
      </c>
      <c r="L232" t="s">
        <v>40</v>
      </c>
      <c r="M232" t="s">
        <v>27</v>
      </c>
      <c r="N232" t="s">
        <v>61</v>
      </c>
      <c r="O232" t="s">
        <v>87</v>
      </c>
      <c r="P232" t="s">
        <v>18</v>
      </c>
      <c r="Q232">
        <f>Table1[[#This Row],[Course_Fee_AED]]-Table1[[#This Row],[Amount_Paid_AED]]</f>
        <v>3389</v>
      </c>
      <c r="R232">
        <f>Table1[[#This Row],[Course_Fee_AED]]-Table1[[#This Row],[pending Revenue]]</f>
        <v>1694</v>
      </c>
    </row>
    <row r="233" spans="1:18" x14ac:dyDescent="0.25">
      <c r="A233" t="s">
        <v>310</v>
      </c>
      <c r="B233" s="2">
        <v>45360</v>
      </c>
      <c r="C233" t="s">
        <v>51</v>
      </c>
      <c r="D233" t="s">
        <v>52</v>
      </c>
      <c r="E233" t="s">
        <v>26</v>
      </c>
      <c r="F233" s="5">
        <v>3</v>
      </c>
      <c r="G233" s="5">
        <v>1</v>
      </c>
      <c r="H233" s="5">
        <v>4235</v>
      </c>
      <c r="I233" s="5">
        <v>1</v>
      </c>
      <c r="J233" s="5">
        <v>1411</v>
      </c>
      <c r="K233" t="s">
        <v>18</v>
      </c>
      <c r="L233" t="s">
        <v>57</v>
      </c>
      <c r="M233" t="s">
        <v>63</v>
      </c>
      <c r="N233" t="s">
        <v>86</v>
      </c>
      <c r="O233" t="s">
        <v>29</v>
      </c>
      <c r="P233" t="s">
        <v>18</v>
      </c>
      <c r="Q233">
        <f>Table1[[#This Row],[Course_Fee_AED]]-Table1[[#This Row],[Amount_Paid_AED]]</f>
        <v>2824</v>
      </c>
      <c r="R233">
        <f>Table1[[#This Row],[Course_Fee_AED]]-Table1[[#This Row],[pending Revenue]]</f>
        <v>1411</v>
      </c>
    </row>
    <row r="234" spans="1:18" x14ac:dyDescent="0.25">
      <c r="A234" t="s">
        <v>311</v>
      </c>
      <c r="B234" s="2">
        <v>45482</v>
      </c>
      <c r="C234" t="s">
        <v>55</v>
      </c>
      <c r="D234" t="s">
        <v>56</v>
      </c>
      <c r="E234" t="s">
        <v>26</v>
      </c>
      <c r="F234" s="5">
        <v>3</v>
      </c>
      <c r="G234" s="5">
        <v>1</v>
      </c>
      <c r="H234" s="5">
        <v>10566</v>
      </c>
      <c r="I234" s="5">
        <v>3</v>
      </c>
      <c r="J234" s="5">
        <v>10566</v>
      </c>
      <c r="K234" t="s">
        <v>33</v>
      </c>
      <c r="L234" t="s">
        <v>40</v>
      </c>
      <c r="M234" t="s">
        <v>63</v>
      </c>
      <c r="N234" t="s">
        <v>95</v>
      </c>
      <c r="O234" t="s">
        <v>71</v>
      </c>
      <c r="P234" t="s">
        <v>18</v>
      </c>
      <c r="Q234">
        <f>Table1[[#This Row],[Course_Fee_AED]]-Table1[[#This Row],[Amount_Paid_AED]]</f>
        <v>0</v>
      </c>
      <c r="R234">
        <f>Table1[[#This Row],[Course_Fee_AED]]-Table1[[#This Row],[pending Revenue]]</f>
        <v>10566</v>
      </c>
    </row>
    <row r="235" spans="1:18" x14ac:dyDescent="0.25">
      <c r="A235" t="s">
        <v>312</v>
      </c>
      <c r="B235" s="2">
        <v>45495</v>
      </c>
      <c r="C235" t="s">
        <v>24</v>
      </c>
      <c r="D235" t="s">
        <v>25</v>
      </c>
      <c r="E235" t="s">
        <v>26</v>
      </c>
      <c r="F235" s="5">
        <v>3</v>
      </c>
      <c r="G235" s="5">
        <v>1</v>
      </c>
      <c r="H235" s="5">
        <v>4792</v>
      </c>
      <c r="I235" s="5">
        <v>3</v>
      </c>
      <c r="J235" s="5">
        <v>4791</v>
      </c>
      <c r="K235" t="s">
        <v>18</v>
      </c>
      <c r="L235" t="s">
        <v>57</v>
      </c>
      <c r="M235" t="s">
        <v>60</v>
      </c>
      <c r="N235" t="s">
        <v>34</v>
      </c>
      <c r="O235" t="s">
        <v>43</v>
      </c>
      <c r="P235" t="s">
        <v>36</v>
      </c>
      <c r="Q235">
        <f>Table1[[#This Row],[Course_Fee_AED]]-Table1[[#This Row],[Amount_Paid_AED]]</f>
        <v>1</v>
      </c>
      <c r="R235">
        <f>Table1[[#This Row],[Course_Fee_AED]]-Table1[[#This Row],[pending Revenue]]</f>
        <v>4791</v>
      </c>
    </row>
    <row r="236" spans="1:18" x14ac:dyDescent="0.25">
      <c r="A236" t="s">
        <v>313</v>
      </c>
      <c r="B236" s="2">
        <v>45318</v>
      </c>
      <c r="C236" t="s">
        <v>113</v>
      </c>
      <c r="D236" t="s">
        <v>93</v>
      </c>
      <c r="E236" t="s">
        <v>26</v>
      </c>
      <c r="F236" s="5">
        <v>3</v>
      </c>
      <c r="G236" s="5">
        <v>1</v>
      </c>
      <c r="H236" s="5">
        <v>4156</v>
      </c>
      <c r="I236" s="5">
        <v>3</v>
      </c>
      <c r="J236" s="5">
        <v>4155</v>
      </c>
      <c r="K236" t="s">
        <v>18</v>
      </c>
      <c r="L236" t="s">
        <v>19</v>
      </c>
      <c r="M236" t="s">
        <v>63</v>
      </c>
      <c r="N236" t="s">
        <v>95</v>
      </c>
      <c r="O236" t="s">
        <v>49</v>
      </c>
      <c r="P236" t="s">
        <v>36</v>
      </c>
      <c r="Q236">
        <f>Table1[[#This Row],[Course_Fee_AED]]-Table1[[#This Row],[Amount_Paid_AED]]</f>
        <v>1</v>
      </c>
      <c r="R236">
        <f>Table1[[#This Row],[Course_Fee_AED]]-Table1[[#This Row],[pending Revenue]]</f>
        <v>4155</v>
      </c>
    </row>
    <row r="237" spans="1:18" x14ac:dyDescent="0.25">
      <c r="A237" t="s">
        <v>314</v>
      </c>
      <c r="B237" s="2">
        <v>45352</v>
      </c>
      <c r="C237" t="s">
        <v>45</v>
      </c>
      <c r="D237" t="s">
        <v>46</v>
      </c>
      <c r="E237" t="s">
        <v>17</v>
      </c>
      <c r="F237" s="5">
        <v>6</v>
      </c>
      <c r="G237" s="5">
        <v>1</v>
      </c>
      <c r="H237" s="5">
        <v>6564</v>
      </c>
      <c r="I237" s="5">
        <v>3</v>
      </c>
      <c r="J237" s="5">
        <v>6564</v>
      </c>
      <c r="K237" t="s">
        <v>33</v>
      </c>
      <c r="L237" t="s">
        <v>40</v>
      </c>
      <c r="M237" t="s">
        <v>20</v>
      </c>
      <c r="N237" t="s">
        <v>154</v>
      </c>
      <c r="O237" t="s">
        <v>87</v>
      </c>
      <c r="P237" t="s">
        <v>18</v>
      </c>
      <c r="Q237">
        <f>Table1[[#This Row],[Course_Fee_AED]]-Table1[[#This Row],[Amount_Paid_AED]]</f>
        <v>0</v>
      </c>
      <c r="R237">
        <f>Table1[[#This Row],[Course_Fee_AED]]-Table1[[#This Row],[pending Revenue]]</f>
        <v>6564</v>
      </c>
    </row>
    <row r="238" spans="1:18" x14ac:dyDescent="0.25">
      <c r="A238" t="s">
        <v>315</v>
      </c>
      <c r="B238" s="2">
        <v>45441</v>
      </c>
      <c r="C238" t="s">
        <v>45</v>
      </c>
      <c r="D238" t="s">
        <v>46</v>
      </c>
      <c r="E238" t="s">
        <v>17</v>
      </c>
      <c r="F238" s="5">
        <v>6</v>
      </c>
      <c r="G238" s="5">
        <v>1</v>
      </c>
      <c r="H238" s="5">
        <v>6002</v>
      </c>
      <c r="I238" s="5">
        <v>3</v>
      </c>
      <c r="J238" s="5">
        <v>6000</v>
      </c>
      <c r="K238" t="s">
        <v>18</v>
      </c>
      <c r="L238" t="s">
        <v>57</v>
      </c>
      <c r="M238" t="s">
        <v>63</v>
      </c>
      <c r="N238" t="s">
        <v>61</v>
      </c>
      <c r="O238" t="s">
        <v>71</v>
      </c>
      <c r="P238" t="s">
        <v>36</v>
      </c>
      <c r="Q238">
        <f>Table1[[#This Row],[Course_Fee_AED]]-Table1[[#This Row],[Amount_Paid_AED]]</f>
        <v>2</v>
      </c>
      <c r="R238">
        <f>Table1[[#This Row],[Course_Fee_AED]]-Table1[[#This Row],[pending Revenue]]</f>
        <v>6000</v>
      </c>
    </row>
    <row r="239" spans="1:18" x14ac:dyDescent="0.25">
      <c r="A239" t="s">
        <v>316</v>
      </c>
      <c r="B239" s="2">
        <v>45423</v>
      </c>
      <c r="C239" t="s">
        <v>66</v>
      </c>
      <c r="D239" t="s">
        <v>56</v>
      </c>
      <c r="E239" t="s">
        <v>26</v>
      </c>
      <c r="F239" s="5">
        <v>3</v>
      </c>
      <c r="G239" s="5">
        <v>1</v>
      </c>
      <c r="H239" s="5">
        <v>11886</v>
      </c>
      <c r="I239" s="5">
        <v>1</v>
      </c>
      <c r="J239" s="5">
        <v>3962</v>
      </c>
      <c r="K239" t="s">
        <v>18</v>
      </c>
      <c r="L239" t="s">
        <v>19</v>
      </c>
      <c r="M239" t="s">
        <v>20</v>
      </c>
      <c r="N239" t="s">
        <v>42</v>
      </c>
      <c r="O239" t="s">
        <v>43</v>
      </c>
      <c r="P239" t="s">
        <v>18</v>
      </c>
      <c r="Q239">
        <f>Table1[[#This Row],[Course_Fee_AED]]-Table1[[#This Row],[Amount_Paid_AED]]</f>
        <v>7924</v>
      </c>
      <c r="R239">
        <f>Table1[[#This Row],[Course_Fee_AED]]-Table1[[#This Row],[pending Revenue]]</f>
        <v>3962</v>
      </c>
    </row>
    <row r="240" spans="1:18" x14ac:dyDescent="0.25">
      <c r="A240" t="s">
        <v>317</v>
      </c>
      <c r="B240" s="2">
        <v>45472</v>
      </c>
      <c r="C240" t="s">
        <v>92</v>
      </c>
      <c r="D240" t="s">
        <v>93</v>
      </c>
      <c r="E240" t="s">
        <v>26</v>
      </c>
      <c r="F240" s="5">
        <v>3</v>
      </c>
      <c r="G240" s="5">
        <v>1</v>
      </c>
      <c r="H240" s="5">
        <v>7663</v>
      </c>
      <c r="I240" s="5">
        <v>2</v>
      </c>
      <c r="J240" s="5">
        <v>5108</v>
      </c>
      <c r="K240" t="s">
        <v>18</v>
      </c>
      <c r="L240" t="s">
        <v>57</v>
      </c>
      <c r="M240" t="s">
        <v>27</v>
      </c>
      <c r="N240" t="s">
        <v>73</v>
      </c>
      <c r="O240" t="s">
        <v>68</v>
      </c>
      <c r="P240" t="s">
        <v>36</v>
      </c>
      <c r="Q240">
        <f>Table1[[#This Row],[Course_Fee_AED]]-Table1[[#This Row],[Amount_Paid_AED]]</f>
        <v>2555</v>
      </c>
      <c r="R240">
        <f>Table1[[#This Row],[Course_Fee_AED]]-Table1[[#This Row],[pending Revenue]]</f>
        <v>5108</v>
      </c>
    </row>
    <row r="241" spans="1:18" x14ac:dyDescent="0.25">
      <c r="A241" t="s">
        <v>318</v>
      </c>
      <c r="B241" s="2">
        <v>45414</v>
      </c>
      <c r="C241" t="s">
        <v>31</v>
      </c>
      <c r="D241" t="s">
        <v>32</v>
      </c>
      <c r="E241" t="s">
        <v>26</v>
      </c>
      <c r="F241" s="5">
        <v>3</v>
      </c>
      <c r="G241" s="5">
        <v>1</v>
      </c>
      <c r="H241" s="5">
        <v>5480</v>
      </c>
      <c r="I241" s="5">
        <v>1</v>
      </c>
      <c r="J241" s="5">
        <v>1826</v>
      </c>
      <c r="K241" t="s">
        <v>18</v>
      </c>
      <c r="L241" t="s">
        <v>57</v>
      </c>
      <c r="M241" t="s">
        <v>20</v>
      </c>
      <c r="N241" t="s">
        <v>48</v>
      </c>
      <c r="O241" t="s">
        <v>22</v>
      </c>
      <c r="P241" t="s">
        <v>18</v>
      </c>
      <c r="Q241">
        <f>Table1[[#This Row],[Course_Fee_AED]]-Table1[[#This Row],[Amount_Paid_AED]]</f>
        <v>3654</v>
      </c>
      <c r="R241">
        <f>Table1[[#This Row],[Course_Fee_AED]]-Table1[[#This Row],[pending Revenue]]</f>
        <v>1826</v>
      </c>
    </row>
    <row r="242" spans="1:18" x14ac:dyDescent="0.25">
      <c r="A242" t="s">
        <v>319</v>
      </c>
      <c r="B242" s="2">
        <v>45604</v>
      </c>
      <c r="C242" t="s">
        <v>24</v>
      </c>
      <c r="D242" t="s">
        <v>25</v>
      </c>
      <c r="E242" t="s">
        <v>17</v>
      </c>
      <c r="F242" s="5">
        <v>6</v>
      </c>
      <c r="G242" s="5">
        <v>1</v>
      </c>
      <c r="H242" s="5">
        <v>6926</v>
      </c>
      <c r="I242" s="5">
        <v>3</v>
      </c>
      <c r="J242" s="5">
        <v>6924</v>
      </c>
      <c r="K242" t="s">
        <v>18</v>
      </c>
      <c r="L242" t="s">
        <v>19</v>
      </c>
      <c r="M242" t="s">
        <v>60</v>
      </c>
      <c r="N242" t="s">
        <v>28</v>
      </c>
      <c r="O242" t="s">
        <v>64</v>
      </c>
      <c r="P242" t="s">
        <v>36</v>
      </c>
      <c r="Q242">
        <f>Table1[[#This Row],[Course_Fee_AED]]-Table1[[#This Row],[Amount_Paid_AED]]</f>
        <v>2</v>
      </c>
      <c r="R242">
        <f>Table1[[#This Row],[Course_Fee_AED]]-Table1[[#This Row],[pending Revenue]]</f>
        <v>6924</v>
      </c>
    </row>
    <row r="243" spans="1:18" x14ac:dyDescent="0.25">
      <c r="A243" t="s">
        <v>320</v>
      </c>
      <c r="B243" s="2">
        <v>45635</v>
      </c>
      <c r="C243" t="s">
        <v>66</v>
      </c>
      <c r="D243" t="s">
        <v>56</v>
      </c>
      <c r="E243" t="s">
        <v>26</v>
      </c>
      <c r="F243" s="5">
        <v>3</v>
      </c>
      <c r="G243" s="5">
        <v>1</v>
      </c>
      <c r="H243" s="5">
        <v>7931</v>
      </c>
      <c r="I243" s="5">
        <v>1</v>
      </c>
      <c r="J243" s="5">
        <v>2643</v>
      </c>
      <c r="K243" t="s">
        <v>18</v>
      </c>
      <c r="L243" t="s">
        <v>19</v>
      </c>
      <c r="M243" t="s">
        <v>60</v>
      </c>
      <c r="N243" t="s">
        <v>90</v>
      </c>
      <c r="O243" t="s">
        <v>68</v>
      </c>
      <c r="P243" t="s">
        <v>36</v>
      </c>
      <c r="Q243">
        <f>Table1[[#This Row],[Course_Fee_AED]]-Table1[[#This Row],[Amount_Paid_AED]]</f>
        <v>5288</v>
      </c>
      <c r="R243">
        <f>Table1[[#This Row],[Course_Fee_AED]]-Table1[[#This Row],[pending Revenue]]</f>
        <v>2643</v>
      </c>
    </row>
    <row r="244" spans="1:18" x14ac:dyDescent="0.25">
      <c r="A244" t="s">
        <v>321</v>
      </c>
      <c r="B244" s="2">
        <v>45390</v>
      </c>
      <c r="C244" t="s">
        <v>24</v>
      </c>
      <c r="D244" t="s">
        <v>25</v>
      </c>
      <c r="E244" t="s">
        <v>17</v>
      </c>
      <c r="F244" s="5">
        <v>6</v>
      </c>
      <c r="G244" s="5">
        <v>1</v>
      </c>
      <c r="H244" s="5">
        <v>4808</v>
      </c>
      <c r="I244" s="5">
        <v>3</v>
      </c>
      <c r="J244" s="5">
        <v>4806</v>
      </c>
      <c r="K244" t="s">
        <v>18</v>
      </c>
      <c r="L244" t="s">
        <v>40</v>
      </c>
      <c r="M244" t="s">
        <v>47</v>
      </c>
      <c r="N244" t="s">
        <v>28</v>
      </c>
      <c r="O244" t="s">
        <v>29</v>
      </c>
      <c r="P244" t="s">
        <v>18</v>
      </c>
      <c r="Q244">
        <f>Table1[[#This Row],[Course_Fee_AED]]-Table1[[#This Row],[Amount_Paid_AED]]</f>
        <v>2</v>
      </c>
      <c r="R244">
        <f>Table1[[#This Row],[Course_Fee_AED]]-Table1[[#This Row],[pending Revenue]]</f>
        <v>4806</v>
      </c>
    </row>
    <row r="245" spans="1:18" x14ac:dyDescent="0.25">
      <c r="A245" t="s">
        <v>322</v>
      </c>
      <c r="B245" s="2">
        <v>45372</v>
      </c>
      <c r="C245" t="s">
        <v>55</v>
      </c>
      <c r="D245" t="s">
        <v>56</v>
      </c>
      <c r="E245" t="s">
        <v>17</v>
      </c>
      <c r="F245" s="5">
        <v>6</v>
      </c>
      <c r="G245" s="5">
        <v>1</v>
      </c>
      <c r="H245" s="5">
        <v>8590</v>
      </c>
      <c r="I245" s="5">
        <v>3</v>
      </c>
      <c r="J245" s="5">
        <v>8589</v>
      </c>
      <c r="K245" t="s">
        <v>18</v>
      </c>
      <c r="L245" t="s">
        <v>19</v>
      </c>
      <c r="M245" t="s">
        <v>41</v>
      </c>
      <c r="N245" t="s">
        <v>21</v>
      </c>
      <c r="O245" t="s">
        <v>87</v>
      </c>
      <c r="P245" t="s">
        <v>36</v>
      </c>
      <c r="Q245">
        <f>Table1[[#This Row],[Course_Fee_AED]]-Table1[[#This Row],[Amount_Paid_AED]]</f>
        <v>1</v>
      </c>
      <c r="R245">
        <f>Table1[[#This Row],[Course_Fee_AED]]-Table1[[#This Row],[pending Revenue]]</f>
        <v>8589</v>
      </c>
    </row>
    <row r="246" spans="1:18" x14ac:dyDescent="0.25">
      <c r="A246" t="s">
        <v>323</v>
      </c>
      <c r="B246" s="2">
        <v>45506</v>
      </c>
      <c r="C246" t="s">
        <v>82</v>
      </c>
      <c r="D246" t="s">
        <v>83</v>
      </c>
      <c r="E246" t="s">
        <v>17</v>
      </c>
      <c r="F246" s="5">
        <v>6</v>
      </c>
      <c r="G246" s="5">
        <v>1</v>
      </c>
      <c r="H246" s="5">
        <v>10957</v>
      </c>
      <c r="I246" s="5">
        <v>3</v>
      </c>
      <c r="J246" s="5">
        <v>10956</v>
      </c>
      <c r="K246" t="s">
        <v>18</v>
      </c>
      <c r="L246" t="s">
        <v>40</v>
      </c>
      <c r="M246" t="s">
        <v>63</v>
      </c>
      <c r="N246" t="s">
        <v>53</v>
      </c>
      <c r="O246" t="s">
        <v>43</v>
      </c>
      <c r="P246" t="s">
        <v>36</v>
      </c>
      <c r="Q246">
        <f>Table1[[#This Row],[Course_Fee_AED]]-Table1[[#This Row],[Amount_Paid_AED]]</f>
        <v>1</v>
      </c>
      <c r="R246">
        <f>Table1[[#This Row],[Course_Fee_AED]]-Table1[[#This Row],[pending Revenue]]</f>
        <v>10956</v>
      </c>
    </row>
    <row r="247" spans="1:18" x14ac:dyDescent="0.25">
      <c r="A247" t="s">
        <v>324</v>
      </c>
      <c r="B247" s="2">
        <v>45342</v>
      </c>
      <c r="C247" t="s">
        <v>82</v>
      </c>
      <c r="D247" t="s">
        <v>83</v>
      </c>
      <c r="E247" t="s">
        <v>17</v>
      </c>
      <c r="F247" s="5">
        <v>6</v>
      </c>
      <c r="G247" s="5">
        <v>1</v>
      </c>
      <c r="H247" s="5">
        <v>14509</v>
      </c>
      <c r="I247" s="5">
        <v>3</v>
      </c>
      <c r="J247" s="5">
        <v>14508</v>
      </c>
      <c r="K247" t="s">
        <v>18</v>
      </c>
      <c r="L247" t="s">
        <v>57</v>
      </c>
      <c r="M247" t="s">
        <v>60</v>
      </c>
      <c r="N247" t="s">
        <v>70</v>
      </c>
      <c r="O247" t="s">
        <v>71</v>
      </c>
      <c r="P247" t="s">
        <v>36</v>
      </c>
      <c r="Q247">
        <f>Table1[[#This Row],[Course_Fee_AED]]-Table1[[#This Row],[Amount_Paid_AED]]</f>
        <v>1</v>
      </c>
      <c r="R247">
        <f>Table1[[#This Row],[Course_Fee_AED]]-Table1[[#This Row],[pending Revenue]]</f>
        <v>14508</v>
      </c>
    </row>
    <row r="248" spans="1:18" x14ac:dyDescent="0.25">
      <c r="A248" t="s">
        <v>325</v>
      </c>
      <c r="B248" s="2">
        <v>45538</v>
      </c>
      <c r="C248" t="s">
        <v>92</v>
      </c>
      <c r="D248" t="s">
        <v>93</v>
      </c>
      <c r="E248" t="s">
        <v>26</v>
      </c>
      <c r="F248" s="5">
        <v>3</v>
      </c>
      <c r="G248" s="5">
        <v>1</v>
      </c>
      <c r="H248" s="5">
        <v>7601</v>
      </c>
      <c r="I248" s="5">
        <v>1</v>
      </c>
      <c r="J248" s="5">
        <v>2533</v>
      </c>
      <c r="K248" t="s">
        <v>18</v>
      </c>
      <c r="L248" t="s">
        <v>40</v>
      </c>
      <c r="M248" t="s">
        <v>60</v>
      </c>
      <c r="N248" t="s">
        <v>154</v>
      </c>
      <c r="O248" t="s">
        <v>71</v>
      </c>
      <c r="P248" t="s">
        <v>36</v>
      </c>
      <c r="Q248">
        <f>Table1[[#This Row],[Course_Fee_AED]]-Table1[[#This Row],[Amount_Paid_AED]]</f>
        <v>5068</v>
      </c>
      <c r="R248">
        <f>Table1[[#This Row],[Course_Fee_AED]]-Table1[[#This Row],[pending Revenue]]</f>
        <v>2533</v>
      </c>
    </row>
    <row r="249" spans="1:18" x14ac:dyDescent="0.25">
      <c r="A249" t="s">
        <v>326</v>
      </c>
      <c r="B249" s="2">
        <v>45460</v>
      </c>
      <c r="C249" t="s">
        <v>38</v>
      </c>
      <c r="D249" t="s">
        <v>39</v>
      </c>
      <c r="E249" t="s">
        <v>26</v>
      </c>
      <c r="F249" s="5">
        <v>3</v>
      </c>
      <c r="G249" s="5">
        <v>1</v>
      </c>
      <c r="H249" s="5">
        <v>4661</v>
      </c>
      <c r="I249" s="5">
        <v>1</v>
      </c>
      <c r="J249" s="5">
        <v>1553</v>
      </c>
      <c r="K249" t="s">
        <v>18</v>
      </c>
      <c r="L249" t="s">
        <v>19</v>
      </c>
      <c r="M249" t="s">
        <v>47</v>
      </c>
      <c r="N249" t="s">
        <v>70</v>
      </c>
      <c r="O249" t="s">
        <v>22</v>
      </c>
      <c r="P249" t="s">
        <v>18</v>
      </c>
      <c r="Q249">
        <f>Table1[[#This Row],[Course_Fee_AED]]-Table1[[#This Row],[Amount_Paid_AED]]</f>
        <v>3108</v>
      </c>
      <c r="R249">
        <f>Table1[[#This Row],[Course_Fee_AED]]-Table1[[#This Row],[pending Revenue]]</f>
        <v>1553</v>
      </c>
    </row>
    <row r="250" spans="1:18" x14ac:dyDescent="0.25">
      <c r="A250" t="s">
        <v>327</v>
      </c>
      <c r="B250" s="2">
        <v>45387</v>
      </c>
      <c r="C250" t="s">
        <v>38</v>
      </c>
      <c r="D250" t="s">
        <v>39</v>
      </c>
      <c r="E250" t="s">
        <v>17</v>
      </c>
      <c r="F250" s="5">
        <v>6</v>
      </c>
      <c r="G250" s="5">
        <v>1</v>
      </c>
      <c r="H250" s="5">
        <v>5032</v>
      </c>
      <c r="I250" s="5">
        <v>1</v>
      </c>
      <c r="J250" s="5">
        <v>1677</v>
      </c>
      <c r="K250" t="s">
        <v>18</v>
      </c>
      <c r="L250" t="s">
        <v>57</v>
      </c>
      <c r="M250" t="s">
        <v>60</v>
      </c>
      <c r="N250" t="s">
        <v>34</v>
      </c>
      <c r="O250" t="s">
        <v>71</v>
      </c>
      <c r="P250" t="s">
        <v>36</v>
      </c>
      <c r="Q250">
        <f>Table1[[#This Row],[Course_Fee_AED]]-Table1[[#This Row],[Amount_Paid_AED]]</f>
        <v>3355</v>
      </c>
      <c r="R250">
        <f>Table1[[#This Row],[Course_Fee_AED]]-Table1[[#This Row],[pending Revenue]]</f>
        <v>1677</v>
      </c>
    </row>
    <row r="251" spans="1:18" x14ac:dyDescent="0.25">
      <c r="A251" t="s">
        <v>328</v>
      </c>
      <c r="B251" s="2">
        <v>45573</v>
      </c>
      <c r="C251" t="s">
        <v>100</v>
      </c>
      <c r="D251" t="s">
        <v>101</v>
      </c>
      <c r="E251" t="s">
        <v>17</v>
      </c>
      <c r="F251" s="5">
        <v>6</v>
      </c>
      <c r="G251" s="5">
        <v>1</v>
      </c>
      <c r="H251" s="5">
        <v>4070</v>
      </c>
      <c r="I251" s="5">
        <v>3</v>
      </c>
      <c r="J251" s="5">
        <v>4068</v>
      </c>
      <c r="K251" t="s">
        <v>18</v>
      </c>
      <c r="L251" t="s">
        <v>57</v>
      </c>
      <c r="M251" t="s">
        <v>47</v>
      </c>
      <c r="N251" t="s">
        <v>42</v>
      </c>
      <c r="O251" t="s">
        <v>68</v>
      </c>
      <c r="P251" t="s">
        <v>18</v>
      </c>
      <c r="Q251">
        <f>Table1[[#This Row],[Course_Fee_AED]]-Table1[[#This Row],[Amount_Paid_AED]]</f>
        <v>2</v>
      </c>
      <c r="R251">
        <f>Table1[[#This Row],[Course_Fee_AED]]-Table1[[#This Row],[pending Revenue]]</f>
        <v>4068</v>
      </c>
    </row>
    <row r="252" spans="1:18" x14ac:dyDescent="0.25">
      <c r="A252" t="s">
        <v>329</v>
      </c>
      <c r="B252" s="2">
        <v>45501</v>
      </c>
      <c r="C252" t="s">
        <v>31</v>
      </c>
      <c r="D252" t="s">
        <v>32</v>
      </c>
      <c r="E252" t="s">
        <v>26</v>
      </c>
      <c r="F252" s="5">
        <v>3</v>
      </c>
      <c r="G252" s="5">
        <v>1</v>
      </c>
      <c r="H252" s="5">
        <v>5531</v>
      </c>
      <c r="I252" s="5">
        <v>1</v>
      </c>
      <c r="J252" s="5">
        <v>1843</v>
      </c>
      <c r="K252" t="s">
        <v>18</v>
      </c>
      <c r="L252" t="s">
        <v>57</v>
      </c>
      <c r="M252" t="s">
        <v>63</v>
      </c>
      <c r="N252" t="s">
        <v>42</v>
      </c>
      <c r="O252" t="s">
        <v>22</v>
      </c>
      <c r="P252" t="s">
        <v>36</v>
      </c>
      <c r="Q252">
        <f>Table1[[#This Row],[Course_Fee_AED]]-Table1[[#This Row],[Amount_Paid_AED]]</f>
        <v>3688</v>
      </c>
      <c r="R252">
        <f>Table1[[#This Row],[Course_Fee_AED]]-Table1[[#This Row],[pending Revenue]]</f>
        <v>1843</v>
      </c>
    </row>
    <row r="253" spans="1:18" x14ac:dyDescent="0.25">
      <c r="A253" t="s">
        <v>330</v>
      </c>
      <c r="B253" s="2">
        <v>45398</v>
      </c>
      <c r="C253" t="s">
        <v>82</v>
      </c>
      <c r="D253" t="s">
        <v>83</v>
      </c>
      <c r="E253" t="s">
        <v>26</v>
      </c>
      <c r="F253" s="5">
        <v>3</v>
      </c>
      <c r="G253" s="5">
        <v>1</v>
      </c>
      <c r="H253" s="5">
        <v>11252</v>
      </c>
      <c r="I253" s="5">
        <v>1</v>
      </c>
      <c r="J253" s="5">
        <v>3750</v>
      </c>
      <c r="K253" t="s">
        <v>18</v>
      </c>
      <c r="L253" t="s">
        <v>57</v>
      </c>
      <c r="M253" t="s">
        <v>47</v>
      </c>
      <c r="N253" t="s">
        <v>42</v>
      </c>
      <c r="O253" t="s">
        <v>71</v>
      </c>
      <c r="P253" t="s">
        <v>36</v>
      </c>
      <c r="Q253">
        <f>Table1[[#This Row],[Course_Fee_AED]]-Table1[[#This Row],[Amount_Paid_AED]]</f>
        <v>7502</v>
      </c>
      <c r="R253">
        <f>Table1[[#This Row],[Course_Fee_AED]]-Table1[[#This Row],[pending Revenue]]</f>
        <v>3750</v>
      </c>
    </row>
    <row r="254" spans="1:18" x14ac:dyDescent="0.25">
      <c r="A254" t="s">
        <v>331</v>
      </c>
      <c r="B254" s="2">
        <v>45446</v>
      </c>
      <c r="C254" t="s">
        <v>92</v>
      </c>
      <c r="D254" t="s">
        <v>93</v>
      </c>
      <c r="E254" t="s">
        <v>26</v>
      </c>
      <c r="F254" s="5">
        <v>3</v>
      </c>
      <c r="G254" s="5">
        <v>1</v>
      </c>
      <c r="H254" s="5">
        <v>5114</v>
      </c>
      <c r="I254" s="5">
        <v>3</v>
      </c>
      <c r="J254" s="5">
        <v>5112</v>
      </c>
      <c r="K254" t="s">
        <v>18</v>
      </c>
      <c r="L254" t="s">
        <v>57</v>
      </c>
      <c r="M254" t="s">
        <v>63</v>
      </c>
      <c r="N254" t="s">
        <v>116</v>
      </c>
      <c r="O254" t="s">
        <v>29</v>
      </c>
      <c r="P254" t="s">
        <v>36</v>
      </c>
      <c r="Q254">
        <f>Table1[[#This Row],[Course_Fee_AED]]-Table1[[#This Row],[Amount_Paid_AED]]</f>
        <v>2</v>
      </c>
      <c r="R254">
        <f>Table1[[#This Row],[Course_Fee_AED]]-Table1[[#This Row],[pending Revenue]]</f>
        <v>5112</v>
      </c>
    </row>
    <row r="255" spans="1:18" x14ac:dyDescent="0.25">
      <c r="A255" t="s">
        <v>332</v>
      </c>
      <c r="B255" s="2">
        <v>45374</v>
      </c>
      <c r="C255" t="s">
        <v>45</v>
      </c>
      <c r="D255" t="s">
        <v>46</v>
      </c>
      <c r="E255" t="s">
        <v>26</v>
      </c>
      <c r="F255" s="5">
        <v>3</v>
      </c>
      <c r="G255" s="5">
        <v>1</v>
      </c>
      <c r="H255" s="5">
        <v>5333</v>
      </c>
      <c r="I255" s="5">
        <v>2</v>
      </c>
      <c r="J255" s="5">
        <v>3554</v>
      </c>
      <c r="K255" t="s">
        <v>18</v>
      </c>
      <c r="L255" t="s">
        <v>19</v>
      </c>
      <c r="M255" t="s">
        <v>41</v>
      </c>
      <c r="N255" t="s">
        <v>73</v>
      </c>
      <c r="O255" t="s">
        <v>43</v>
      </c>
      <c r="P255" t="s">
        <v>18</v>
      </c>
      <c r="Q255">
        <f>Table1[[#This Row],[Course_Fee_AED]]-Table1[[#This Row],[Amount_Paid_AED]]</f>
        <v>1779</v>
      </c>
      <c r="R255">
        <f>Table1[[#This Row],[Course_Fee_AED]]-Table1[[#This Row],[pending Revenue]]</f>
        <v>3554</v>
      </c>
    </row>
    <row r="256" spans="1:18" x14ac:dyDescent="0.25">
      <c r="A256" t="s">
        <v>333</v>
      </c>
      <c r="B256" s="2">
        <v>45531</v>
      </c>
      <c r="C256" t="s">
        <v>31</v>
      </c>
      <c r="D256" t="s">
        <v>32</v>
      </c>
      <c r="E256" t="s">
        <v>26</v>
      </c>
      <c r="F256" s="5">
        <v>3</v>
      </c>
      <c r="G256" s="5">
        <v>1</v>
      </c>
      <c r="H256" s="5">
        <v>5183</v>
      </c>
      <c r="I256" s="5">
        <v>2</v>
      </c>
      <c r="J256" s="5">
        <v>3454</v>
      </c>
      <c r="K256" t="s">
        <v>18</v>
      </c>
      <c r="L256" t="s">
        <v>19</v>
      </c>
      <c r="M256" t="s">
        <v>20</v>
      </c>
      <c r="N256" t="s">
        <v>42</v>
      </c>
      <c r="O256" t="s">
        <v>43</v>
      </c>
      <c r="P256" t="s">
        <v>18</v>
      </c>
      <c r="Q256">
        <f>Table1[[#This Row],[Course_Fee_AED]]-Table1[[#This Row],[Amount_Paid_AED]]</f>
        <v>1729</v>
      </c>
      <c r="R256">
        <f>Table1[[#This Row],[Course_Fee_AED]]-Table1[[#This Row],[pending Revenue]]</f>
        <v>3454</v>
      </c>
    </row>
    <row r="257" spans="1:18" x14ac:dyDescent="0.25">
      <c r="A257" t="s">
        <v>334</v>
      </c>
      <c r="B257" s="2">
        <v>45578</v>
      </c>
      <c r="C257" t="s">
        <v>100</v>
      </c>
      <c r="D257" t="s">
        <v>101</v>
      </c>
      <c r="E257" t="s">
        <v>26</v>
      </c>
      <c r="F257" s="5">
        <v>3</v>
      </c>
      <c r="G257" s="5">
        <v>1</v>
      </c>
      <c r="H257" s="5">
        <v>3858</v>
      </c>
      <c r="I257" s="5">
        <v>1</v>
      </c>
      <c r="J257" s="5">
        <v>1286</v>
      </c>
      <c r="K257" t="s">
        <v>18</v>
      </c>
      <c r="L257" t="s">
        <v>19</v>
      </c>
      <c r="M257" t="s">
        <v>63</v>
      </c>
      <c r="N257" t="s">
        <v>61</v>
      </c>
      <c r="O257" t="s">
        <v>29</v>
      </c>
      <c r="P257" t="s">
        <v>36</v>
      </c>
      <c r="Q257">
        <f>Table1[[#This Row],[Course_Fee_AED]]-Table1[[#This Row],[Amount_Paid_AED]]</f>
        <v>2572</v>
      </c>
      <c r="R257">
        <f>Table1[[#This Row],[Course_Fee_AED]]-Table1[[#This Row],[pending Revenue]]</f>
        <v>1286</v>
      </c>
    </row>
    <row r="258" spans="1:18" x14ac:dyDescent="0.25">
      <c r="A258" t="s">
        <v>335</v>
      </c>
      <c r="B258" s="2">
        <v>45513</v>
      </c>
      <c r="C258" t="s">
        <v>92</v>
      </c>
      <c r="D258" t="s">
        <v>93</v>
      </c>
      <c r="E258" t="s">
        <v>17</v>
      </c>
      <c r="F258" s="5">
        <v>6</v>
      </c>
      <c r="G258" s="5">
        <v>1</v>
      </c>
      <c r="H258" s="5">
        <v>6688</v>
      </c>
      <c r="I258" s="5">
        <v>3</v>
      </c>
      <c r="J258" s="5">
        <v>6687</v>
      </c>
      <c r="K258" t="s">
        <v>18</v>
      </c>
      <c r="L258" t="s">
        <v>57</v>
      </c>
      <c r="M258" t="s">
        <v>63</v>
      </c>
      <c r="N258" t="s">
        <v>116</v>
      </c>
      <c r="O258" t="s">
        <v>68</v>
      </c>
      <c r="P258" t="s">
        <v>18</v>
      </c>
      <c r="Q258">
        <f>Table1[[#This Row],[Course_Fee_AED]]-Table1[[#This Row],[Amount_Paid_AED]]</f>
        <v>1</v>
      </c>
      <c r="R258">
        <f>Table1[[#This Row],[Course_Fee_AED]]-Table1[[#This Row],[pending Revenue]]</f>
        <v>6687</v>
      </c>
    </row>
    <row r="259" spans="1:18" x14ac:dyDescent="0.25">
      <c r="A259" t="s">
        <v>336</v>
      </c>
      <c r="B259" s="2">
        <v>45415</v>
      </c>
      <c r="C259" t="s">
        <v>45</v>
      </c>
      <c r="D259" t="s">
        <v>46</v>
      </c>
      <c r="E259" t="s">
        <v>17</v>
      </c>
      <c r="F259" s="5">
        <v>6</v>
      </c>
      <c r="G259" s="5">
        <v>1</v>
      </c>
      <c r="H259" s="5">
        <v>6449</v>
      </c>
      <c r="I259" s="5">
        <v>2</v>
      </c>
      <c r="J259" s="5">
        <v>4298</v>
      </c>
      <c r="K259" t="s">
        <v>18</v>
      </c>
      <c r="L259" t="s">
        <v>19</v>
      </c>
      <c r="M259" t="s">
        <v>27</v>
      </c>
      <c r="N259" t="s">
        <v>95</v>
      </c>
      <c r="O259" t="s">
        <v>22</v>
      </c>
      <c r="P259" t="s">
        <v>36</v>
      </c>
      <c r="Q259">
        <f>Table1[[#This Row],[Course_Fee_AED]]-Table1[[#This Row],[Amount_Paid_AED]]</f>
        <v>2151</v>
      </c>
      <c r="R259">
        <f>Table1[[#This Row],[Course_Fee_AED]]-Table1[[#This Row],[pending Revenue]]</f>
        <v>4298</v>
      </c>
    </row>
    <row r="260" spans="1:18" x14ac:dyDescent="0.25">
      <c r="A260" t="s">
        <v>337</v>
      </c>
      <c r="B260" s="2">
        <v>45555</v>
      </c>
      <c r="C260" t="s">
        <v>92</v>
      </c>
      <c r="D260" t="s">
        <v>93</v>
      </c>
      <c r="E260" t="s">
        <v>26</v>
      </c>
      <c r="F260" s="5">
        <v>3</v>
      </c>
      <c r="G260" s="5">
        <v>1</v>
      </c>
      <c r="H260" s="5">
        <v>7761</v>
      </c>
      <c r="I260" s="5">
        <v>2</v>
      </c>
      <c r="J260" s="5">
        <v>5174</v>
      </c>
      <c r="K260" t="s">
        <v>18</v>
      </c>
      <c r="L260" t="s">
        <v>57</v>
      </c>
      <c r="M260" t="s">
        <v>41</v>
      </c>
      <c r="N260" t="s">
        <v>70</v>
      </c>
      <c r="O260" t="s">
        <v>35</v>
      </c>
      <c r="P260" t="s">
        <v>36</v>
      </c>
      <c r="Q260">
        <f>Table1[[#This Row],[Course_Fee_AED]]-Table1[[#This Row],[Amount_Paid_AED]]</f>
        <v>2587</v>
      </c>
      <c r="R260">
        <f>Table1[[#This Row],[Course_Fee_AED]]-Table1[[#This Row],[pending Revenue]]</f>
        <v>5174</v>
      </c>
    </row>
    <row r="261" spans="1:18" x14ac:dyDescent="0.25">
      <c r="A261" t="s">
        <v>338</v>
      </c>
      <c r="B261" s="2">
        <v>45493</v>
      </c>
      <c r="C261" t="s">
        <v>66</v>
      </c>
      <c r="D261" t="s">
        <v>56</v>
      </c>
      <c r="E261" t="s">
        <v>26</v>
      </c>
      <c r="F261" s="5">
        <v>3</v>
      </c>
      <c r="G261" s="5">
        <v>1</v>
      </c>
      <c r="H261" s="5">
        <v>9504</v>
      </c>
      <c r="I261" s="5">
        <v>2</v>
      </c>
      <c r="J261" s="5">
        <v>6336</v>
      </c>
      <c r="K261" t="s">
        <v>18</v>
      </c>
      <c r="L261" t="s">
        <v>19</v>
      </c>
      <c r="M261" t="s">
        <v>63</v>
      </c>
      <c r="N261" t="s">
        <v>116</v>
      </c>
      <c r="O261" t="s">
        <v>49</v>
      </c>
      <c r="P261" t="s">
        <v>36</v>
      </c>
      <c r="Q261">
        <f>Table1[[#This Row],[Course_Fee_AED]]-Table1[[#This Row],[Amount_Paid_AED]]</f>
        <v>3168</v>
      </c>
      <c r="R261">
        <f>Table1[[#This Row],[Course_Fee_AED]]-Table1[[#This Row],[pending Revenue]]</f>
        <v>6336</v>
      </c>
    </row>
    <row r="262" spans="1:18" x14ac:dyDescent="0.25">
      <c r="A262" t="s">
        <v>339</v>
      </c>
      <c r="B262" s="2">
        <v>45385</v>
      </c>
      <c r="C262" t="s">
        <v>51</v>
      </c>
      <c r="D262" t="s">
        <v>52</v>
      </c>
      <c r="E262" t="s">
        <v>17</v>
      </c>
      <c r="F262" s="5">
        <v>6</v>
      </c>
      <c r="G262" s="5">
        <v>1</v>
      </c>
      <c r="H262" s="5">
        <v>3788</v>
      </c>
      <c r="I262" s="5">
        <v>2</v>
      </c>
      <c r="J262" s="5">
        <v>2524</v>
      </c>
      <c r="K262" t="s">
        <v>18</v>
      </c>
      <c r="L262" t="s">
        <v>40</v>
      </c>
      <c r="M262" t="s">
        <v>60</v>
      </c>
      <c r="N262" t="s">
        <v>79</v>
      </c>
      <c r="O262" t="s">
        <v>29</v>
      </c>
      <c r="P262" t="s">
        <v>36</v>
      </c>
      <c r="Q262">
        <f>Table1[[#This Row],[Course_Fee_AED]]-Table1[[#This Row],[Amount_Paid_AED]]</f>
        <v>1264</v>
      </c>
      <c r="R262">
        <f>Table1[[#This Row],[Course_Fee_AED]]-Table1[[#This Row],[pending Revenue]]</f>
        <v>2524</v>
      </c>
    </row>
    <row r="263" spans="1:18" x14ac:dyDescent="0.25">
      <c r="A263" t="s">
        <v>340</v>
      </c>
      <c r="B263" s="2">
        <v>45392</v>
      </c>
      <c r="C263" t="s">
        <v>15</v>
      </c>
      <c r="D263" t="s">
        <v>16</v>
      </c>
      <c r="E263" t="s">
        <v>17</v>
      </c>
      <c r="F263" s="5">
        <v>6</v>
      </c>
      <c r="G263" s="5">
        <v>1</v>
      </c>
      <c r="H263" s="5">
        <v>7223</v>
      </c>
      <c r="I263" s="5">
        <v>2</v>
      </c>
      <c r="J263" s="5">
        <v>4814</v>
      </c>
      <c r="K263" t="s">
        <v>18</v>
      </c>
      <c r="L263" t="s">
        <v>40</v>
      </c>
      <c r="M263" t="s">
        <v>47</v>
      </c>
      <c r="N263" t="s">
        <v>34</v>
      </c>
      <c r="O263" t="s">
        <v>35</v>
      </c>
      <c r="P263" t="s">
        <v>36</v>
      </c>
      <c r="Q263">
        <f>Table1[[#This Row],[Course_Fee_AED]]-Table1[[#This Row],[Amount_Paid_AED]]</f>
        <v>2409</v>
      </c>
      <c r="R263">
        <f>Table1[[#This Row],[Course_Fee_AED]]-Table1[[#This Row],[pending Revenue]]</f>
        <v>4814</v>
      </c>
    </row>
    <row r="264" spans="1:18" x14ac:dyDescent="0.25">
      <c r="A264" t="s">
        <v>341</v>
      </c>
      <c r="B264" s="2">
        <v>45630</v>
      </c>
      <c r="C264" t="s">
        <v>92</v>
      </c>
      <c r="D264" t="s">
        <v>93</v>
      </c>
      <c r="E264" t="s">
        <v>17</v>
      </c>
      <c r="F264" s="5">
        <v>6</v>
      </c>
      <c r="G264" s="5">
        <v>1</v>
      </c>
      <c r="H264" s="5">
        <v>4836</v>
      </c>
      <c r="I264" s="5">
        <v>3</v>
      </c>
      <c r="J264" s="5">
        <v>4836</v>
      </c>
      <c r="K264" t="s">
        <v>33</v>
      </c>
      <c r="L264" t="s">
        <v>19</v>
      </c>
      <c r="M264" t="s">
        <v>20</v>
      </c>
      <c r="N264" t="s">
        <v>70</v>
      </c>
      <c r="O264" t="s">
        <v>68</v>
      </c>
      <c r="P264" t="s">
        <v>18</v>
      </c>
      <c r="Q264">
        <f>Table1[[#This Row],[Course_Fee_AED]]-Table1[[#This Row],[Amount_Paid_AED]]</f>
        <v>0</v>
      </c>
      <c r="R264">
        <f>Table1[[#This Row],[Course_Fee_AED]]-Table1[[#This Row],[pending Revenue]]</f>
        <v>4836</v>
      </c>
    </row>
    <row r="265" spans="1:18" x14ac:dyDescent="0.25">
      <c r="A265" t="s">
        <v>342</v>
      </c>
      <c r="B265" s="2">
        <v>45393</v>
      </c>
      <c r="C265" t="s">
        <v>106</v>
      </c>
      <c r="D265" t="s">
        <v>107</v>
      </c>
      <c r="E265" t="s">
        <v>26</v>
      </c>
      <c r="F265" s="5">
        <v>3</v>
      </c>
      <c r="G265" s="5">
        <v>1</v>
      </c>
      <c r="H265" s="5">
        <v>8774</v>
      </c>
      <c r="I265" s="5">
        <v>2</v>
      </c>
      <c r="J265" s="5">
        <v>5848</v>
      </c>
      <c r="K265" t="s">
        <v>18</v>
      </c>
      <c r="L265" t="s">
        <v>57</v>
      </c>
      <c r="M265" t="s">
        <v>41</v>
      </c>
      <c r="N265" t="s">
        <v>28</v>
      </c>
      <c r="O265" t="s">
        <v>68</v>
      </c>
      <c r="P265" t="s">
        <v>18</v>
      </c>
      <c r="Q265">
        <f>Table1[[#This Row],[Course_Fee_AED]]-Table1[[#This Row],[Amount_Paid_AED]]</f>
        <v>2926</v>
      </c>
      <c r="R265">
        <f>Table1[[#This Row],[Course_Fee_AED]]-Table1[[#This Row],[pending Revenue]]</f>
        <v>5848</v>
      </c>
    </row>
    <row r="266" spans="1:18" x14ac:dyDescent="0.25">
      <c r="A266" t="s">
        <v>343</v>
      </c>
      <c r="B266" s="2">
        <v>45445</v>
      </c>
      <c r="C266" t="s">
        <v>113</v>
      </c>
      <c r="D266" t="s">
        <v>93</v>
      </c>
      <c r="E266" t="s">
        <v>17</v>
      </c>
      <c r="F266" s="5">
        <v>6</v>
      </c>
      <c r="G266" s="5">
        <v>1</v>
      </c>
      <c r="H266" s="5">
        <v>3062</v>
      </c>
      <c r="I266" s="5">
        <v>1</v>
      </c>
      <c r="J266" s="5">
        <v>1020</v>
      </c>
      <c r="K266" t="s">
        <v>18</v>
      </c>
      <c r="L266" t="s">
        <v>57</v>
      </c>
      <c r="M266" t="s">
        <v>63</v>
      </c>
      <c r="N266" t="s">
        <v>90</v>
      </c>
      <c r="O266" t="s">
        <v>68</v>
      </c>
      <c r="P266" t="s">
        <v>18</v>
      </c>
      <c r="Q266">
        <f>Table1[[#This Row],[Course_Fee_AED]]-Table1[[#This Row],[Amount_Paid_AED]]</f>
        <v>2042</v>
      </c>
      <c r="R266">
        <f>Table1[[#This Row],[Course_Fee_AED]]-Table1[[#This Row],[pending Revenue]]</f>
        <v>1020</v>
      </c>
    </row>
    <row r="267" spans="1:18" x14ac:dyDescent="0.25">
      <c r="A267" t="s">
        <v>344</v>
      </c>
      <c r="B267" s="2">
        <v>45490</v>
      </c>
      <c r="C267" t="s">
        <v>82</v>
      </c>
      <c r="D267" t="s">
        <v>83</v>
      </c>
      <c r="E267" t="s">
        <v>26</v>
      </c>
      <c r="F267" s="5">
        <v>3</v>
      </c>
      <c r="G267" s="5">
        <v>1</v>
      </c>
      <c r="H267" s="5">
        <v>13899</v>
      </c>
      <c r="I267" s="5">
        <v>3</v>
      </c>
      <c r="J267" s="5">
        <v>13899</v>
      </c>
      <c r="K267" t="s">
        <v>33</v>
      </c>
      <c r="L267" t="s">
        <v>19</v>
      </c>
      <c r="M267" t="s">
        <v>27</v>
      </c>
      <c r="N267" t="s">
        <v>154</v>
      </c>
      <c r="O267" t="s">
        <v>71</v>
      </c>
      <c r="P267" t="s">
        <v>36</v>
      </c>
      <c r="Q267">
        <f>Table1[[#This Row],[Course_Fee_AED]]-Table1[[#This Row],[Amount_Paid_AED]]</f>
        <v>0</v>
      </c>
      <c r="R267">
        <f>Table1[[#This Row],[Course_Fee_AED]]-Table1[[#This Row],[pending Revenue]]</f>
        <v>13899</v>
      </c>
    </row>
    <row r="268" spans="1:18" x14ac:dyDescent="0.25">
      <c r="A268" t="s">
        <v>345</v>
      </c>
      <c r="B268" s="2">
        <v>45539</v>
      </c>
      <c r="C268" t="s">
        <v>24</v>
      </c>
      <c r="D268" t="s">
        <v>25</v>
      </c>
      <c r="E268" t="s">
        <v>26</v>
      </c>
      <c r="F268" s="5">
        <v>3</v>
      </c>
      <c r="G268" s="5">
        <v>1</v>
      </c>
      <c r="H268" s="5">
        <v>6853</v>
      </c>
      <c r="I268" s="5">
        <v>3</v>
      </c>
      <c r="J268" s="5">
        <v>6852</v>
      </c>
      <c r="K268" t="s">
        <v>18</v>
      </c>
      <c r="L268" t="s">
        <v>57</v>
      </c>
      <c r="M268" t="s">
        <v>41</v>
      </c>
      <c r="N268" t="s">
        <v>48</v>
      </c>
      <c r="O268" t="s">
        <v>43</v>
      </c>
      <c r="P268" t="s">
        <v>36</v>
      </c>
      <c r="Q268">
        <f>Table1[[#This Row],[Course_Fee_AED]]-Table1[[#This Row],[Amount_Paid_AED]]</f>
        <v>1</v>
      </c>
      <c r="R268">
        <f>Table1[[#This Row],[Course_Fee_AED]]-Table1[[#This Row],[pending Revenue]]</f>
        <v>6852</v>
      </c>
    </row>
    <row r="269" spans="1:18" x14ac:dyDescent="0.25">
      <c r="A269" t="s">
        <v>346</v>
      </c>
      <c r="B269" s="2">
        <v>45539</v>
      </c>
      <c r="C269" t="s">
        <v>92</v>
      </c>
      <c r="D269" t="s">
        <v>93</v>
      </c>
      <c r="E269" t="s">
        <v>26</v>
      </c>
      <c r="F269" s="5">
        <v>3</v>
      </c>
      <c r="G269" s="5">
        <v>1</v>
      </c>
      <c r="H269" s="5">
        <v>6712</v>
      </c>
      <c r="I269" s="5">
        <v>2</v>
      </c>
      <c r="J269" s="5">
        <v>4474</v>
      </c>
      <c r="K269" t="s">
        <v>18</v>
      </c>
      <c r="L269" t="s">
        <v>19</v>
      </c>
      <c r="M269" t="s">
        <v>20</v>
      </c>
      <c r="N269" t="s">
        <v>116</v>
      </c>
      <c r="O269" t="s">
        <v>29</v>
      </c>
      <c r="P269" t="s">
        <v>18</v>
      </c>
      <c r="Q269">
        <f>Table1[[#This Row],[Course_Fee_AED]]-Table1[[#This Row],[Amount_Paid_AED]]</f>
        <v>2238</v>
      </c>
      <c r="R269">
        <f>Table1[[#This Row],[Course_Fee_AED]]-Table1[[#This Row],[pending Revenue]]</f>
        <v>4474</v>
      </c>
    </row>
    <row r="270" spans="1:18" x14ac:dyDescent="0.25">
      <c r="A270" t="s">
        <v>347</v>
      </c>
      <c r="B270" s="2">
        <v>45509</v>
      </c>
      <c r="C270" t="s">
        <v>24</v>
      </c>
      <c r="D270" t="s">
        <v>25</v>
      </c>
      <c r="E270" t="s">
        <v>17</v>
      </c>
      <c r="F270" s="5">
        <v>6</v>
      </c>
      <c r="G270" s="5">
        <v>1</v>
      </c>
      <c r="H270" s="5">
        <v>6746</v>
      </c>
      <c r="I270" s="5">
        <v>3</v>
      </c>
      <c r="J270" s="5">
        <v>6744</v>
      </c>
      <c r="K270" t="s">
        <v>18</v>
      </c>
      <c r="L270" t="s">
        <v>40</v>
      </c>
      <c r="M270" t="s">
        <v>60</v>
      </c>
      <c r="N270" t="s">
        <v>28</v>
      </c>
      <c r="O270" t="s">
        <v>71</v>
      </c>
      <c r="P270" t="s">
        <v>18</v>
      </c>
      <c r="Q270">
        <f>Table1[[#This Row],[Course_Fee_AED]]-Table1[[#This Row],[Amount_Paid_AED]]</f>
        <v>2</v>
      </c>
      <c r="R270">
        <f>Table1[[#This Row],[Course_Fee_AED]]-Table1[[#This Row],[pending Revenue]]</f>
        <v>6744</v>
      </c>
    </row>
    <row r="271" spans="1:18" x14ac:dyDescent="0.25">
      <c r="A271" t="s">
        <v>348</v>
      </c>
      <c r="B271" s="2">
        <v>45575</v>
      </c>
      <c r="C271" t="s">
        <v>15</v>
      </c>
      <c r="D271" t="s">
        <v>16</v>
      </c>
      <c r="E271" t="s">
        <v>26</v>
      </c>
      <c r="F271" s="5">
        <v>3</v>
      </c>
      <c r="G271" s="5">
        <v>1</v>
      </c>
      <c r="H271" s="5">
        <v>5458</v>
      </c>
      <c r="I271" s="5">
        <v>3</v>
      </c>
      <c r="J271" s="5">
        <v>5457</v>
      </c>
      <c r="K271" t="s">
        <v>18</v>
      </c>
      <c r="L271" t="s">
        <v>19</v>
      </c>
      <c r="M271" t="s">
        <v>63</v>
      </c>
      <c r="N271" t="s">
        <v>48</v>
      </c>
      <c r="O271" t="s">
        <v>87</v>
      </c>
      <c r="P271" t="s">
        <v>36</v>
      </c>
      <c r="Q271">
        <f>Table1[[#This Row],[Course_Fee_AED]]-Table1[[#This Row],[Amount_Paid_AED]]</f>
        <v>1</v>
      </c>
      <c r="R271">
        <f>Table1[[#This Row],[Course_Fee_AED]]-Table1[[#This Row],[pending Revenue]]</f>
        <v>5457</v>
      </c>
    </row>
    <row r="272" spans="1:18" x14ac:dyDescent="0.25">
      <c r="A272" t="s">
        <v>349</v>
      </c>
      <c r="B272" s="2">
        <v>45410</v>
      </c>
      <c r="C272" t="s">
        <v>45</v>
      </c>
      <c r="D272" t="s">
        <v>46</v>
      </c>
      <c r="E272" t="s">
        <v>26</v>
      </c>
      <c r="F272" s="5">
        <v>3</v>
      </c>
      <c r="G272" s="5">
        <v>1</v>
      </c>
      <c r="H272" s="5">
        <v>4188</v>
      </c>
      <c r="I272" s="5">
        <v>1</v>
      </c>
      <c r="J272" s="5">
        <v>1396</v>
      </c>
      <c r="K272" t="s">
        <v>18</v>
      </c>
      <c r="L272" t="s">
        <v>57</v>
      </c>
      <c r="M272" t="s">
        <v>63</v>
      </c>
      <c r="N272" t="s">
        <v>21</v>
      </c>
      <c r="O272" t="s">
        <v>64</v>
      </c>
      <c r="P272" t="s">
        <v>36</v>
      </c>
      <c r="Q272">
        <f>Table1[[#This Row],[Course_Fee_AED]]-Table1[[#This Row],[Amount_Paid_AED]]</f>
        <v>2792</v>
      </c>
      <c r="R272">
        <f>Table1[[#This Row],[Course_Fee_AED]]-Table1[[#This Row],[pending Revenue]]</f>
        <v>1396</v>
      </c>
    </row>
    <row r="273" spans="1:18" x14ac:dyDescent="0.25">
      <c r="A273" t="s">
        <v>350</v>
      </c>
      <c r="B273" s="2">
        <v>45536</v>
      </c>
      <c r="C273" t="s">
        <v>45</v>
      </c>
      <c r="D273" t="s">
        <v>46</v>
      </c>
      <c r="E273" t="s">
        <v>26</v>
      </c>
      <c r="F273" s="5">
        <v>3</v>
      </c>
      <c r="G273" s="5">
        <v>1</v>
      </c>
      <c r="H273" s="5">
        <v>4837</v>
      </c>
      <c r="I273" s="5">
        <v>2</v>
      </c>
      <c r="J273" s="5">
        <v>3224</v>
      </c>
      <c r="K273" t="s">
        <v>18</v>
      </c>
      <c r="L273" t="s">
        <v>19</v>
      </c>
      <c r="M273" t="s">
        <v>27</v>
      </c>
      <c r="N273" t="s">
        <v>90</v>
      </c>
      <c r="O273" t="s">
        <v>71</v>
      </c>
      <c r="P273" t="s">
        <v>36</v>
      </c>
      <c r="Q273">
        <f>Table1[[#This Row],[Course_Fee_AED]]-Table1[[#This Row],[Amount_Paid_AED]]</f>
        <v>1613</v>
      </c>
      <c r="R273">
        <f>Table1[[#This Row],[Course_Fee_AED]]-Table1[[#This Row],[pending Revenue]]</f>
        <v>3224</v>
      </c>
    </row>
    <row r="274" spans="1:18" x14ac:dyDescent="0.25">
      <c r="A274" t="s">
        <v>351</v>
      </c>
      <c r="B274" s="2">
        <v>45327</v>
      </c>
      <c r="C274" t="s">
        <v>106</v>
      </c>
      <c r="D274" t="s">
        <v>107</v>
      </c>
      <c r="E274" t="s">
        <v>17</v>
      </c>
      <c r="F274" s="5">
        <v>6</v>
      </c>
      <c r="G274" s="5">
        <v>1</v>
      </c>
      <c r="H274" s="5">
        <v>8835</v>
      </c>
      <c r="I274" s="5">
        <v>1</v>
      </c>
      <c r="J274" s="5">
        <v>2945</v>
      </c>
      <c r="K274" t="s">
        <v>18</v>
      </c>
      <c r="L274" t="s">
        <v>40</v>
      </c>
      <c r="M274" t="s">
        <v>47</v>
      </c>
      <c r="N274" t="s">
        <v>154</v>
      </c>
      <c r="O274" t="s">
        <v>43</v>
      </c>
      <c r="P274" t="s">
        <v>18</v>
      </c>
      <c r="Q274">
        <f>Table1[[#This Row],[Course_Fee_AED]]-Table1[[#This Row],[Amount_Paid_AED]]</f>
        <v>5890</v>
      </c>
      <c r="R274">
        <f>Table1[[#This Row],[Course_Fee_AED]]-Table1[[#This Row],[pending Revenue]]</f>
        <v>2945</v>
      </c>
    </row>
    <row r="275" spans="1:18" x14ac:dyDescent="0.25">
      <c r="A275" t="s">
        <v>352</v>
      </c>
      <c r="B275" s="2">
        <v>45465</v>
      </c>
      <c r="C275" t="s">
        <v>75</v>
      </c>
      <c r="D275" t="s">
        <v>76</v>
      </c>
      <c r="E275" t="s">
        <v>17</v>
      </c>
      <c r="F275" s="5">
        <v>6</v>
      </c>
      <c r="G275" s="5">
        <v>1</v>
      </c>
      <c r="H275" s="5">
        <v>8096</v>
      </c>
      <c r="I275" s="5">
        <v>2</v>
      </c>
      <c r="J275" s="5">
        <v>5396</v>
      </c>
      <c r="K275" t="s">
        <v>18</v>
      </c>
      <c r="L275" t="s">
        <v>19</v>
      </c>
      <c r="M275" t="s">
        <v>60</v>
      </c>
      <c r="N275" t="s">
        <v>86</v>
      </c>
      <c r="O275" t="s">
        <v>68</v>
      </c>
      <c r="P275" t="s">
        <v>18</v>
      </c>
      <c r="Q275">
        <f>Table1[[#This Row],[Course_Fee_AED]]-Table1[[#This Row],[Amount_Paid_AED]]</f>
        <v>2700</v>
      </c>
      <c r="R275">
        <f>Table1[[#This Row],[Course_Fee_AED]]-Table1[[#This Row],[pending Revenue]]</f>
        <v>5396</v>
      </c>
    </row>
    <row r="276" spans="1:18" x14ac:dyDescent="0.25">
      <c r="A276" t="s">
        <v>353</v>
      </c>
      <c r="B276" s="2">
        <v>45313</v>
      </c>
      <c r="C276" t="s">
        <v>15</v>
      </c>
      <c r="D276" t="s">
        <v>16</v>
      </c>
      <c r="E276" t="s">
        <v>17</v>
      </c>
      <c r="F276" s="5">
        <v>6</v>
      </c>
      <c r="G276" s="5">
        <v>1</v>
      </c>
      <c r="H276" s="5">
        <v>6681</v>
      </c>
      <c r="I276" s="5">
        <v>3</v>
      </c>
      <c r="J276" s="5">
        <v>6681</v>
      </c>
      <c r="K276" t="s">
        <v>33</v>
      </c>
      <c r="L276" t="s">
        <v>40</v>
      </c>
      <c r="M276" t="s">
        <v>60</v>
      </c>
      <c r="N276" t="s">
        <v>90</v>
      </c>
      <c r="O276" t="s">
        <v>58</v>
      </c>
      <c r="P276" t="s">
        <v>18</v>
      </c>
      <c r="Q276">
        <f>Table1[[#This Row],[Course_Fee_AED]]-Table1[[#This Row],[Amount_Paid_AED]]</f>
        <v>0</v>
      </c>
      <c r="R276">
        <f>Table1[[#This Row],[Course_Fee_AED]]-Table1[[#This Row],[pending Revenue]]</f>
        <v>6681</v>
      </c>
    </row>
    <row r="277" spans="1:18" x14ac:dyDescent="0.25">
      <c r="A277" t="s">
        <v>354</v>
      </c>
      <c r="B277" s="2">
        <v>45557</v>
      </c>
      <c r="C277" t="s">
        <v>92</v>
      </c>
      <c r="D277" t="s">
        <v>93</v>
      </c>
      <c r="E277" t="s">
        <v>17</v>
      </c>
      <c r="F277" s="5">
        <v>6</v>
      </c>
      <c r="G277" s="5">
        <v>1</v>
      </c>
      <c r="H277" s="5">
        <v>6755</v>
      </c>
      <c r="I277" s="5">
        <v>3</v>
      </c>
      <c r="J277" s="5">
        <v>6753</v>
      </c>
      <c r="K277" t="s">
        <v>18</v>
      </c>
      <c r="L277" t="s">
        <v>57</v>
      </c>
      <c r="M277" t="s">
        <v>47</v>
      </c>
      <c r="N277" t="s">
        <v>34</v>
      </c>
      <c r="O277" t="s">
        <v>68</v>
      </c>
      <c r="P277" t="s">
        <v>18</v>
      </c>
      <c r="Q277">
        <f>Table1[[#This Row],[Course_Fee_AED]]-Table1[[#This Row],[Amount_Paid_AED]]</f>
        <v>2</v>
      </c>
      <c r="R277">
        <f>Table1[[#This Row],[Course_Fee_AED]]-Table1[[#This Row],[pending Revenue]]</f>
        <v>6753</v>
      </c>
    </row>
    <row r="278" spans="1:18" x14ac:dyDescent="0.25">
      <c r="A278" t="s">
        <v>355</v>
      </c>
      <c r="B278" s="2">
        <v>45386</v>
      </c>
      <c r="C278" t="s">
        <v>75</v>
      </c>
      <c r="D278" t="s">
        <v>76</v>
      </c>
      <c r="E278" t="s">
        <v>26</v>
      </c>
      <c r="F278" s="5">
        <v>3</v>
      </c>
      <c r="G278" s="5">
        <v>1</v>
      </c>
      <c r="H278" s="5">
        <v>12718</v>
      </c>
      <c r="I278" s="5">
        <v>1</v>
      </c>
      <c r="J278" s="5">
        <v>4239</v>
      </c>
      <c r="K278" t="s">
        <v>18</v>
      </c>
      <c r="L278" t="s">
        <v>19</v>
      </c>
      <c r="M278" t="s">
        <v>60</v>
      </c>
      <c r="N278" t="s">
        <v>79</v>
      </c>
      <c r="O278" t="s">
        <v>58</v>
      </c>
      <c r="P278" t="s">
        <v>36</v>
      </c>
      <c r="Q278">
        <f>Table1[[#This Row],[Course_Fee_AED]]-Table1[[#This Row],[Amount_Paid_AED]]</f>
        <v>8479</v>
      </c>
      <c r="R278">
        <f>Table1[[#This Row],[Course_Fee_AED]]-Table1[[#This Row],[pending Revenue]]</f>
        <v>4239</v>
      </c>
    </row>
    <row r="279" spans="1:18" x14ac:dyDescent="0.25">
      <c r="A279" t="s">
        <v>356</v>
      </c>
      <c r="B279" s="2">
        <v>45652</v>
      </c>
      <c r="C279" t="s">
        <v>38</v>
      </c>
      <c r="D279" t="s">
        <v>39</v>
      </c>
      <c r="E279" t="s">
        <v>26</v>
      </c>
      <c r="F279" s="5">
        <v>3</v>
      </c>
      <c r="G279" s="5">
        <v>1</v>
      </c>
      <c r="H279" s="5">
        <v>5544</v>
      </c>
      <c r="I279" s="5">
        <v>1</v>
      </c>
      <c r="J279" s="5">
        <v>1848</v>
      </c>
      <c r="K279" t="s">
        <v>18</v>
      </c>
      <c r="L279" t="s">
        <v>19</v>
      </c>
      <c r="M279" t="s">
        <v>63</v>
      </c>
      <c r="N279" t="s">
        <v>42</v>
      </c>
      <c r="O279" t="s">
        <v>43</v>
      </c>
      <c r="P279" t="s">
        <v>18</v>
      </c>
      <c r="Q279">
        <f>Table1[[#This Row],[Course_Fee_AED]]-Table1[[#This Row],[Amount_Paid_AED]]</f>
        <v>3696</v>
      </c>
      <c r="R279">
        <f>Table1[[#This Row],[Course_Fee_AED]]-Table1[[#This Row],[pending Revenue]]</f>
        <v>1848</v>
      </c>
    </row>
    <row r="280" spans="1:18" x14ac:dyDescent="0.25">
      <c r="A280" t="s">
        <v>357</v>
      </c>
      <c r="B280" s="2">
        <v>45612</v>
      </c>
      <c r="C280" t="s">
        <v>66</v>
      </c>
      <c r="D280" t="s">
        <v>56</v>
      </c>
      <c r="E280" t="s">
        <v>26</v>
      </c>
      <c r="F280" s="5">
        <v>3</v>
      </c>
      <c r="G280" s="5">
        <v>1</v>
      </c>
      <c r="H280" s="5">
        <v>9262</v>
      </c>
      <c r="I280" s="5">
        <v>1</v>
      </c>
      <c r="J280" s="5">
        <v>3087</v>
      </c>
      <c r="K280" t="s">
        <v>18</v>
      </c>
      <c r="L280" t="s">
        <v>57</v>
      </c>
      <c r="M280" t="s">
        <v>60</v>
      </c>
      <c r="N280" t="s">
        <v>95</v>
      </c>
      <c r="O280" t="s">
        <v>29</v>
      </c>
      <c r="P280" t="s">
        <v>36</v>
      </c>
      <c r="Q280">
        <f>Table1[[#This Row],[Course_Fee_AED]]-Table1[[#This Row],[Amount_Paid_AED]]</f>
        <v>6175</v>
      </c>
      <c r="R280">
        <f>Table1[[#This Row],[Course_Fee_AED]]-Table1[[#This Row],[pending Revenue]]</f>
        <v>3087</v>
      </c>
    </row>
    <row r="281" spans="1:18" x14ac:dyDescent="0.25">
      <c r="A281" t="s">
        <v>358</v>
      </c>
      <c r="B281" s="2">
        <v>45423</v>
      </c>
      <c r="C281" t="s">
        <v>66</v>
      </c>
      <c r="D281" t="s">
        <v>56</v>
      </c>
      <c r="E281" t="s">
        <v>26</v>
      </c>
      <c r="F281" s="5">
        <v>3</v>
      </c>
      <c r="G281" s="5">
        <v>1</v>
      </c>
      <c r="H281" s="5">
        <v>8669</v>
      </c>
      <c r="I281" s="5">
        <v>2</v>
      </c>
      <c r="J281" s="5">
        <v>5778</v>
      </c>
      <c r="K281" t="s">
        <v>18</v>
      </c>
      <c r="L281" t="s">
        <v>40</v>
      </c>
      <c r="M281" t="s">
        <v>47</v>
      </c>
      <c r="N281" t="s">
        <v>116</v>
      </c>
      <c r="O281" t="s">
        <v>87</v>
      </c>
      <c r="P281" t="s">
        <v>18</v>
      </c>
      <c r="Q281">
        <f>Table1[[#This Row],[Course_Fee_AED]]-Table1[[#This Row],[Amount_Paid_AED]]</f>
        <v>2891</v>
      </c>
      <c r="R281">
        <f>Table1[[#This Row],[Course_Fee_AED]]-Table1[[#This Row],[pending Revenue]]</f>
        <v>5778</v>
      </c>
    </row>
    <row r="282" spans="1:18" x14ac:dyDescent="0.25">
      <c r="A282" t="s">
        <v>359</v>
      </c>
      <c r="B282" s="2">
        <v>45446</v>
      </c>
      <c r="C282" t="s">
        <v>38</v>
      </c>
      <c r="D282" t="s">
        <v>39</v>
      </c>
      <c r="E282" t="s">
        <v>17</v>
      </c>
      <c r="F282" s="5">
        <v>6</v>
      </c>
      <c r="G282" s="5">
        <v>1</v>
      </c>
      <c r="H282" s="5">
        <v>4922</v>
      </c>
      <c r="I282" s="5">
        <v>2</v>
      </c>
      <c r="J282" s="5">
        <v>3280</v>
      </c>
      <c r="K282" t="s">
        <v>18</v>
      </c>
      <c r="L282" t="s">
        <v>40</v>
      </c>
      <c r="M282" t="s">
        <v>27</v>
      </c>
      <c r="N282" t="s">
        <v>86</v>
      </c>
      <c r="O282" t="s">
        <v>35</v>
      </c>
      <c r="P282" t="s">
        <v>36</v>
      </c>
      <c r="Q282">
        <f>Table1[[#This Row],[Course_Fee_AED]]-Table1[[#This Row],[Amount_Paid_AED]]</f>
        <v>1642</v>
      </c>
      <c r="R282">
        <f>Table1[[#This Row],[Course_Fee_AED]]-Table1[[#This Row],[pending Revenue]]</f>
        <v>3280</v>
      </c>
    </row>
    <row r="283" spans="1:18" x14ac:dyDescent="0.25">
      <c r="A283" t="s">
        <v>360</v>
      </c>
      <c r="B283" s="2">
        <v>45386</v>
      </c>
      <c r="C283" t="s">
        <v>106</v>
      </c>
      <c r="D283" t="s">
        <v>107</v>
      </c>
      <c r="E283" t="s">
        <v>17</v>
      </c>
      <c r="F283" s="5">
        <v>6</v>
      </c>
      <c r="G283" s="5">
        <v>1</v>
      </c>
      <c r="H283" s="5">
        <v>6160</v>
      </c>
      <c r="I283" s="5">
        <v>3</v>
      </c>
      <c r="J283" s="5">
        <v>6159</v>
      </c>
      <c r="K283" t="s">
        <v>18</v>
      </c>
      <c r="L283" t="s">
        <v>40</v>
      </c>
      <c r="M283" t="s">
        <v>60</v>
      </c>
      <c r="N283" t="s">
        <v>73</v>
      </c>
      <c r="O283" t="s">
        <v>22</v>
      </c>
      <c r="P283" t="s">
        <v>18</v>
      </c>
      <c r="Q283">
        <f>Table1[[#This Row],[Course_Fee_AED]]-Table1[[#This Row],[Amount_Paid_AED]]</f>
        <v>1</v>
      </c>
      <c r="R283">
        <f>Table1[[#This Row],[Course_Fee_AED]]-Table1[[#This Row],[pending Revenue]]</f>
        <v>6159</v>
      </c>
    </row>
    <row r="284" spans="1:18" x14ac:dyDescent="0.25">
      <c r="A284" t="s">
        <v>361</v>
      </c>
      <c r="B284" s="2">
        <v>45541</v>
      </c>
      <c r="C284" t="s">
        <v>15</v>
      </c>
      <c r="D284" t="s">
        <v>16</v>
      </c>
      <c r="E284" t="s">
        <v>17</v>
      </c>
      <c r="F284" s="5">
        <v>6</v>
      </c>
      <c r="G284" s="5">
        <v>1</v>
      </c>
      <c r="H284" s="5">
        <v>5361</v>
      </c>
      <c r="I284" s="5">
        <v>3</v>
      </c>
      <c r="J284" s="5">
        <v>5361</v>
      </c>
      <c r="K284" t="s">
        <v>33</v>
      </c>
      <c r="L284" t="s">
        <v>40</v>
      </c>
      <c r="M284" t="s">
        <v>41</v>
      </c>
      <c r="N284" t="s">
        <v>116</v>
      </c>
      <c r="O284" t="s">
        <v>29</v>
      </c>
      <c r="P284" t="s">
        <v>18</v>
      </c>
      <c r="Q284">
        <f>Table1[[#This Row],[Course_Fee_AED]]-Table1[[#This Row],[Amount_Paid_AED]]</f>
        <v>0</v>
      </c>
      <c r="R284">
        <f>Table1[[#This Row],[Course_Fee_AED]]-Table1[[#This Row],[pending Revenue]]</f>
        <v>5361</v>
      </c>
    </row>
    <row r="285" spans="1:18" x14ac:dyDescent="0.25">
      <c r="A285" t="s">
        <v>362</v>
      </c>
      <c r="B285" s="2">
        <v>45443</v>
      </c>
      <c r="C285" t="s">
        <v>100</v>
      </c>
      <c r="D285" t="s">
        <v>101</v>
      </c>
      <c r="E285" t="s">
        <v>26</v>
      </c>
      <c r="F285" s="5">
        <v>3</v>
      </c>
      <c r="G285" s="5">
        <v>1</v>
      </c>
      <c r="H285" s="5">
        <v>5195</v>
      </c>
      <c r="I285" s="5">
        <v>1</v>
      </c>
      <c r="J285" s="5">
        <v>1731</v>
      </c>
      <c r="K285" t="s">
        <v>18</v>
      </c>
      <c r="L285" t="s">
        <v>40</v>
      </c>
      <c r="M285" t="s">
        <v>27</v>
      </c>
      <c r="N285" t="s">
        <v>34</v>
      </c>
      <c r="O285" t="s">
        <v>71</v>
      </c>
      <c r="P285" t="s">
        <v>36</v>
      </c>
      <c r="Q285">
        <f>Table1[[#This Row],[Course_Fee_AED]]-Table1[[#This Row],[Amount_Paid_AED]]</f>
        <v>3464</v>
      </c>
      <c r="R285">
        <f>Table1[[#This Row],[Course_Fee_AED]]-Table1[[#This Row],[pending Revenue]]</f>
        <v>1731</v>
      </c>
    </row>
    <row r="286" spans="1:18" x14ac:dyDescent="0.25">
      <c r="A286" t="s">
        <v>363</v>
      </c>
      <c r="B286" s="2">
        <v>45431</v>
      </c>
      <c r="C286" t="s">
        <v>82</v>
      </c>
      <c r="D286" t="s">
        <v>83</v>
      </c>
      <c r="E286" t="s">
        <v>17</v>
      </c>
      <c r="F286" s="5">
        <v>6</v>
      </c>
      <c r="G286" s="5">
        <v>1</v>
      </c>
      <c r="H286" s="5">
        <v>8984</v>
      </c>
      <c r="I286" s="5">
        <v>2</v>
      </c>
      <c r="J286" s="5">
        <v>5988</v>
      </c>
      <c r="K286" t="s">
        <v>18</v>
      </c>
      <c r="L286" t="s">
        <v>40</v>
      </c>
      <c r="M286" t="s">
        <v>20</v>
      </c>
      <c r="N286" t="s">
        <v>34</v>
      </c>
      <c r="O286" t="s">
        <v>68</v>
      </c>
      <c r="P286" t="s">
        <v>36</v>
      </c>
      <c r="Q286">
        <f>Table1[[#This Row],[Course_Fee_AED]]-Table1[[#This Row],[Amount_Paid_AED]]</f>
        <v>2996</v>
      </c>
      <c r="R286">
        <f>Table1[[#This Row],[Course_Fee_AED]]-Table1[[#This Row],[pending Revenue]]</f>
        <v>5988</v>
      </c>
    </row>
    <row r="287" spans="1:18" x14ac:dyDescent="0.25">
      <c r="A287" t="s">
        <v>364</v>
      </c>
      <c r="B287" s="2">
        <v>45441</v>
      </c>
      <c r="C287" t="s">
        <v>82</v>
      </c>
      <c r="D287" t="s">
        <v>83</v>
      </c>
      <c r="E287" t="s">
        <v>26</v>
      </c>
      <c r="F287" s="5">
        <v>3</v>
      </c>
      <c r="G287" s="5">
        <v>1</v>
      </c>
      <c r="H287" s="5">
        <v>12709</v>
      </c>
      <c r="I287" s="5">
        <v>3</v>
      </c>
      <c r="J287" s="5">
        <v>12708</v>
      </c>
      <c r="K287" t="s">
        <v>18</v>
      </c>
      <c r="L287" t="s">
        <v>40</v>
      </c>
      <c r="M287" t="s">
        <v>63</v>
      </c>
      <c r="N287" t="s">
        <v>28</v>
      </c>
      <c r="O287" t="s">
        <v>29</v>
      </c>
      <c r="P287" t="s">
        <v>18</v>
      </c>
      <c r="Q287">
        <f>Table1[[#This Row],[Course_Fee_AED]]-Table1[[#This Row],[Amount_Paid_AED]]</f>
        <v>1</v>
      </c>
      <c r="R287">
        <f>Table1[[#This Row],[Course_Fee_AED]]-Table1[[#This Row],[pending Revenue]]</f>
        <v>12708</v>
      </c>
    </row>
    <row r="288" spans="1:18" x14ac:dyDescent="0.25">
      <c r="A288" t="s">
        <v>365</v>
      </c>
      <c r="B288" s="2">
        <v>45346</v>
      </c>
      <c r="C288" t="s">
        <v>75</v>
      </c>
      <c r="D288" t="s">
        <v>76</v>
      </c>
      <c r="E288" t="s">
        <v>17</v>
      </c>
      <c r="F288" s="5">
        <v>6</v>
      </c>
      <c r="G288" s="5">
        <v>1</v>
      </c>
      <c r="H288" s="5">
        <v>11302</v>
      </c>
      <c r="I288" s="5">
        <v>3</v>
      </c>
      <c r="J288" s="5">
        <v>11301</v>
      </c>
      <c r="K288" t="s">
        <v>18</v>
      </c>
      <c r="L288" t="s">
        <v>57</v>
      </c>
      <c r="M288" t="s">
        <v>41</v>
      </c>
      <c r="N288" t="s">
        <v>34</v>
      </c>
      <c r="O288" t="s">
        <v>49</v>
      </c>
      <c r="P288" t="s">
        <v>18</v>
      </c>
      <c r="Q288">
        <f>Table1[[#This Row],[Course_Fee_AED]]-Table1[[#This Row],[Amount_Paid_AED]]</f>
        <v>1</v>
      </c>
      <c r="R288">
        <f>Table1[[#This Row],[Course_Fee_AED]]-Table1[[#This Row],[pending Revenue]]</f>
        <v>11301</v>
      </c>
    </row>
    <row r="289" spans="1:18" x14ac:dyDescent="0.25">
      <c r="A289" t="s">
        <v>366</v>
      </c>
      <c r="B289" s="2">
        <v>45301</v>
      </c>
      <c r="C289" t="s">
        <v>51</v>
      </c>
      <c r="D289" t="s">
        <v>52</v>
      </c>
      <c r="E289" t="s">
        <v>26</v>
      </c>
      <c r="F289" s="5">
        <v>3</v>
      </c>
      <c r="G289" s="5">
        <v>1</v>
      </c>
      <c r="H289" s="5">
        <v>4500</v>
      </c>
      <c r="I289" s="5">
        <v>1</v>
      </c>
      <c r="J289" s="5">
        <v>1500</v>
      </c>
      <c r="K289" t="s">
        <v>18</v>
      </c>
      <c r="L289" t="s">
        <v>19</v>
      </c>
      <c r="M289" t="s">
        <v>41</v>
      </c>
      <c r="N289" t="s">
        <v>42</v>
      </c>
      <c r="O289" t="s">
        <v>68</v>
      </c>
      <c r="P289" t="s">
        <v>36</v>
      </c>
      <c r="Q289">
        <f>Table1[[#This Row],[Course_Fee_AED]]-Table1[[#This Row],[Amount_Paid_AED]]</f>
        <v>3000</v>
      </c>
      <c r="R289">
        <f>Table1[[#This Row],[Course_Fee_AED]]-Table1[[#This Row],[pending Revenue]]</f>
        <v>1500</v>
      </c>
    </row>
    <row r="290" spans="1:18" x14ac:dyDescent="0.25">
      <c r="A290" t="s">
        <v>367</v>
      </c>
      <c r="B290" s="2">
        <v>45558</v>
      </c>
      <c r="C290" t="s">
        <v>66</v>
      </c>
      <c r="D290" t="s">
        <v>56</v>
      </c>
      <c r="E290" t="s">
        <v>17</v>
      </c>
      <c r="F290" s="5">
        <v>6</v>
      </c>
      <c r="G290" s="5">
        <v>1</v>
      </c>
      <c r="H290" s="5">
        <v>7913</v>
      </c>
      <c r="I290" s="5">
        <v>1</v>
      </c>
      <c r="J290" s="5">
        <v>2637</v>
      </c>
      <c r="K290" t="s">
        <v>18</v>
      </c>
      <c r="L290" t="s">
        <v>19</v>
      </c>
      <c r="M290" t="s">
        <v>63</v>
      </c>
      <c r="N290" t="s">
        <v>61</v>
      </c>
      <c r="O290" t="s">
        <v>22</v>
      </c>
      <c r="P290" t="s">
        <v>36</v>
      </c>
      <c r="Q290">
        <f>Table1[[#This Row],[Course_Fee_AED]]-Table1[[#This Row],[Amount_Paid_AED]]</f>
        <v>5276</v>
      </c>
      <c r="R290">
        <f>Table1[[#This Row],[Course_Fee_AED]]-Table1[[#This Row],[pending Revenue]]</f>
        <v>2637</v>
      </c>
    </row>
    <row r="291" spans="1:18" x14ac:dyDescent="0.25">
      <c r="A291" t="s">
        <v>368</v>
      </c>
      <c r="B291" s="2">
        <v>45338</v>
      </c>
      <c r="C291" t="s">
        <v>31</v>
      </c>
      <c r="D291" t="s">
        <v>32</v>
      </c>
      <c r="E291" t="s">
        <v>17</v>
      </c>
      <c r="F291" s="5">
        <v>6</v>
      </c>
      <c r="G291" s="5">
        <v>1</v>
      </c>
      <c r="H291" s="5">
        <v>5878</v>
      </c>
      <c r="I291" s="5">
        <v>3</v>
      </c>
      <c r="J291" s="5">
        <v>5877</v>
      </c>
      <c r="K291" t="s">
        <v>18</v>
      </c>
      <c r="L291" t="s">
        <v>57</v>
      </c>
      <c r="M291" t="s">
        <v>47</v>
      </c>
      <c r="N291" t="s">
        <v>73</v>
      </c>
      <c r="O291" t="s">
        <v>22</v>
      </c>
      <c r="P291" t="s">
        <v>36</v>
      </c>
      <c r="Q291">
        <f>Table1[[#This Row],[Course_Fee_AED]]-Table1[[#This Row],[Amount_Paid_AED]]</f>
        <v>1</v>
      </c>
      <c r="R291">
        <f>Table1[[#This Row],[Course_Fee_AED]]-Table1[[#This Row],[pending Revenue]]</f>
        <v>5877</v>
      </c>
    </row>
    <row r="292" spans="1:18" x14ac:dyDescent="0.25">
      <c r="A292" t="s">
        <v>369</v>
      </c>
      <c r="B292" s="2">
        <v>45656</v>
      </c>
      <c r="C292" t="s">
        <v>100</v>
      </c>
      <c r="D292" t="s">
        <v>101</v>
      </c>
      <c r="E292" t="s">
        <v>17</v>
      </c>
      <c r="F292" s="5">
        <v>6</v>
      </c>
      <c r="G292" s="5">
        <v>1</v>
      </c>
      <c r="H292" s="5">
        <v>4778</v>
      </c>
      <c r="I292" s="5">
        <v>1</v>
      </c>
      <c r="J292" s="5">
        <v>1592</v>
      </c>
      <c r="K292" t="s">
        <v>18</v>
      </c>
      <c r="L292" t="s">
        <v>40</v>
      </c>
      <c r="M292" t="s">
        <v>20</v>
      </c>
      <c r="N292" t="s">
        <v>42</v>
      </c>
      <c r="O292" t="s">
        <v>71</v>
      </c>
      <c r="P292" t="s">
        <v>18</v>
      </c>
      <c r="Q292">
        <f>Table1[[#This Row],[Course_Fee_AED]]-Table1[[#This Row],[Amount_Paid_AED]]</f>
        <v>3186</v>
      </c>
      <c r="R292">
        <f>Table1[[#This Row],[Course_Fee_AED]]-Table1[[#This Row],[pending Revenue]]</f>
        <v>1592</v>
      </c>
    </row>
    <row r="293" spans="1:18" x14ac:dyDescent="0.25">
      <c r="A293" t="s">
        <v>370</v>
      </c>
      <c r="B293" s="2">
        <v>45425</v>
      </c>
      <c r="C293" t="s">
        <v>38</v>
      </c>
      <c r="D293" t="s">
        <v>39</v>
      </c>
      <c r="E293" t="s">
        <v>17</v>
      </c>
      <c r="F293" s="5">
        <v>6</v>
      </c>
      <c r="G293" s="5">
        <v>1</v>
      </c>
      <c r="H293" s="5">
        <v>5666</v>
      </c>
      <c r="I293" s="5">
        <v>1</v>
      </c>
      <c r="J293" s="5">
        <v>1888</v>
      </c>
      <c r="K293" t="s">
        <v>18</v>
      </c>
      <c r="L293" t="s">
        <v>57</v>
      </c>
      <c r="M293" t="s">
        <v>47</v>
      </c>
      <c r="N293" t="s">
        <v>48</v>
      </c>
      <c r="O293" t="s">
        <v>49</v>
      </c>
      <c r="P293" t="s">
        <v>18</v>
      </c>
      <c r="Q293">
        <f>Table1[[#This Row],[Course_Fee_AED]]-Table1[[#This Row],[Amount_Paid_AED]]</f>
        <v>3778</v>
      </c>
      <c r="R293">
        <f>Table1[[#This Row],[Course_Fee_AED]]-Table1[[#This Row],[pending Revenue]]</f>
        <v>1888</v>
      </c>
    </row>
    <row r="294" spans="1:18" x14ac:dyDescent="0.25">
      <c r="A294" t="s">
        <v>371</v>
      </c>
      <c r="B294" s="2">
        <v>45638</v>
      </c>
      <c r="C294" t="s">
        <v>82</v>
      </c>
      <c r="D294" t="s">
        <v>83</v>
      </c>
      <c r="E294" t="s">
        <v>26</v>
      </c>
      <c r="F294" s="5">
        <v>3</v>
      </c>
      <c r="G294" s="5">
        <v>1</v>
      </c>
      <c r="H294" s="5">
        <v>14346</v>
      </c>
      <c r="I294" s="5">
        <v>2</v>
      </c>
      <c r="J294" s="5">
        <v>9564</v>
      </c>
      <c r="K294" t="s">
        <v>18</v>
      </c>
      <c r="L294" t="s">
        <v>40</v>
      </c>
      <c r="M294" t="s">
        <v>63</v>
      </c>
      <c r="N294" t="s">
        <v>34</v>
      </c>
      <c r="O294" t="s">
        <v>43</v>
      </c>
      <c r="P294" t="s">
        <v>18</v>
      </c>
      <c r="Q294">
        <f>Table1[[#This Row],[Course_Fee_AED]]-Table1[[#This Row],[Amount_Paid_AED]]</f>
        <v>4782</v>
      </c>
      <c r="R294">
        <f>Table1[[#This Row],[Course_Fee_AED]]-Table1[[#This Row],[pending Revenue]]</f>
        <v>9564</v>
      </c>
    </row>
    <row r="295" spans="1:18" x14ac:dyDescent="0.25">
      <c r="A295" t="s">
        <v>372</v>
      </c>
      <c r="B295" s="2">
        <v>45432</v>
      </c>
      <c r="C295" t="s">
        <v>106</v>
      </c>
      <c r="D295" t="s">
        <v>107</v>
      </c>
      <c r="E295" t="s">
        <v>26</v>
      </c>
      <c r="F295" s="5">
        <v>3</v>
      </c>
      <c r="G295" s="5">
        <v>1</v>
      </c>
      <c r="H295" s="5">
        <v>8849</v>
      </c>
      <c r="I295" s="5">
        <v>2</v>
      </c>
      <c r="J295" s="5">
        <v>5898</v>
      </c>
      <c r="K295" t="s">
        <v>18</v>
      </c>
      <c r="L295" t="s">
        <v>19</v>
      </c>
      <c r="M295" t="s">
        <v>63</v>
      </c>
      <c r="N295" t="s">
        <v>42</v>
      </c>
      <c r="O295" t="s">
        <v>71</v>
      </c>
      <c r="P295" t="s">
        <v>18</v>
      </c>
      <c r="Q295">
        <f>Table1[[#This Row],[Course_Fee_AED]]-Table1[[#This Row],[Amount_Paid_AED]]</f>
        <v>2951</v>
      </c>
      <c r="R295">
        <f>Table1[[#This Row],[Course_Fee_AED]]-Table1[[#This Row],[pending Revenue]]</f>
        <v>5898</v>
      </c>
    </row>
    <row r="296" spans="1:18" x14ac:dyDescent="0.25">
      <c r="A296" t="s">
        <v>373</v>
      </c>
      <c r="B296" s="2">
        <v>45502</v>
      </c>
      <c r="C296" t="s">
        <v>45</v>
      </c>
      <c r="D296" t="s">
        <v>46</v>
      </c>
      <c r="E296" t="s">
        <v>17</v>
      </c>
      <c r="F296" s="5">
        <v>6</v>
      </c>
      <c r="G296" s="5">
        <v>1</v>
      </c>
      <c r="H296" s="5">
        <v>5738</v>
      </c>
      <c r="I296" s="5">
        <v>1</v>
      </c>
      <c r="J296" s="5">
        <v>1912</v>
      </c>
      <c r="K296" t="s">
        <v>18</v>
      </c>
      <c r="L296" t="s">
        <v>40</v>
      </c>
      <c r="M296" t="s">
        <v>60</v>
      </c>
      <c r="N296" t="s">
        <v>86</v>
      </c>
      <c r="O296" t="s">
        <v>87</v>
      </c>
      <c r="P296" t="s">
        <v>36</v>
      </c>
      <c r="Q296">
        <f>Table1[[#This Row],[Course_Fee_AED]]-Table1[[#This Row],[Amount_Paid_AED]]</f>
        <v>3826</v>
      </c>
      <c r="R296">
        <f>Table1[[#This Row],[Course_Fee_AED]]-Table1[[#This Row],[pending Revenue]]</f>
        <v>1912</v>
      </c>
    </row>
    <row r="297" spans="1:18" x14ac:dyDescent="0.25">
      <c r="A297" t="s">
        <v>374</v>
      </c>
      <c r="B297" s="2">
        <v>45454</v>
      </c>
      <c r="C297" t="s">
        <v>24</v>
      </c>
      <c r="D297" t="s">
        <v>25</v>
      </c>
      <c r="E297" t="s">
        <v>17</v>
      </c>
      <c r="F297" s="5">
        <v>6</v>
      </c>
      <c r="G297" s="5">
        <v>1</v>
      </c>
      <c r="H297" s="5">
        <v>5413</v>
      </c>
      <c r="I297" s="5">
        <v>2</v>
      </c>
      <c r="J297" s="5">
        <v>3608</v>
      </c>
      <c r="K297" t="s">
        <v>18</v>
      </c>
      <c r="L297" t="s">
        <v>57</v>
      </c>
      <c r="M297" t="s">
        <v>47</v>
      </c>
      <c r="N297" t="s">
        <v>79</v>
      </c>
      <c r="O297" t="s">
        <v>29</v>
      </c>
      <c r="P297" t="s">
        <v>18</v>
      </c>
      <c r="Q297">
        <f>Table1[[#This Row],[Course_Fee_AED]]-Table1[[#This Row],[Amount_Paid_AED]]</f>
        <v>1805</v>
      </c>
      <c r="R297">
        <f>Table1[[#This Row],[Course_Fee_AED]]-Table1[[#This Row],[pending Revenue]]</f>
        <v>3608</v>
      </c>
    </row>
    <row r="298" spans="1:18" x14ac:dyDescent="0.25">
      <c r="A298" t="s">
        <v>375</v>
      </c>
      <c r="B298" s="2">
        <v>45411</v>
      </c>
      <c r="C298" t="s">
        <v>82</v>
      </c>
      <c r="D298" t="s">
        <v>83</v>
      </c>
      <c r="E298" t="s">
        <v>17</v>
      </c>
      <c r="F298" s="5">
        <v>6</v>
      </c>
      <c r="G298" s="5">
        <v>1</v>
      </c>
      <c r="H298" s="5">
        <v>13193</v>
      </c>
      <c r="I298" s="5">
        <v>2</v>
      </c>
      <c r="J298" s="5">
        <v>8794</v>
      </c>
      <c r="K298" t="s">
        <v>18</v>
      </c>
      <c r="L298" t="s">
        <v>19</v>
      </c>
      <c r="M298" t="s">
        <v>20</v>
      </c>
      <c r="N298" t="s">
        <v>90</v>
      </c>
      <c r="O298" t="s">
        <v>68</v>
      </c>
      <c r="P298" t="s">
        <v>36</v>
      </c>
      <c r="Q298">
        <f>Table1[[#This Row],[Course_Fee_AED]]-Table1[[#This Row],[Amount_Paid_AED]]</f>
        <v>4399</v>
      </c>
      <c r="R298">
        <f>Table1[[#This Row],[Course_Fee_AED]]-Table1[[#This Row],[pending Revenue]]</f>
        <v>8794</v>
      </c>
    </row>
    <row r="299" spans="1:18" x14ac:dyDescent="0.25">
      <c r="A299" t="s">
        <v>376</v>
      </c>
      <c r="B299" s="2">
        <v>45433</v>
      </c>
      <c r="C299" t="s">
        <v>55</v>
      </c>
      <c r="D299" t="s">
        <v>56</v>
      </c>
      <c r="E299" t="s">
        <v>26</v>
      </c>
      <c r="F299" s="5">
        <v>3</v>
      </c>
      <c r="G299" s="5">
        <v>1</v>
      </c>
      <c r="H299" s="5">
        <v>8944</v>
      </c>
      <c r="I299" s="5">
        <v>3</v>
      </c>
      <c r="J299" s="5">
        <v>8943</v>
      </c>
      <c r="K299" t="s">
        <v>18</v>
      </c>
      <c r="L299" t="s">
        <v>57</v>
      </c>
      <c r="M299" t="s">
        <v>60</v>
      </c>
      <c r="N299" t="s">
        <v>21</v>
      </c>
      <c r="O299" t="s">
        <v>64</v>
      </c>
      <c r="P299" t="s">
        <v>18</v>
      </c>
      <c r="Q299">
        <f>Table1[[#This Row],[Course_Fee_AED]]-Table1[[#This Row],[Amount_Paid_AED]]</f>
        <v>1</v>
      </c>
      <c r="R299">
        <f>Table1[[#This Row],[Course_Fee_AED]]-Table1[[#This Row],[pending Revenue]]</f>
        <v>8943</v>
      </c>
    </row>
    <row r="300" spans="1:18" x14ac:dyDescent="0.25">
      <c r="A300" t="s">
        <v>377</v>
      </c>
      <c r="B300" s="2">
        <v>45300</v>
      </c>
      <c r="C300" t="s">
        <v>100</v>
      </c>
      <c r="D300" t="s">
        <v>101</v>
      </c>
      <c r="E300" t="s">
        <v>26</v>
      </c>
      <c r="F300" s="5">
        <v>3</v>
      </c>
      <c r="G300" s="5">
        <v>1</v>
      </c>
      <c r="H300" s="5">
        <v>3603</v>
      </c>
      <c r="I300" s="5">
        <v>1</v>
      </c>
      <c r="J300" s="5">
        <v>1201</v>
      </c>
      <c r="K300" t="s">
        <v>18</v>
      </c>
      <c r="L300" t="s">
        <v>40</v>
      </c>
      <c r="M300" t="s">
        <v>63</v>
      </c>
      <c r="N300" t="s">
        <v>70</v>
      </c>
      <c r="O300" t="s">
        <v>87</v>
      </c>
      <c r="P300" t="s">
        <v>36</v>
      </c>
      <c r="Q300">
        <f>Table1[[#This Row],[Course_Fee_AED]]-Table1[[#This Row],[Amount_Paid_AED]]</f>
        <v>2402</v>
      </c>
      <c r="R300">
        <f>Table1[[#This Row],[Course_Fee_AED]]-Table1[[#This Row],[pending Revenue]]</f>
        <v>1201</v>
      </c>
    </row>
    <row r="301" spans="1:18" x14ac:dyDescent="0.25">
      <c r="A301" t="s">
        <v>378</v>
      </c>
      <c r="B301" s="2">
        <v>45645</v>
      </c>
      <c r="C301" t="s">
        <v>106</v>
      </c>
      <c r="D301" t="s">
        <v>107</v>
      </c>
      <c r="E301" t="s">
        <v>17</v>
      </c>
      <c r="F301" s="5">
        <v>6</v>
      </c>
      <c r="G301" s="5">
        <v>1</v>
      </c>
      <c r="H301" s="5">
        <v>7678</v>
      </c>
      <c r="I301" s="5">
        <v>2</v>
      </c>
      <c r="J301" s="5">
        <v>5118</v>
      </c>
      <c r="K301" t="s">
        <v>18</v>
      </c>
      <c r="L301" t="s">
        <v>19</v>
      </c>
      <c r="M301" t="s">
        <v>27</v>
      </c>
      <c r="N301" t="s">
        <v>28</v>
      </c>
      <c r="O301" t="s">
        <v>43</v>
      </c>
      <c r="P301" t="s">
        <v>36</v>
      </c>
      <c r="Q301">
        <f>Table1[[#This Row],[Course_Fee_AED]]-Table1[[#This Row],[Amount_Paid_AED]]</f>
        <v>2560</v>
      </c>
      <c r="R301">
        <f>Table1[[#This Row],[Course_Fee_AED]]-Table1[[#This Row],[pending Revenue]]</f>
        <v>5118</v>
      </c>
    </row>
    <row r="302" spans="1:18" x14ac:dyDescent="0.25">
      <c r="A302" t="s">
        <v>379</v>
      </c>
      <c r="B302" s="2">
        <v>45494</v>
      </c>
      <c r="C302" t="s">
        <v>38</v>
      </c>
      <c r="D302" t="s">
        <v>39</v>
      </c>
      <c r="E302" t="s">
        <v>17</v>
      </c>
      <c r="F302" s="5">
        <v>6</v>
      </c>
      <c r="G302" s="5">
        <v>1</v>
      </c>
      <c r="H302" s="5">
        <v>4346</v>
      </c>
      <c r="I302" s="5">
        <v>2</v>
      </c>
      <c r="J302" s="5">
        <v>2896</v>
      </c>
      <c r="K302" t="s">
        <v>18</v>
      </c>
      <c r="L302" t="s">
        <v>19</v>
      </c>
      <c r="M302" t="s">
        <v>27</v>
      </c>
      <c r="N302" t="s">
        <v>42</v>
      </c>
      <c r="O302" t="s">
        <v>68</v>
      </c>
      <c r="P302" t="s">
        <v>18</v>
      </c>
      <c r="Q302">
        <f>Table1[[#This Row],[Course_Fee_AED]]-Table1[[#This Row],[Amount_Paid_AED]]</f>
        <v>1450</v>
      </c>
      <c r="R302">
        <f>Table1[[#This Row],[Course_Fee_AED]]-Table1[[#This Row],[pending Revenue]]</f>
        <v>2896</v>
      </c>
    </row>
    <row r="303" spans="1:18" x14ac:dyDescent="0.25">
      <c r="A303" t="s">
        <v>380</v>
      </c>
      <c r="B303" s="2">
        <v>45317</v>
      </c>
      <c r="C303" t="s">
        <v>75</v>
      </c>
      <c r="D303" t="s">
        <v>76</v>
      </c>
      <c r="E303" t="s">
        <v>17</v>
      </c>
      <c r="F303" s="5">
        <v>6</v>
      </c>
      <c r="G303" s="5">
        <v>1</v>
      </c>
      <c r="H303" s="5">
        <v>10624</v>
      </c>
      <c r="I303" s="5">
        <v>3</v>
      </c>
      <c r="J303" s="5">
        <v>10623</v>
      </c>
      <c r="K303" t="s">
        <v>18</v>
      </c>
      <c r="L303" t="s">
        <v>19</v>
      </c>
      <c r="M303" t="s">
        <v>63</v>
      </c>
      <c r="N303" t="s">
        <v>61</v>
      </c>
      <c r="O303" t="s">
        <v>87</v>
      </c>
      <c r="P303" t="s">
        <v>36</v>
      </c>
      <c r="Q303">
        <f>Table1[[#This Row],[Course_Fee_AED]]-Table1[[#This Row],[Amount_Paid_AED]]</f>
        <v>1</v>
      </c>
      <c r="R303">
        <f>Table1[[#This Row],[Course_Fee_AED]]-Table1[[#This Row],[pending Revenue]]</f>
        <v>10623</v>
      </c>
    </row>
    <row r="304" spans="1:18" x14ac:dyDescent="0.25">
      <c r="A304" t="s">
        <v>381</v>
      </c>
      <c r="B304" s="2">
        <v>45626</v>
      </c>
      <c r="C304" t="s">
        <v>51</v>
      </c>
      <c r="D304" t="s">
        <v>52</v>
      </c>
      <c r="E304" t="s">
        <v>26</v>
      </c>
      <c r="F304" s="5">
        <v>3</v>
      </c>
      <c r="G304" s="5">
        <v>1</v>
      </c>
      <c r="H304" s="5">
        <v>3836</v>
      </c>
      <c r="I304" s="5">
        <v>3</v>
      </c>
      <c r="J304" s="5">
        <v>3834</v>
      </c>
      <c r="K304" t="s">
        <v>18</v>
      </c>
      <c r="L304" t="s">
        <v>40</v>
      </c>
      <c r="M304" t="s">
        <v>41</v>
      </c>
      <c r="N304" t="s">
        <v>21</v>
      </c>
      <c r="O304" t="s">
        <v>68</v>
      </c>
      <c r="P304" t="s">
        <v>36</v>
      </c>
      <c r="Q304">
        <f>Table1[[#This Row],[Course_Fee_AED]]-Table1[[#This Row],[Amount_Paid_AED]]</f>
        <v>2</v>
      </c>
      <c r="R304">
        <f>Table1[[#This Row],[Course_Fee_AED]]-Table1[[#This Row],[pending Revenue]]</f>
        <v>3834</v>
      </c>
    </row>
    <row r="305" spans="1:18" x14ac:dyDescent="0.25">
      <c r="A305" t="s">
        <v>382</v>
      </c>
      <c r="B305" s="2">
        <v>45327</v>
      </c>
      <c r="C305" t="s">
        <v>31</v>
      </c>
      <c r="D305" t="s">
        <v>32</v>
      </c>
      <c r="E305" t="s">
        <v>26</v>
      </c>
      <c r="F305" s="5">
        <v>3</v>
      </c>
      <c r="G305" s="5">
        <v>1</v>
      </c>
      <c r="H305" s="5">
        <v>5019</v>
      </c>
      <c r="I305" s="5">
        <v>1</v>
      </c>
      <c r="J305" s="5">
        <v>1673</v>
      </c>
      <c r="K305" t="s">
        <v>18</v>
      </c>
      <c r="L305" t="s">
        <v>40</v>
      </c>
      <c r="M305" t="s">
        <v>47</v>
      </c>
      <c r="N305" t="s">
        <v>21</v>
      </c>
      <c r="O305" t="s">
        <v>64</v>
      </c>
      <c r="P305" t="s">
        <v>18</v>
      </c>
      <c r="Q305">
        <f>Table1[[#This Row],[Course_Fee_AED]]-Table1[[#This Row],[Amount_Paid_AED]]</f>
        <v>3346</v>
      </c>
      <c r="R305">
        <f>Table1[[#This Row],[Course_Fee_AED]]-Table1[[#This Row],[pending Revenue]]</f>
        <v>1673</v>
      </c>
    </row>
    <row r="306" spans="1:18" x14ac:dyDescent="0.25">
      <c r="A306" t="s">
        <v>383</v>
      </c>
      <c r="B306" s="2">
        <v>45640</v>
      </c>
      <c r="C306" t="s">
        <v>51</v>
      </c>
      <c r="D306" t="s">
        <v>52</v>
      </c>
      <c r="E306" t="s">
        <v>17</v>
      </c>
      <c r="F306" s="5">
        <v>6</v>
      </c>
      <c r="G306" s="5">
        <v>1</v>
      </c>
      <c r="H306" s="5">
        <v>5116</v>
      </c>
      <c r="I306" s="5">
        <v>3</v>
      </c>
      <c r="J306" s="5">
        <v>5115</v>
      </c>
      <c r="K306" t="s">
        <v>18</v>
      </c>
      <c r="L306" t="s">
        <v>40</v>
      </c>
      <c r="M306" t="s">
        <v>20</v>
      </c>
      <c r="N306" t="s">
        <v>48</v>
      </c>
      <c r="O306" t="s">
        <v>64</v>
      </c>
      <c r="P306" t="s">
        <v>18</v>
      </c>
      <c r="Q306">
        <f>Table1[[#This Row],[Course_Fee_AED]]-Table1[[#This Row],[Amount_Paid_AED]]</f>
        <v>1</v>
      </c>
      <c r="R306">
        <f>Table1[[#This Row],[Course_Fee_AED]]-Table1[[#This Row],[pending Revenue]]</f>
        <v>5115</v>
      </c>
    </row>
    <row r="307" spans="1:18" x14ac:dyDescent="0.25">
      <c r="A307" t="s">
        <v>384</v>
      </c>
      <c r="B307" s="2">
        <v>45598</v>
      </c>
      <c r="C307" t="s">
        <v>15</v>
      </c>
      <c r="D307" t="s">
        <v>16</v>
      </c>
      <c r="E307" t="s">
        <v>17</v>
      </c>
      <c r="F307" s="5">
        <v>6</v>
      </c>
      <c r="G307" s="5">
        <v>1</v>
      </c>
      <c r="H307" s="5">
        <v>4224</v>
      </c>
      <c r="I307" s="5">
        <v>1</v>
      </c>
      <c r="J307" s="5">
        <v>1408</v>
      </c>
      <c r="K307" t="s">
        <v>18</v>
      </c>
      <c r="L307" t="s">
        <v>57</v>
      </c>
      <c r="M307" t="s">
        <v>63</v>
      </c>
      <c r="N307" t="s">
        <v>34</v>
      </c>
      <c r="O307" t="s">
        <v>22</v>
      </c>
      <c r="P307" t="s">
        <v>18</v>
      </c>
      <c r="Q307">
        <f>Table1[[#This Row],[Course_Fee_AED]]-Table1[[#This Row],[Amount_Paid_AED]]</f>
        <v>2816</v>
      </c>
      <c r="R307">
        <f>Table1[[#This Row],[Course_Fee_AED]]-Table1[[#This Row],[pending Revenue]]</f>
        <v>1408</v>
      </c>
    </row>
    <row r="308" spans="1:18" x14ac:dyDescent="0.25">
      <c r="A308" t="s">
        <v>385</v>
      </c>
      <c r="B308" s="2">
        <v>45435</v>
      </c>
      <c r="C308" t="s">
        <v>66</v>
      </c>
      <c r="D308" t="s">
        <v>56</v>
      </c>
      <c r="E308" t="s">
        <v>17</v>
      </c>
      <c r="F308" s="5">
        <v>6</v>
      </c>
      <c r="G308" s="5">
        <v>1</v>
      </c>
      <c r="H308" s="5">
        <v>10885</v>
      </c>
      <c r="I308" s="5">
        <v>3</v>
      </c>
      <c r="J308" s="5">
        <v>10884</v>
      </c>
      <c r="K308" t="s">
        <v>18</v>
      </c>
      <c r="L308" t="s">
        <v>19</v>
      </c>
      <c r="M308" t="s">
        <v>27</v>
      </c>
      <c r="N308" t="s">
        <v>154</v>
      </c>
      <c r="O308" t="s">
        <v>64</v>
      </c>
      <c r="P308" t="s">
        <v>36</v>
      </c>
      <c r="Q308">
        <f>Table1[[#This Row],[Course_Fee_AED]]-Table1[[#This Row],[Amount_Paid_AED]]</f>
        <v>1</v>
      </c>
      <c r="R308">
        <f>Table1[[#This Row],[Course_Fee_AED]]-Table1[[#This Row],[pending Revenue]]</f>
        <v>10884</v>
      </c>
    </row>
    <row r="309" spans="1:18" x14ac:dyDescent="0.25">
      <c r="A309" t="s">
        <v>386</v>
      </c>
      <c r="B309" s="2">
        <v>45454</v>
      </c>
      <c r="C309" t="s">
        <v>75</v>
      </c>
      <c r="D309" t="s">
        <v>76</v>
      </c>
      <c r="E309" t="s">
        <v>26</v>
      </c>
      <c r="F309" s="5">
        <v>3</v>
      </c>
      <c r="G309" s="5">
        <v>1</v>
      </c>
      <c r="H309" s="5">
        <v>11632</v>
      </c>
      <c r="I309" s="5">
        <v>3</v>
      </c>
      <c r="J309" s="5">
        <v>11631</v>
      </c>
      <c r="K309" t="s">
        <v>18</v>
      </c>
      <c r="L309" t="s">
        <v>19</v>
      </c>
      <c r="M309" t="s">
        <v>41</v>
      </c>
      <c r="N309" t="s">
        <v>86</v>
      </c>
      <c r="O309" t="s">
        <v>22</v>
      </c>
      <c r="P309" t="s">
        <v>36</v>
      </c>
      <c r="Q309">
        <f>Table1[[#This Row],[Course_Fee_AED]]-Table1[[#This Row],[Amount_Paid_AED]]</f>
        <v>1</v>
      </c>
      <c r="R309">
        <f>Table1[[#This Row],[Course_Fee_AED]]-Table1[[#This Row],[pending Revenue]]</f>
        <v>11631</v>
      </c>
    </row>
    <row r="310" spans="1:18" x14ac:dyDescent="0.25">
      <c r="A310" t="s">
        <v>387</v>
      </c>
      <c r="B310" s="2">
        <v>45328</v>
      </c>
      <c r="C310" t="s">
        <v>15</v>
      </c>
      <c r="D310" t="s">
        <v>16</v>
      </c>
      <c r="E310" t="s">
        <v>17</v>
      </c>
      <c r="F310" s="5">
        <v>6</v>
      </c>
      <c r="G310" s="5">
        <v>1</v>
      </c>
      <c r="H310" s="5">
        <v>5534</v>
      </c>
      <c r="I310" s="5">
        <v>2</v>
      </c>
      <c r="J310" s="5">
        <v>3688</v>
      </c>
      <c r="K310" t="s">
        <v>18</v>
      </c>
      <c r="L310" t="s">
        <v>40</v>
      </c>
      <c r="M310" t="s">
        <v>20</v>
      </c>
      <c r="N310" t="s">
        <v>61</v>
      </c>
      <c r="O310" t="s">
        <v>68</v>
      </c>
      <c r="P310" t="s">
        <v>36</v>
      </c>
      <c r="Q310">
        <f>Table1[[#This Row],[Course_Fee_AED]]-Table1[[#This Row],[Amount_Paid_AED]]</f>
        <v>1846</v>
      </c>
      <c r="R310">
        <f>Table1[[#This Row],[Course_Fee_AED]]-Table1[[#This Row],[pending Revenue]]</f>
        <v>3688</v>
      </c>
    </row>
    <row r="311" spans="1:18" x14ac:dyDescent="0.25">
      <c r="A311" t="s">
        <v>388</v>
      </c>
      <c r="B311" s="2">
        <v>45497</v>
      </c>
      <c r="C311" t="s">
        <v>82</v>
      </c>
      <c r="D311" t="s">
        <v>83</v>
      </c>
      <c r="E311" t="s">
        <v>17</v>
      </c>
      <c r="F311" s="5">
        <v>6</v>
      </c>
      <c r="G311" s="5">
        <v>1</v>
      </c>
      <c r="H311" s="5">
        <v>9085</v>
      </c>
      <c r="I311" s="5">
        <v>2</v>
      </c>
      <c r="J311" s="5">
        <v>6056</v>
      </c>
      <c r="K311" t="s">
        <v>18</v>
      </c>
      <c r="L311" t="s">
        <v>40</v>
      </c>
      <c r="M311" t="s">
        <v>41</v>
      </c>
      <c r="N311" t="s">
        <v>48</v>
      </c>
      <c r="O311" t="s">
        <v>43</v>
      </c>
      <c r="P311" t="s">
        <v>18</v>
      </c>
      <c r="Q311">
        <f>Table1[[#This Row],[Course_Fee_AED]]-Table1[[#This Row],[Amount_Paid_AED]]</f>
        <v>3029</v>
      </c>
      <c r="R311">
        <f>Table1[[#This Row],[Course_Fee_AED]]-Table1[[#This Row],[pending Revenue]]</f>
        <v>6056</v>
      </c>
    </row>
    <row r="312" spans="1:18" x14ac:dyDescent="0.25">
      <c r="A312" t="s">
        <v>389</v>
      </c>
      <c r="B312" s="2">
        <v>45646</v>
      </c>
      <c r="C312" t="s">
        <v>15</v>
      </c>
      <c r="D312" t="s">
        <v>16</v>
      </c>
      <c r="E312" t="s">
        <v>26</v>
      </c>
      <c r="F312" s="5">
        <v>3</v>
      </c>
      <c r="G312" s="5">
        <v>1</v>
      </c>
      <c r="H312" s="5">
        <v>6314</v>
      </c>
      <c r="I312" s="5">
        <v>2</v>
      </c>
      <c r="J312" s="5">
        <v>4208</v>
      </c>
      <c r="K312" t="s">
        <v>18</v>
      </c>
      <c r="L312" t="s">
        <v>57</v>
      </c>
      <c r="M312" t="s">
        <v>47</v>
      </c>
      <c r="N312" t="s">
        <v>48</v>
      </c>
      <c r="O312" t="s">
        <v>35</v>
      </c>
      <c r="P312" t="s">
        <v>36</v>
      </c>
      <c r="Q312">
        <f>Table1[[#This Row],[Course_Fee_AED]]-Table1[[#This Row],[Amount_Paid_AED]]</f>
        <v>2106</v>
      </c>
      <c r="R312">
        <f>Table1[[#This Row],[Course_Fee_AED]]-Table1[[#This Row],[pending Revenue]]</f>
        <v>4208</v>
      </c>
    </row>
    <row r="313" spans="1:18" x14ac:dyDescent="0.25">
      <c r="A313" t="s">
        <v>390</v>
      </c>
      <c r="B313" s="2">
        <v>45556</v>
      </c>
      <c r="C313" t="s">
        <v>31</v>
      </c>
      <c r="D313" t="s">
        <v>32</v>
      </c>
      <c r="E313" t="s">
        <v>26</v>
      </c>
      <c r="F313" s="5">
        <v>3</v>
      </c>
      <c r="G313" s="5">
        <v>1</v>
      </c>
      <c r="H313" s="5">
        <v>4954</v>
      </c>
      <c r="I313" s="5">
        <v>3</v>
      </c>
      <c r="J313" s="5">
        <v>4953</v>
      </c>
      <c r="K313" t="s">
        <v>18</v>
      </c>
      <c r="L313" t="s">
        <v>19</v>
      </c>
      <c r="M313" t="s">
        <v>63</v>
      </c>
      <c r="N313" t="s">
        <v>90</v>
      </c>
      <c r="O313" t="s">
        <v>43</v>
      </c>
      <c r="P313" t="s">
        <v>18</v>
      </c>
      <c r="Q313">
        <f>Table1[[#This Row],[Course_Fee_AED]]-Table1[[#This Row],[Amount_Paid_AED]]</f>
        <v>1</v>
      </c>
      <c r="R313">
        <f>Table1[[#This Row],[Course_Fee_AED]]-Table1[[#This Row],[pending Revenue]]</f>
        <v>4953</v>
      </c>
    </row>
    <row r="314" spans="1:18" x14ac:dyDescent="0.25">
      <c r="A314" t="s">
        <v>391</v>
      </c>
      <c r="B314" s="2">
        <v>45465</v>
      </c>
      <c r="C314" t="s">
        <v>92</v>
      </c>
      <c r="D314" t="s">
        <v>93</v>
      </c>
      <c r="E314" t="s">
        <v>26</v>
      </c>
      <c r="F314" s="5">
        <v>3</v>
      </c>
      <c r="G314" s="5">
        <v>1</v>
      </c>
      <c r="H314" s="5">
        <v>5295</v>
      </c>
      <c r="I314" s="5">
        <v>1</v>
      </c>
      <c r="J314" s="5">
        <v>1765</v>
      </c>
      <c r="K314" t="s">
        <v>18</v>
      </c>
      <c r="L314" t="s">
        <v>57</v>
      </c>
      <c r="M314" t="s">
        <v>20</v>
      </c>
      <c r="N314" t="s">
        <v>154</v>
      </c>
      <c r="O314" t="s">
        <v>68</v>
      </c>
      <c r="P314" t="s">
        <v>18</v>
      </c>
      <c r="Q314">
        <f>Table1[[#This Row],[Course_Fee_AED]]-Table1[[#This Row],[Amount_Paid_AED]]</f>
        <v>3530</v>
      </c>
      <c r="R314">
        <f>Table1[[#This Row],[Course_Fee_AED]]-Table1[[#This Row],[pending Revenue]]</f>
        <v>1765</v>
      </c>
    </row>
    <row r="315" spans="1:18" x14ac:dyDescent="0.25">
      <c r="A315" t="s">
        <v>392</v>
      </c>
      <c r="B315" s="2">
        <v>45535</v>
      </c>
      <c r="C315" t="s">
        <v>66</v>
      </c>
      <c r="D315" t="s">
        <v>56</v>
      </c>
      <c r="E315" t="s">
        <v>17</v>
      </c>
      <c r="F315" s="5">
        <v>6</v>
      </c>
      <c r="G315" s="5">
        <v>1</v>
      </c>
      <c r="H315" s="5">
        <v>11229</v>
      </c>
      <c r="I315" s="5">
        <v>1</v>
      </c>
      <c r="J315" s="5">
        <v>3743</v>
      </c>
      <c r="K315" t="s">
        <v>18</v>
      </c>
      <c r="L315" t="s">
        <v>40</v>
      </c>
      <c r="M315" t="s">
        <v>60</v>
      </c>
      <c r="N315" t="s">
        <v>48</v>
      </c>
      <c r="O315" t="s">
        <v>71</v>
      </c>
      <c r="P315" t="s">
        <v>18</v>
      </c>
      <c r="Q315">
        <f>Table1[[#This Row],[Course_Fee_AED]]-Table1[[#This Row],[Amount_Paid_AED]]</f>
        <v>7486</v>
      </c>
      <c r="R315">
        <f>Table1[[#This Row],[Course_Fee_AED]]-Table1[[#This Row],[pending Revenue]]</f>
        <v>3743</v>
      </c>
    </row>
    <row r="316" spans="1:18" x14ac:dyDescent="0.25">
      <c r="A316" t="s">
        <v>393</v>
      </c>
      <c r="B316" s="2">
        <v>45601</v>
      </c>
      <c r="C316" t="s">
        <v>24</v>
      </c>
      <c r="D316" t="s">
        <v>25</v>
      </c>
      <c r="E316" t="s">
        <v>17</v>
      </c>
      <c r="F316" s="5">
        <v>6</v>
      </c>
      <c r="G316" s="5">
        <v>1</v>
      </c>
      <c r="H316" s="5">
        <v>6951</v>
      </c>
      <c r="I316" s="5">
        <v>1</v>
      </c>
      <c r="J316" s="5">
        <v>2317</v>
      </c>
      <c r="K316" t="s">
        <v>18</v>
      </c>
      <c r="L316" t="s">
        <v>57</v>
      </c>
      <c r="M316" t="s">
        <v>47</v>
      </c>
      <c r="N316" t="s">
        <v>42</v>
      </c>
      <c r="O316" t="s">
        <v>49</v>
      </c>
      <c r="P316" t="s">
        <v>18</v>
      </c>
      <c r="Q316">
        <f>Table1[[#This Row],[Course_Fee_AED]]-Table1[[#This Row],[Amount_Paid_AED]]</f>
        <v>4634</v>
      </c>
      <c r="R316">
        <f>Table1[[#This Row],[Course_Fee_AED]]-Table1[[#This Row],[pending Revenue]]</f>
        <v>2317</v>
      </c>
    </row>
    <row r="317" spans="1:18" x14ac:dyDescent="0.25">
      <c r="A317" t="s">
        <v>394</v>
      </c>
      <c r="B317" s="2">
        <v>45422</v>
      </c>
      <c r="C317" t="s">
        <v>31</v>
      </c>
      <c r="D317" t="s">
        <v>32</v>
      </c>
      <c r="E317" t="s">
        <v>26</v>
      </c>
      <c r="F317" s="5">
        <v>3</v>
      </c>
      <c r="G317" s="5">
        <v>1</v>
      </c>
      <c r="H317" s="5">
        <v>7948</v>
      </c>
      <c r="I317" s="5">
        <v>1</v>
      </c>
      <c r="J317" s="5">
        <v>2649</v>
      </c>
      <c r="K317" t="s">
        <v>18</v>
      </c>
      <c r="L317" t="s">
        <v>19</v>
      </c>
      <c r="M317" t="s">
        <v>47</v>
      </c>
      <c r="N317" t="s">
        <v>154</v>
      </c>
      <c r="O317" t="s">
        <v>87</v>
      </c>
      <c r="P317" t="s">
        <v>18</v>
      </c>
      <c r="Q317">
        <f>Table1[[#This Row],[Course_Fee_AED]]-Table1[[#This Row],[Amount_Paid_AED]]</f>
        <v>5299</v>
      </c>
      <c r="R317">
        <f>Table1[[#This Row],[Course_Fee_AED]]-Table1[[#This Row],[pending Revenue]]</f>
        <v>2649</v>
      </c>
    </row>
    <row r="318" spans="1:18" x14ac:dyDescent="0.25">
      <c r="A318" t="s">
        <v>395</v>
      </c>
      <c r="B318" s="2">
        <v>45300</v>
      </c>
      <c r="C318" t="s">
        <v>82</v>
      </c>
      <c r="D318" t="s">
        <v>83</v>
      </c>
      <c r="E318" t="s">
        <v>17</v>
      </c>
      <c r="F318" s="5">
        <v>6</v>
      </c>
      <c r="G318" s="5">
        <v>1</v>
      </c>
      <c r="H318" s="5">
        <v>14039</v>
      </c>
      <c r="I318" s="5">
        <v>1</v>
      </c>
      <c r="J318" s="5">
        <v>4679</v>
      </c>
      <c r="K318" t="s">
        <v>18</v>
      </c>
      <c r="L318" t="s">
        <v>40</v>
      </c>
      <c r="M318" t="s">
        <v>60</v>
      </c>
      <c r="N318" t="s">
        <v>21</v>
      </c>
      <c r="O318" t="s">
        <v>43</v>
      </c>
      <c r="P318" t="s">
        <v>36</v>
      </c>
      <c r="Q318">
        <f>Table1[[#This Row],[Course_Fee_AED]]-Table1[[#This Row],[Amount_Paid_AED]]</f>
        <v>9360</v>
      </c>
      <c r="R318">
        <f>Table1[[#This Row],[Course_Fee_AED]]-Table1[[#This Row],[pending Revenue]]</f>
        <v>4679</v>
      </c>
    </row>
    <row r="319" spans="1:18" x14ac:dyDescent="0.25">
      <c r="A319" t="s">
        <v>396</v>
      </c>
      <c r="B319" s="2">
        <v>45498</v>
      </c>
      <c r="C319" t="s">
        <v>92</v>
      </c>
      <c r="D319" t="s">
        <v>93</v>
      </c>
      <c r="E319" t="s">
        <v>17</v>
      </c>
      <c r="F319" s="5">
        <v>6</v>
      </c>
      <c r="G319" s="5">
        <v>1</v>
      </c>
      <c r="H319" s="5">
        <v>5924</v>
      </c>
      <c r="I319" s="5">
        <v>3</v>
      </c>
      <c r="J319" s="5">
        <v>5922</v>
      </c>
      <c r="K319" t="s">
        <v>18</v>
      </c>
      <c r="L319" t="s">
        <v>40</v>
      </c>
      <c r="M319" t="s">
        <v>60</v>
      </c>
      <c r="N319" t="s">
        <v>34</v>
      </c>
      <c r="O319" t="s">
        <v>71</v>
      </c>
      <c r="P319" t="s">
        <v>36</v>
      </c>
      <c r="Q319">
        <f>Table1[[#This Row],[Course_Fee_AED]]-Table1[[#This Row],[Amount_Paid_AED]]</f>
        <v>2</v>
      </c>
      <c r="R319">
        <f>Table1[[#This Row],[Course_Fee_AED]]-Table1[[#This Row],[pending Revenue]]</f>
        <v>5922</v>
      </c>
    </row>
    <row r="320" spans="1:18" x14ac:dyDescent="0.25">
      <c r="A320" t="s">
        <v>397</v>
      </c>
      <c r="B320" s="2">
        <v>45514</v>
      </c>
      <c r="C320" t="s">
        <v>75</v>
      </c>
      <c r="D320" t="s">
        <v>76</v>
      </c>
      <c r="E320" t="s">
        <v>26</v>
      </c>
      <c r="F320" s="5">
        <v>3</v>
      </c>
      <c r="G320" s="5">
        <v>1</v>
      </c>
      <c r="H320" s="5">
        <v>11114</v>
      </c>
      <c r="I320" s="5">
        <v>1</v>
      </c>
      <c r="J320" s="5">
        <v>3704</v>
      </c>
      <c r="K320" t="s">
        <v>18</v>
      </c>
      <c r="L320" t="s">
        <v>40</v>
      </c>
      <c r="M320" t="s">
        <v>47</v>
      </c>
      <c r="N320" t="s">
        <v>21</v>
      </c>
      <c r="O320" t="s">
        <v>49</v>
      </c>
      <c r="P320" t="s">
        <v>18</v>
      </c>
      <c r="Q320">
        <f>Table1[[#This Row],[Course_Fee_AED]]-Table1[[#This Row],[Amount_Paid_AED]]</f>
        <v>7410</v>
      </c>
      <c r="R320">
        <f>Table1[[#This Row],[Course_Fee_AED]]-Table1[[#This Row],[pending Revenue]]</f>
        <v>3704</v>
      </c>
    </row>
    <row r="321" spans="1:18" x14ac:dyDescent="0.25">
      <c r="A321" t="s">
        <v>398</v>
      </c>
      <c r="B321" s="2">
        <v>45430</v>
      </c>
      <c r="C321" t="s">
        <v>113</v>
      </c>
      <c r="D321" t="s">
        <v>93</v>
      </c>
      <c r="E321" t="s">
        <v>17</v>
      </c>
      <c r="F321" s="5">
        <v>6</v>
      </c>
      <c r="G321" s="5">
        <v>1</v>
      </c>
      <c r="H321" s="5">
        <v>3799</v>
      </c>
      <c r="I321" s="5">
        <v>2</v>
      </c>
      <c r="J321" s="5">
        <v>2532</v>
      </c>
      <c r="K321" t="s">
        <v>18</v>
      </c>
      <c r="L321" t="s">
        <v>19</v>
      </c>
      <c r="M321" t="s">
        <v>41</v>
      </c>
      <c r="N321" t="s">
        <v>21</v>
      </c>
      <c r="O321" t="s">
        <v>35</v>
      </c>
      <c r="P321" t="s">
        <v>36</v>
      </c>
      <c r="Q321">
        <f>Table1[[#This Row],[Course_Fee_AED]]-Table1[[#This Row],[Amount_Paid_AED]]</f>
        <v>1267</v>
      </c>
      <c r="R321">
        <f>Table1[[#This Row],[Course_Fee_AED]]-Table1[[#This Row],[pending Revenue]]</f>
        <v>2532</v>
      </c>
    </row>
    <row r="322" spans="1:18" x14ac:dyDescent="0.25">
      <c r="A322" t="s">
        <v>399</v>
      </c>
      <c r="B322" s="2">
        <v>45494</v>
      </c>
      <c r="C322" t="s">
        <v>15</v>
      </c>
      <c r="D322" t="s">
        <v>16</v>
      </c>
      <c r="E322" t="s">
        <v>17</v>
      </c>
      <c r="F322" s="5">
        <v>6</v>
      </c>
      <c r="G322" s="5">
        <v>1</v>
      </c>
      <c r="H322" s="5">
        <v>6411</v>
      </c>
      <c r="I322" s="5">
        <v>2</v>
      </c>
      <c r="J322" s="5">
        <v>4274</v>
      </c>
      <c r="K322" t="s">
        <v>18</v>
      </c>
      <c r="L322" t="s">
        <v>57</v>
      </c>
      <c r="M322" t="s">
        <v>41</v>
      </c>
      <c r="N322" t="s">
        <v>42</v>
      </c>
      <c r="O322" t="s">
        <v>43</v>
      </c>
      <c r="P322" t="s">
        <v>18</v>
      </c>
      <c r="Q322">
        <f>Table1[[#This Row],[Course_Fee_AED]]-Table1[[#This Row],[Amount_Paid_AED]]</f>
        <v>2137</v>
      </c>
      <c r="R322">
        <f>Table1[[#This Row],[Course_Fee_AED]]-Table1[[#This Row],[pending Revenue]]</f>
        <v>4274</v>
      </c>
    </row>
    <row r="323" spans="1:18" x14ac:dyDescent="0.25">
      <c r="A323" t="s">
        <v>400</v>
      </c>
      <c r="B323" s="2">
        <v>45655</v>
      </c>
      <c r="C323" t="s">
        <v>24</v>
      </c>
      <c r="D323" t="s">
        <v>25</v>
      </c>
      <c r="E323" t="s">
        <v>26</v>
      </c>
      <c r="F323" s="5">
        <v>3</v>
      </c>
      <c r="G323" s="5">
        <v>1</v>
      </c>
      <c r="H323" s="5">
        <v>5227</v>
      </c>
      <c r="I323" s="5">
        <v>3</v>
      </c>
      <c r="J323" s="5">
        <v>5226</v>
      </c>
      <c r="K323" t="s">
        <v>18</v>
      </c>
      <c r="L323" t="s">
        <v>57</v>
      </c>
      <c r="M323" t="s">
        <v>47</v>
      </c>
      <c r="N323" t="s">
        <v>70</v>
      </c>
      <c r="O323" t="s">
        <v>43</v>
      </c>
      <c r="P323" t="s">
        <v>36</v>
      </c>
      <c r="Q323">
        <f>Table1[[#This Row],[Course_Fee_AED]]-Table1[[#This Row],[Amount_Paid_AED]]</f>
        <v>1</v>
      </c>
      <c r="R323">
        <f>Table1[[#This Row],[Course_Fee_AED]]-Table1[[#This Row],[pending Revenue]]</f>
        <v>5226</v>
      </c>
    </row>
    <row r="324" spans="1:18" x14ac:dyDescent="0.25">
      <c r="A324" t="s">
        <v>401</v>
      </c>
      <c r="B324" s="2">
        <v>45539</v>
      </c>
      <c r="C324" t="s">
        <v>75</v>
      </c>
      <c r="D324" t="s">
        <v>76</v>
      </c>
      <c r="E324" t="s">
        <v>26</v>
      </c>
      <c r="F324" s="5">
        <v>3</v>
      </c>
      <c r="G324" s="5">
        <v>1</v>
      </c>
      <c r="H324" s="5">
        <v>12481</v>
      </c>
      <c r="I324" s="5">
        <v>1</v>
      </c>
      <c r="J324" s="5">
        <v>4160</v>
      </c>
      <c r="K324" t="s">
        <v>18</v>
      </c>
      <c r="L324" t="s">
        <v>57</v>
      </c>
      <c r="M324" t="s">
        <v>63</v>
      </c>
      <c r="N324" t="s">
        <v>34</v>
      </c>
      <c r="O324" t="s">
        <v>22</v>
      </c>
      <c r="P324" t="s">
        <v>36</v>
      </c>
      <c r="Q324">
        <f>Table1[[#This Row],[Course_Fee_AED]]-Table1[[#This Row],[Amount_Paid_AED]]</f>
        <v>8321</v>
      </c>
      <c r="R324">
        <f>Table1[[#This Row],[Course_Fee_AED]]-Table1[[#This Row],[pending Revenue]]</f>
        <v>4160</v>
      </c>
    </row>
    <row r="325" spans="1:18" x14ac:dyDescent="0.25">
      <c r="A325" t="s">
        <v>402</v>
      </c>
      <c r="B325" s="2">
        <v>45612</v>
      </c>
      <c r="C325" t="s">
        <v>31</v>
      </c>
      <c r="D325" t="s">
        <v>32</v>
      </c>
      <c r="E325" t="s">
        <v>26</v>
      </c>
      <c r="F325" s="5">
        <v>3</v>
      </c>
      <c r="G325" s="5">
        <v>1</v>
      </c>
      <c r="H325" s="5">
        <v>6424</v>
      </c>
      <c r="I325" s="5">
        <v>2</v>
      </c>
      <c r="J325" s="5">
        <v>4282</v>
      </c>
      <c r="K325" t="s">
        <v>18</v>
      </c>
      <c r="L325" t="s">
        <v>40</v>
      </c>
      <c r="M325" t="s">
        <v>27</v>
      </c>
      <c r="N325" t="s">
        <v>90</v>
      </c>
      <c r="O325" t="s">
        <v>22</v>
      </c>
      <c r="P325" t="s">
        <v>36</v>
      </c>
      <c r="Q325">
        <f>Table1[[#This Row],[Course_Fee_AED]]-Table1[[#This Row],[Amount_Paid_AED]]</f>
        <v>2142</v>
      </c>
      <c r="R325">
        <f>Table1[[#This Row],[Course_Fee_AED]]-Table1[[#This Row],[pending Revenue]]</f>
        <v>4282</v>
      </c>
    </row>
    <row r="326" spans="1:18" x14ac:dyDescent="0.25">
      <c r="A326" t="s">
        <v>403</v>
      </c>
      <c r="B326" s="2">
        <v>45322</v>
      </c>
      <c r="C326" t="s">
        <v>113</v>
      </c>
      <c r="D326" t="s">
        <v>93</v>
      </c>
      <c r="E326" t="s">
        <v>17</v>
      </c>
      <c r="F326" s="5">
        <v>6</v>
      </c>
      <c r="G326" s="5">
        <v>1</v>
      </c>
      <c r="H326" s="5">
        <v>4506</v>
      </c>
      <c r="I326" s="5">
        <v>3</v>
      </c>
      <c r="J326" s="5">
        <v>4506</v>
      </c>
      <c r="K326" t="s">
        <v>33</v>
      </c>
      <c r="L326" t="s">
        <v>19</v>
      </c>
      <c r="M326" t="s">
        <v>47</v>
      </c>
      <c r="N326" t="s">
        <v>48</v>
      </c>
      <c r="O326" t="s">
        <v>22</v>
      </c>
      <c r="P326" t="s">
        <v>36</v>
      </c>
      <c r="Q326">
        <f>Table1[[#This Row],[Course_Fee_AED]]-Table1[[#This Row],[Amount_Paid_AED]]</f>
        <v>0</v>
      </c>
      <c r="R326">
        <f>Table1[[#This Row],[Course_Fee_AED]]-Table1[[#This Row],[pending Revenue]]</f>
        <v>4506</v>
      </c>
    </row>
    <row r="327" spans="1:18" x14ac:dyDescent="0.25">
      <c r="A327" t="s">
        <v>404</v>
      </c>
      <c r="B327" s="2">
        <v>45625</v>
      </c>
      <c r="C327" t="s">
        <v>66</v>
      </c>
      <c r="D327" t="s">
        <v>56</v>
      </c>
      <c r="E327" t="s">
        <v>17</v>
      </c>
      <c r="F327" s="5">
        <v>6</v>
      </c>
      <c r="G327" s="5">
        <v>1</v>
      </c>
      <c r="H327" s="5">
        <v>8216</v>
      </c>
      <c r="I327" s="5">
        <v>2</v>
      </c>
      <c r="J327" s="5">
        <v>5476</v>
      </c>
      <c r="K327" t="s">
        <v>18</v>
      </c>
      <c r="L327" t="s">
        <v>19</v>
      </c>
      <c r="M327" t="s">
        <v>20</v>
      </c>
      <c r="N327" t="s">
        <v>21</v>
      </c>
      <c r="O327" t="s">
        <v>43</v>
      </c>
      <c r="P327" t="s">
        <v>18</v>
      </c>
      <c r="Q327">
        <f>Table1[[#This Row],[Course_Fee_AED]]-Table1[[#This Row],[Amount_Paid_AED]]</f>
        <v>2740</v>
      </c>
      <c r="R327">
        <f>Table1[[#This Row],[Course_Fee_AED]]-Table1[[#This Row],[pending Revenue]]</f>
        <v>5476</v>
      </c>
    </row>
    <row r="328" spans="1:18" x14ac:dyDescent="0.25">
      <c r="A328" t="s">
        <v>405</v>
      </c>
      <c r="B328" s="2">
        <v>45520</v>
      </c>
      <c r="C328" t="s">
        <v>45</v>
      </c>
      <c r="D328" t="s">
        <v>46</v>
      </c>
      <c r="E328" t="s">
        <v>26</v>
      </c>
      <c r="F328" s="5">
        <v>3</v>
      </c>
      <c r="G328" s="5">
        <v>1</v>
      </c>
      <c r="H328" s="5">
        <v>5186</v>
      </c>
      <c r="I328" s="5">
        <v>3</v>
      </c>
      <c r="J328" s="5">
        <v>5184</v>
      </c>
      <c r="K328" t="s">
        <v>18</v>
      </c>
      <c r="L328" t="s">
        <v>40</v>
      </c>
      <c r="M328" t="s">
        <v>41</v>
      </c>
      <c r="N328" t="s">
        <v>21</v>
      </c>
      <c r="O328" t="s">
        <v>29</v>
      </c>
      <c r="P328" t="s">
        <v>36</v>
      </c>
      <c r="Q328">
        <f>Table1[[#This Row],[Course_Fee_AED]]-Table1[[#This Row],[Amount_Paid_AED]]</f>
        <v>2</v>
      </c>
      <c r="R328">
        <f>Table1[[#This Row],[Course_Fee_AED]]-Table1[[#This Row],[pending Revenue]]</f>
        <v>5184</v>
      </c>
    </row>
    <row r="329" spans="1:18" x14ac:dyDescent="0.25">
      <c r="A329" t="s">
        <v>406</v>
      </c>
      <c r="B329" s="2">
        <v>45312</v>
      </c>
      <c r="C329" t="s">
        <v>45</v>
      </c>
      <c r="D329" t="s">
        <v>46</v>
      </c>
      <c r="E329" t="s">
        <v>26</v>
      </c>
      <c r="F329" s="5">
        <v>3</v>
      </c>
      <c r="G329" s="5">
        <v>1</v>
      </c>
      <c r="H329" s="5">
        <v>6268</v>
      </c>
      <c r="I329" s="5">
        <v>3</v>
      </c>
      <c r="J329" s="5">
        <v>6267</v>
      </c>
      <c r="K329" t="s">
        <v>18</v>
      </c>
      <c r="L329" t="s">
        <v>40</v>
      </c>
      <c r="M329" t="s">
        <v>41</v>
      </c>
      <c r="N329" t="s">
        <v>86</v>
      </c>
      <c r="O329" t="s">
        <v>43</v>
      </c>
      <c r="P329" t="s">
        <v>36</v>
      </c>
      <c r="Q329">
        <f>Table1[[#This Row],[Course_Fee_AED]]-Table1[[#This Row],[Amount_Paid_AED]]</f>
        <v>1</v>
      </c>
      <c r="R329">
        <f>Table1[[#This Row],[Course_Fee_AED]]-Table1[[#This Row],[pending Revenue]]</f>
        <v>6267</v>
      </c>
    </row>
    <row r="330" spans="1:18" x14ac:dyDescent="0.25">
      <c r="A330" t="s">
        <v>407</v>
      </c>
      <c r="B330" s="2">
        <v>45332</v>
      </c>
      <c r="C330" t="s">
        <v>100</v>
      </c>
      <c r="D330" t="s">
        <v>101</v>
      </c>
      <c r="E330" t="s">
        <v>26</v>
      </c>
      <c r="F330" s="5">
        <v>3</v>
      </c>
      <c r="G330" s="5">
        <v>1</v>
      </c>
      <c r="H330" s="5">
        <v>3826</v>
      </c>
      <c r="I330" s="5">
        <v>2</v>
      </c>
      <c r="J330" s="5">
        <v>2550</v>
      </c>
      <c r="K330" t="s">
        <v>18</v>
      </c>
      <c r="L330" t="s">
        <v>40</v>
      </c>
      <c r="M330" t="s">
        <v>63</v>
      </c>
      <c r="N330" t="s">
        <v>21</v>
      </c>
      <c r="O330" t="s">
        <v>22</v>
      </c>
      <c r="P330" t="s">
        <v>18</v>
      </c>
      <c r="Q330">
        <f>Table1[[#This Row],[Course_Fee_AED]]-Table1[[#This Row],[Amount_Paid_AED]]</f>
        <v>1276</v>
      </c>
      <c r="R330">
        <f>Table1[[#This Row],[Course_Fee_AED]]-Table1[[#This Row],[pending Revenue]]</f>
        <v>2550</v>
      </c>
    </row>
    <row r="331" spans="1:18" x14ac:dyDescent="0.25">
      <c r="A331" t="s">
        <v>408</v>
      </c>
      <c r="B331" s="2">
        <v>45354</v>
      </c>
      <c r="C331" t="s">
        <v>31</v>
      </c>
      <c r="D331" t="s">
        <v>32</v>
      </c>
      <c r="E331" t="s">
        <v>17</v>
      </c>
      <c r="F331" s="5">
        <v>6</v>
      </c>
      <c r="G331" s="5">
        <v>1</v>
      </c>
      <c r="H331" s="5">
        <v>5551</v>
      </c>
      <c r="I331" s="5">
        <v>3</v>
      </c>
      <c r="J331" s="5">
        <v>5550</v>
      </c>
      <c r="K331" t="s">
        <v>18</v>
      </c>
      <c r="L331" t="s">
        <v>57</v>
      </c>
      <c r="M331" t="s">
        <v>47</v>
      </c>
      <c r="N331" t="s">
        <v>21</v>
      </c>
      <c r="O331" t="s">
        <v>58</v>
      </c>
      <c r="P331" t="s">
        <v>36</v>
      </c>
      <c r="Q331">
        <f>Table1[[#This Row],[Course_Fee_AED]]-Table1[[#This Row],[Amount_Paid_AED]]</f>
        <v>1</v>
      </c>
      <c r="R331">
        <f>Table1[[#This Row],[Course_Fee_AED]]-Table1[[#This Row],[pending Revenue]]</f>
        <v>5550</v>
      </c>
    </row>
    <row r="332" spans="1:18" x14ac:dyDescent="0.25">
      <c r="A332" t="s">
        <v>409</v>
      </c>
      <c r="B332" s="2">
        <v>45549</v>
      </c>
      <c r="C332" t="s">
        <v>113</v>
      </c>
      <c r="D332" t="s">
        <v>93</v>
      </c>
      <c r="E332" t="s">
        <v>26</v>
      </c>
      <c r="F332" s="5">
        <v>3</v>
      </c>
      <c r="G332" s="5">
        <v>1</v>
      </c>
      <c r="H332" s="5">
        <v>3106</v>
      </c>
      <c r="I332" s="5">
        <v>3</v>
      </c>
      <c r="J332" s="5">
        <v>3105</v>
      </c>
      <c r="K332" t="s">
        <v>18</v>
      </c>
      <c r="L332" t="s">
        <v>19</v>
      </c>
      <c r="M332" t="s">
        <v>41</v>
      </c>
      <c r="N332" t="s">
        <v>21</v>
      </c>
      <c r="O332" t="s">
        <v>64</v>
      </c>
      <c r="P332" t="s">
        <v>36</v>
      </c>
      <c r="Q332">
        <f>Table1[[#This Row],[Course_Fee_AED]]-Table1[[#This Row],[Amount_Paid_AED]]</f>
        <v>1</v>
      </c>
      <c r="R332">
        <f>Table1[[#This Row],[Course_Fee_AED]]-Table1[[#This Row],[pending Revenue]]</f>
        <v>3105</v>
      </c>
    </row>
    <row r="333" spans="1:18" x14ac:dyDescent="0.25">
      <c r="A333" t="s">
        <v>410</v>
      </c>
      <c r="B333" s="2">
        <v>45518</v>
      </c>
      <c r="C333" t="s">
        <v>100</v>
      </c>
      <c r="D333" t="s">
        <v>101</v>
      </c>
      <c r="E333" t="s">
        <v>17</v>
      </c>
      <c r="F333" s="5">
        <v>6</v>
      </c>
      <c r="G333" s="5">
        <v>1</v>
      </c>
      <c r="H333" s="5">
        <v>4174</v>
      </c>
      <c r="I333" s="5">
        <v>2</v>
      </c>
      <c r="J333" s="5">
        <v>2782</v>
      </c>
      <c r="K333" t="s">
        <v>18</v>
      </c>
      <c r="L333" t="s">
        <v>57</v>
      </c>
      <c r="M333" t="s">
        <v>63</v>
      </c>
      <c r="N333" t="s">
        <v>86</v>
      </c>
      <c r="O333" t="s">
        <v>71</v>
      </c>
      <c r="P333" t="s">
        <v>18</v>
      </c>
      <c r="Q333">
        <f>Table1[[#This Row],[Course_Fee_AED]]-Table1[[#This Row],[Amount_Paid_AED]]</f>
        <v>1392</v>
      </c>
      <c r="R333">
        <f>Table1[[#This Row],[Course_Fee_AED]]-Table1[[#This Row],[pending Revenue]]</f>
        <v>2782</v>
      </c>
    </row>
    <row r="334" spans="1:18" x14ac:dyDescent="0.25">
      <c r="A334" t="s">
        <v>411</v>
      </c>
      <c r="B334" s="2">
        <v>45337</v>
      </c>
      <c r="C334" t="s">
        <v>55</v>
      </c>
      <c r="D334" t="s">
        <v>56</v>
      </c>
      <c r="E334" t="s">
        <v>17</v>
      </c>
      <c r="F334" s="5">
        <v>6</v>
      </c>
      <c r="G334" s="5">
        <v>1</v>
      </c>
      <c r="H334" s="5">
        <v>11151</v>
      </c>
      <c r="I334" s="5">
        <v>3</v>
      </c>
      <c r="J334" s="5">
        <v>11151</v>
      </c>
      <c r="K334" t="s">
        <v>33</v>
      </c>
      <c r="L334" t="s">
        <v>40</v>
      </c>
      <c r="M334" t="s">
        <v>60</v>
      </c>
      <c r="N334" t="s">
        <v>154</v>
      </c>
      <c r="O334" t="s">
        <v>43</v>
      </c>
      <c r="P334" t="s">
        <v>18</v>
      </c>
      <c r="Q334">
        <f>Table1[[#This Row],[Course_Fee_AED]]-Table1[[#This Row],[Amount_Paid_AED]]</f>
        <v>0</v>
      </c>
      <c r="R334">
        <f>Table1[[#This Row],[Course_Fee_AED]]-Table1[[#This Row],[pending Revenue]]</f>
        <v>11151</v>
      </c>
    </row>
    <row r="335" spans="1:18" x14ac:dyDescent="0.25">
      <c r="A335" t="s">
        <v>412</v>
      </c>
      <c r="B335" s="2">
        <v>45584</v>
      </c>
      <c r="C335" t="s">
        <v>82</v>
      </c>
      <c r="D335" t="s">
        <v>83</v>
      </c>
      <c r="E335" t="s">
        <v>17</v>
      </c>
      <c r="F335" s="5">
        <v>6</v>
      </c>
      <c r="G335" s="5">
        <v>1</v>
      </c>
      <c r="H335" s="5">
        <v>14920</v>
      </c>
      <c r="I335" s="5">
        <v>2</v>
      </c>
      <c r="J335" s="5">
        <v>9946</v>
      </c>
      <c r="K335" t="s">
        <v>18</v>
      </c>
      <c r="L335" t="s">
        <v>19</v>
      </c>
      <c r="M335" t="s">
        <v>60</v>
      </c>
      <c r="N335" t="s">
        <v>61</v>
      </c>
      <c r="O335" t="s">
        <v>35</v>
      </c>
      <c r="P335" t="s">
        <v>18</v>
      </c>
      <c r="Q335">
        <f>Table1[[#This Row],[Course_Fee_AED]]-Table1[[#This Row],[Amount_Paid_AED]]</f>
        <v>4974</v>
      </c>
      <c r="R335">
        <f>Table1[[#This Row],[Course_Fee_AED]]-Table1[[#This Row],[pending Revenue]]</f>
        <v>9946</v>
      </c>
    </row>
    <row r="336" spans="1:18" x14ac:dyDescent="0.25">
      <c r="A336" t="s">
        <v>413</v>
      </c>
      <c r="B336" s="2">
        <v>45352</v>
      </c>
      <c r="C336" t="s">
        <v>55</v>
      </c>
      <c r="D336" t="s">
        <v>56</v>
      </c>
      <c r="E336" t="s">
        <v>26</v>
      </c>
      <c r="F336" s="5">
        <v>3</v>
      </c>
      <c r="G336" s="5">
        <v>1</v>
      </c>
      <c r="H336" s="5">
        <v>8399</v>
      </c>
      <c r="I336" s="5">
        <v>2</v>
      </c>
      <c r="J336" s="5">
        <v>5598</v>
      </c>
      <c r="K336" t="s">
        <v>18</v>
      </c>
      <c r="L336" t="s">
        <v>19</v>
      </c>
      <c r="M336" t="s">
        <v>47</v>
      </c>
      <c r="N336" t="s">
        <v>21</v>
      </c>
      <c r="O336" t="s">
        <v>58</v>
      </c>
      <c r="P336" t="s">
        <v>18</v>
      </c>
      <c r="Q336">
        <f>Table1[[#This Row],[Course_Fee_AED]]-Table1[[#This Row],[Amount_Paid_AED]]</f>
        <v>2801</v>
      </c>
      <c r="R336">
        <f>Table1[[#This Row],[Course_Fee_AED]]-Table1[[#This Row],[pending Revenue]]</f>
        <v>5598</v>
      </c>
    </row>
    <row r="337" spans="1:18" x14ac:dyDescent="0.25">
      <c r="A337" t="s">
        <v>414</v>
      </c>
      <c r="B337" s="2">
        <v>45640</v>
      </c>
      <c r="C337" t="s">
        <v>45</v>
      </c>
      <c r="D337" t="s">
        <v>46</v>
      </c>
      <c r="E337" t="s">
        <v>17</v>
      </c>
      <c r="F337" s="5">
        <v>6</v>
      </c>
      <c r="G337" s="5">
        <v>1</v>
      </c>
      <c r="H337" s="5">
        <v>5341</v>
      </c>
      <c r="I337" s="5">
        <v>3</v>
      </c>
      <c r="J337" s="5">
        <v>5340</v>
      </c>
      <c r="K337" t="s">
        <v>18</v>
      </c>
      <c r="L337" t="s">
        <v>57</v>
      </c>
      <c r="M337" t="s">
        <v>27</v>
      </c>
      <c r="N337" t="s">
        <v>34</v>
      </c>
      <c r="O337" t="s">
        <v>22</v>
      </c>
      <c r="P337" t="s">
        <v>18</v>
      </c>
      <c r="Q337">
        <f>Table1[[#This Row],[Course_Fee_AED]]-Table1[[#This Row],[Amount_Paid_AED]]</f>
        <v>1</v>
      </c>
      <c r="R337">
        <f>Table1[[#This Row],[Course_Fee_AED]]-Table1[[#This Row],[pending Revenue]]</f>
        <v>5340</v>
      </c>
    </row>
    <row r="338" spans="1:18" x14ac:dyDescent="0.25">
      <c r="A338" t="s">
        <v>415</v>
      </c>
      <c r="B338" s="2">
        <v>45430</v>
      </c>
      <c r="C338" t="s">
        <v>100</v>
      </c>
      <c r="D338" t="s">
        <v>101</v>
      </c>
      <c r="E338" t="s">
        <v>17</v>
      </c>
      <c r="F338" s="5">
        <v>6</v>
      </c>
      <c r="G338" s="5">
        <v>1</v>
      </c>
      <c r="H338" s="5">
        <v>3670</v>
      </c>
      <c r="I338" s="5">
        <v>3</v>
      </c>
      <c r="J338" s="5">
        <v>3669</v>
      </c>
      <c r="K338" t="s">
        <v>18</v>
      </c>
      <c r="L338" t="s">
        <v>57</v>
      </c>
      <c r="M338" t="s">
        <v>27</v>
      </c>
      <c r="N338" t="s">
        <v>90</v>
      </c>
      <c r="O338" t="s">
        <v>58</v>
      </c>
      <c r="P338" t="s">
        <v>18</v>
      </c>
      <c r="Q338">
        <f>Table1[[#This Row],[Course_Fee_AED]]-Table1[[#This Row],[Amount_Paid_AED]]</f>
        <v>1</v>
      </c>
      <c r="R338">
        <f>Table1[[#This Row],[Course_Fee_AED]]-Table1[[#This Row],[pending Revenue]]</f>
        <v>3669</v>
      </c>
    </row>
    <row r="339" spans="1:18" x14ac:dyDescent="0.25">
      <c r="A339" t="s">
        <v>416</v>
      </c>
      <c r="B339" s="2">
        <v>45628</v>
      </c>
      <c r="C339" t="s">
        <v>66</v>
      </c>
      <c r="D339" t="s">
        <v>56</v>
      </c>
      <c r="E339" t="s">
        <v>17</v>
      </c>
      <c r="F339" s="5">
        <v>6</v>
      </c>
      <c r="G339" s="5">
        <v>1</v>
      </c>
      <c r="H339" s="5">
        <v>7928</v>
      </c>
      <c r="I339" s="5">
        <v>2</v>
      </c>
      <c r="J339" s="5">
        <v>5284</v>
      </c>
      <c r="K339" t="s">
        <v>18</v>
      </c>
      <c r="L339" t="s">
        <v>19</v>
      </c>
      <c r="M339" t="s">
        <v>60</v>
      </c>
      <c r="N339" t="s">
        <v>53</v>
      </c>
      <c r="O339" t="s">
        <v>64</v>
      </c>
      <c r="P339" t="s">
        <v>36</v>
      </c>
      <c r="Q339">
        <f>Table1[[#This Row],[Course_Fee_AED]]-Table1[[#This Row],[Amount_Paid_AED]]</f>
        <v>2644</v>
      </c>
      <c r="R339">
        <f>Table1[[#This Row],[Course_Fee_AED]]-Table1[[#This Row],[pending Revenue]]</f>
        <v>5284</v>
      </c>
    </row>
    <row r="340" spans="1:18" x14ac:dyDescent="0.25">
      <c r="A340" t="s">
        <v>417</v>
      </c>
      <c r="B340" s="2">
        <v>45454</v>
      </c>
      <c r="C340" t="s">
        <v>100</v>
      </c>
      <c r="D340" t="s">
        <v>101</v>
      </c>
      <c r="E340" t="s">
        <v>26</v>
      </c>
      <c r="F340" s="5">
        <v>3</v>
      </c>
      <c r="G340" s="5">
        <v>1</v>
      </c>
      <c r="H340" s="5">
        <v>4689</v>
      </c>
      <c r="I340" s="5">
        <v>3</v>
      </c>
      <c r="J340" s="5">
        <v>4689</v>
      </c>
      <c r="K340" t="s">
        <v>33</v>
      </c>
      <c r="L340" t="s">
        <v>40</v>
      </c>
      <c r="M340" t="s">
        <v>41</v>
      </c>
      <c r="N340" t="s">
        <v>79</v>
      </c>
      <c r="O340" t="s">
        <v>87</v>
      </c>
      <c r="P340" t="s">
        <v>36</v>
      </c>
      <c r="Q340">
        <f>Table1[[#This Row],[Course_Fee_AED]]-Table1[[#This Row],[Amount_Paid_AED]]</f>
        <v>0</v>
      </c>
      <c r="R340">
        <f>Table1[[#This Row],[Course_Fee_AED]]-Table1[[#This Row],[pending Revenue]]</f>
        <v>4689</v>
      </c>
    </row>
    <row r="341" spans="1:18" x14ac:dyDescent="0.25">
      <c r="A341" t="s">
        <v>418</v>
      </c>
      <c r="B341" s="2">
        <v>45544</v>
      </c>
      <c r="C341" t="s">
        <v>113</v>
      </c>
      <c r="D341" t="s">
        <v>93</v>
      </c>
      <c r="E341" t="s">
        <v>26</v>
      </c>
      <c r="F341" s="5">
        <v>3</v>
      </c>
      <c r="G341" s="5">
        <v>1</v>
      </c>
      <c r="H341" s="5">
        <v>4819</v>
      </c>
      <c r="I341" s="5">
        <v>2</v>
      </c>
      <c r="J341" s="5">
        <v>3212</v>
      </c>
      <c r="K341" t="s">
        <v>18</v>
      </c>
      <c r="L341" t="s">
        <v>57</v>
      </c>
      <c r="M341" t="s">
        <v>20</v>
      </c>
      <c r="N341" t="s">
        <v>95</v>
      </c>
      <c r="O341" t="s">
        <v>29</v>
      </c>
      <c r="P341" t="s">
        <v>36</v>
      </c>
      <c r="Q341">
        <f>Table1[[#This Row],[Course_Fee_AED]]-Table1[[#This Row],[Amount_Paid_AED]]</f>
        <v>1607</v>
      </c>
      <c r="R341">
        <f>Table1[[#This Row],[Course_Fee_AED]]-Table1[[#This Row],[pending Revenue]]</f>
        <v>3212</v>
      </c>
    </row>
    <row r="342" spans="1:18" x14ac:dyDescent="0.25">
      <c r="A342" t="s">
        <v>419</v>
      </c>
      <c r="B342" s="2">
        <v>45579</v>
      </c>
      <c r="C342" t="s">
        <v>92</v>
      </c>
      <c r="D342" t="s">
        <v>93</v>
      </c>
      <c r="E342" t="s">
        <v>26</v>
      </c>
      <c r="F342" s="5">
        <v>3</v>
      </c>
      <c r="G342" s="5">
        <v>1</v>
      </c>
      <c r="H342" s="5">
        <v>6356</v>
      </c>
      <c r="I342" s="5">
        <v>3</v>
      </c>
      <c r="J342" s="5">
        <v>6354</v>
      </c>
      <c r="K342" t="s">
        <v>18</v>
      </c>
      <c r="L342" t="s">
        <v>57</v>
      </c>
      <c r="M342" t="s">
        <v>27</v>
      </c>
      <c r="N342" t="s">
        <v>21</v>
      </c>
      <c r="O342" t="s">
        <v>71</v>
      </c>
      <c r="P342" t="s">
        <v>36</v>
      </c>
      <c r="Q342">
        <f>Table1[[#This Row],[Course_Fee_AED]]-Table1[[#This Row],[Amount_Paid_AED]]</f>
        <v>2</v>
      </c>
      <c r="R342">
        <f>Table1[[#This Row],[Course_Fee_AED]]-Table1[[#This Row],[pending Revenue]]</f>
        <v>6354</v>
      </c>
    </row>
    <row r="343" spans="1:18" x14ac:dyDescent="0.25">
      <c r="A343" t="s">
        <v>420</v>
      </c>
      <c r="B343" s="2">
        <v>45528</v>
      </c>
      <c r="C343" t="s">
        <v>51</v>
      </c>
      <c r="D343" t="s">
        <v>52</v>
      </c>
      <c r="E343" t="s">
        <v>26</v>
      </c>
      <c r="F343" s="5">
        <v>3</v>
      </c>
      <c r="G343" s="5">
        <v>1</v>
      </c>
      <c r="H343" s="5">
        <v>4197</v>
      </c>
      <c r="I343" s="5">
        <v>2</v>
      </c>
      <c r="J343" s="5">
        <v>2798</v>
      </c>
      <c r="K343" t="s">
        <v>18</v>
      </c>
      <c r="L343" t="s">
        <v>57</v>
      </c>
      <c r="M343" t="s">
        <v>47</v>
      </c>
      <c r="N343" t="s">
        <v>61</v>
      </c>
      <c r="O343" t="s">
        <v>64</v>
      </c>
      <c r="P343" t="s">
        <v>18</v>
      </c>
      <c r="Q343">
        <f>Table1[[#This Row],[Course_Fee_AED]]-Table1[[#This Row],[Amount_Paid_AED]]</f>
        <v>1399</v>
      </c>
      <c r="R343">
        <f>Table1[[#This Row],[Course_Fee_AED]]-Table1[[#This Row],[pending Revenue]]</f>
        <v>2798</v>
      </c>
    </row>
    <row r="344" spans="1:18" x14ac:dyDescent="0.25">
      <c r="A344" t="s">
        <v>421</v>
      </c>
      <c r="B344" s="2">
        <v>45477</v>
      </c>
      <c r="C344" t="s">
        <v>15</v>
      </c>
      <c r="D344" t="s">
        <v>16</v>
      </c>
      <c r="E344" t="s">
        <v>17</v>
      </c>
      <c r="F344" s="5">
        <v>6</v>
      </c>
      <c r="G344" s="5">
        <v>1</v>
      </c>
      <c r="H344" s="5">
        <v>5304</v>
      </c>
      <c r="I344" s="5">
        <v>2</v>
      </c>
      <c r="J344" s="5">
        <v>3536</v>
      </c>
      <c r="K344" t="s">
        <v>18</v>
      </c>
      <c r="L344" t="s">
        <v>19</v>
      </c>
      <c r="M344" t="s">
        <v>27</v>
      </c>
      <c r="N344" t="s">
        <v>79</v>
      </c>
      <c r="O344" t="s">
        <v>35</v>
      </c>
      <c r="P344" t="s">
        <v>36</v>
      </c>
      <c r="Q344">
        <f>Table1[[#This Row],[Course_Fee_AED]]-Table1[[#This Row],[Amount_Paid_AED]]</f>
        <v>1768</v>
      </c>
      <c r="R344">
        <f>Table1[[#This Row],[Course_Fee_AED]]-Table1[[#This Row],[pending Revenue]]</f>
        <v>3536</v>
      </c>
    </row>
    <row r="345" spans="1:18" x14ac:dyDescent="0.25">
      <c r="A345" t="s">
        <v>422</v>
      </c>
      <c r="B345" s="2">
        <v>45339</v>
      </c>
      <c r="C345" t="s">
        <v>51</v>
      </c>
      <c r="D345" t="s">
        <v>52</v>
      </c>
      <c r="E345" t="s">
        <v>17</v>
      </c>
      <c r="F345" s="5">
        <v>6</v>
      </c>
      <c r="G345" s="5">
        <v>1</v>
      </c>
      <c r="H345" s="5">
        <v>5897</v>
      </c>
      <c r="I345" s="5">
        <v>2</v>
      </c>
      <c r="J345" s="5">
        <v>3930</v>
      </c>
      <c r="K345" t="s">
        <v>18</v>
      </c>
      <c r="L345" t="s">
        <v>57</v>
      </c>
      <c r="M345" t="s">
        <v>20</v>
      </c>
      <c r="N345" t="s">
        <v>90</v>
      </c>
      <c r="O345" t="s">
        <v>43</v>
      </c>
      <c r="P345" t="s">
        <v>18</v>
      </c>
      <c r="Q345">
        <f>Table1[[#This Row],[Course_Fee_AED]]-Table1[[#This Row],[Amount_Paid_AED]]</f>
        <v>1967</v>
      </c>
      <c r="R345">
        <f>Table1[[#This Row],[Course_Fee_AED]]-Table1[[#This Row],[pending Revenue]]</f>
        <v>3930</v>
      </c>
    </row>
    <row r="346" spans="1:18" x14ac:dyDescent="0.25">
      <c r="A346" t="s">
        <v>423</v>
      </c>
      <c r="B346" s="2">
        <v>45311</v>
      </c>
      <c r="C346" t="s">
        <v>106</v>
      </c>
      <c r="D346" t="s">
        <v>107</v>
      </c>
      <c r="E346" t="s">
        <v>17</v>
      </c>
      <c r="F346" s="5">
        <v>6</v>
      </c>
      <c r="G346" s="5">
        <v>1</v>
      </c>
      <c r="H346" s="5">
        <v>5610</v>
      </c>
      <c r="I346" s="5">
        <v>1</v>
      </c>
      <c r="J346" s="5">
        <v>1870</v>
      </c>
      <c r="K346" t="s">
        <v>18</v>
      </c>
      <c r="L346" t="s">
        <v>40</v>
      </c>
      <c r="M346" t="s">
        <v>63</v>
      </c>
      <c r="N346" t="s">
        <v>61</v>
      </c>
      <c r="O346" t="s">
        <v>29</v>
      </c>
      <c r="P346" t="s">
        <v>36</v>
      </c>
      <c r="Q346">
        <f>Table1[[#This Row],[Course_Fee_AED]]-Table1[[#This Row],[Amount_Paid_AED]]</f>
        <v>3740</v>
      </c>
      <c r="R346">
        <f>Table1[[#This Row],[Course_Fee_AED]]-Table1[[#This Row],[pending Revenue]]</f>
        <v>1870</v>
      </c>
    </row>
    <row r="347" spans="1:18" x14ac:dyDescent="0.25">
      <c r="A347" t="s">
        <v>424</v>
      </c>
      <c r="B347" s="2">
        <v>45349</v>
      </c>
      <c r="C347" t="s">
        <v>82</v>
      </c>
      <c r="D347" t="s">
        <v>83</v>
      </c>
      <c r="E347" t="s">
        <v>17</v>
      </c>
      <c r="F347" s="5">
        <v>6</v>
      </c>
      <c r="G347" s="5">
        <v>1</v>
      </c>
      <c r="H347" s="5">
        <v>12941</v>
      </c>
      <c r="I347" s="5">
        <v>2</v>
      </c>
      <c r="J347" s="5">
        <v>8626</v>
      </c>
      <c r="K347" t="s">
        <v>18</v>
      </c>
      <c r="L347" t="s">
        <v>57</v>
      </c>
      <c r="M347" t="s">
        <v>60</v>
      </c>
      <c r="N347" t="s">
        <v>28</v>
      </c>
      <c r="O347" t="s">
        <v>58</v>
      </c>
      <c r="P347" t="s">
        <v>18</v>
      </c>
      <c r="Q347">
        <f>Table1[[#This Row],[Course_Fee_AED]]-Table1[[#This Row],[Amount_Paid_AED]]</f>
        <v>4315</v>
      </c>
      <c r="R347">
        <f>Table1[[#This Row],[Course_Fee_AED]]-Table1[[#This Row],[pending Revenue]]</f>
        <v>8626</v>
      </c>
    </row>
    <row r="348" spans="1:18" x14ac:dyDescent="0.25">
      <c r="A348" t="s">
        <v>425</v>
      </c>
      <c r="B348" s="2">
        <v>45314</v>
      </c>
      <c r="C348" t="s">
        <v>38</v>
      </c>
      <c r="D348" t="s">
        <v>39</v>
      </c>
      <c r="E348" t="s">
        <v>17</v>
      </c>
      <c r="F348" s="5">
        <v>6</v>
      </c>
      <c r="G348" s="5">
        <v>1</v>
      </c>
      <c r="H348" s="5">
        <v>5889</v>
      </c>
      <c r="I348" s="5">
        <v>2</v>
      </c>
      <c r="J348" s="5">
        <v>3926</v>
      </c>
      <c r="K348" t="s">
        <v>18</v>
      </c>
      <c r="L348" t="s">
        <v>40</v>
      </c>
      <c r="M348" t="s">
        <v>63</v>
      </c>
      <c r="N348" t="s">
        <v>79</v>
      </c>
      <c r="O348" t="s">
        <v>58</v>
      </c>
      <c r="P348" t="s">
        <v>18</v>
      </c>
      <c r="Q348">
        <f>Table1[[#This Row],[Course_Fee_AED]]-Table1[[#This Row],[Amount_Paid_AED]]</f>
        <v>1963</v>
      </c>
      <c r="R348">
        <f>Table1[[#This Row],[Course_Fee_AED]]-Table1[[#This Row],[pending Revenue]]</f>
        <v>3926</v>
      </c>
    </row>
    <row r="349" spans="1:18" x14ac:dyDescent="0.25">
      <c r="A349" t="s">
        <v>426</v>
      </c>
      <c r="B349" s="2">
        <v>45371</v>
      </c>
      <c r="C349" t="s">
        <v>100</v>
      </c>
      <c r="D349" t="s">
        <v>101</v>
      </c>
      <c r="E349" t="s">
        <v>26</v>
      </c>
      <c r="F349" s="5">
        <v>3</v>
      </c>
      <c r="G349" s="5">
        <v>1</v>
      </c>
      <c r="H349" s="5">
        <v>5620</v>
      </c>
      <c r="I349" s="5">
        <v>3</v>
      </c>
      <c r="J349" s="5">
        <v>5619</v>
      </c>
      <c r="K349" t="s">
        <v>18</v>
      </c>
      <c r="L349" t="s">
        <v>40</v>
      </c>
      <c r="M349" t="s">
        <v>41</v>
      </c>
      <c r="N349" t="s">
        <v>79</v>
      </c>
      <c r="O349" t="s">
        <v>71</v>
      </c>
      <c r="P349" t="s">
        <v>18</v>
      </c>
      <c r="Q349">
        <f>Table1[[#This Row],[Course_Fee_AED]]-Table1[[#This Row],[Amount_Paid_AED]]</f>
        <v>1</v>
      </c>
      <c r="R349">
        <f>Table1[[#This Row],[Course_Fee_AED]]-Table1[[#This Row],[pending Revenue]]</f>
        <v>5619</v>
      </c>
    </row>
    <row r="350" spans="1:18" x14ac:dyDescent="0.25">
      <c r="A350" t="s">
        <v>427</v>
      </c>
      <c r="B350" s="2">
        <v>45561</v>
      </c>
      <c r="C350" t="s">
        <v>113</v>
      </c>
      <c r="D350" t="s">
        <v>93</v>
      </c>
      <c r="E350" t="s">
        <v>26</v>
      </c>
      <c r="F350" s="5">
        <v>3</v>
      </c>
      <c r="G350" s="5">
        <v>1</v>
      </c>
      <c r="H350" s="5">
        <v>4470</v>
      </c>
      <c r="I350" s="5">
        <v>1</v>
      </c>
      <c r="J350" s="5">
        <v>1490</v>
      </c>
      <c r="K350" t="s">
        <v>18</v>
      </c>
      <c r="L350" t="s">
        <v>19</v>
      </c>
      <c r="M350" t="s">
        <v>63</v>
      </c>
      <c r="N350" t="s">
        <v>73</v>
      </c>
      <c r="O350" t="s">
        <v>87</v>
      </c>
      <c r="P350" t="s">
        <v>18</v>
      </c>
      <c r="Q350">
        <f>Table1[[#This Row],[Course_Fee_AED]]-Table1[[#This Row],[Amount_Paid_AED]]</f>
        <v>2980</v>
      </c>
      <c r="R350">
        <f>Table1[[#This Row],[Course_Fee_AED]]-Table1[[#This Row],[pending Revenue]]</f>
        <v>1490</v>
      </c>
    </row>
    <row r="351" spans="1:18" x14ac:dyDescent="0.25">
      <c r="A351" t="s">
        <v>428</v>
      </c>
      <c r="B351" s="2">
        <v>45441</v>
      </c>
      <c r="C351" t="s">
        <v>92</v>
      </c>
      <c r="D351" t="s">
        <v>93</v>
      </c>
      <c r="E351" t="s">
        <v>26</v>
      </c>
      <c r="F351" s="5">
        <v>3</v>
      </c>
      <c r="G351" s="5">
        <v>1</v>
      </c>
      <c r="H351" s="5">
        <v>5047</v>
      </c>
      <c r="I351" s="5">
        <v>1</v>
      </c>
      <c r="J351" s="5">
        <v>1682</v>
      </c>
      <c r="K351" t="s">
        <v>18</v>
      </c>
      <c r="L351" t="s">
        <v>19</v>
      </c>
      <c r="M351" t="s">
        <v>60</v>
      </c>
      <c r="N351" t="s">
        <v>116</v>
      </c>
      <c r="O351" t="s">
        <v>68</v>
      </c>
      <c r="P351" t="s">
        <v>18</v>
      </c>
      <c r="Q351">
        <f>Table1[[#This Row],[Course_Fee_AED]]-Table1[[#This Row],[Amount_Paid_AED]]</f>
        <v>3365</v>
      </c>
      <c r="R351">
        <f>Table1[[#This Row],[Course_Fee_AED]]-Table1[[#This Row],[pending Revenue]]</f>
        <v>1682</v>
      </c>
    </row>
    <row r="352" spans="1:18" x14ac:dyDescent="0.25">
      <c r="A352" t="s">
        <v>429</v>
      </c>
      <c r="B352" s="2">
        <v>45599</v>
      </c>
      <c r="C352" t="s">
        <v>45</v>
      </c>
      <c r="D352" t="s">
        <v>46</v>
      </c>
      <c r="E352" t="s">
        <v>26</v>
      </c>
      <c r="F352" s="5">
        <v>3</v>
      </c>
      <c r="G352" s="5">
        <v>1</v>
      </c>
      <c r="H352" s="5">
        <v>5852</v>
      </c>
      <c r="I352" s="5">
        <v>2</v>
      </c>
      <c r="J352" s="5">
        <v>3900</v>
      </c>
      <c r="K352" t="s">
        <v>18</v>
      </c>
      <c r="L352" t="s">
        <v>40</v>
      </c>
      <c r="M352" t="s">
        <v>27</v>
      </c>
      <c r="N352" t="s">
        <v>90</v>
      </c>
      <c r="O352" t="s">
        <v>68</v>
      </c>
      <c r="P352" t="s">
        <v>36</v>
      </c>
      <c r="Q352">
        <f>Table1[[#This Row],[Course_Fee_AED]]-Table1[[#This Row],[Amount_Paid_AED]]</f>
        <v>1952</v>
      </c>
      <c r="R352">
        <f>Table1[[#This Row],[Course_Fee_AED]]-Table1[[#This Row],[pending Revenue]]</f>
        <v>3900</v>
      </c>
    </row>
    <row r="353" spans="1:18" x14ac:dyDescent="0.25">
      <c r="A353" t="s">
        <v>430</v>
      </c>
      <c r="B353" s="2">
        <v>45468</v>
      </c>
      <c r="C353" t="s">
        <v>92</v>
      </c>
      <c r="D353" t="s">
        <v>93</v>
      </c>
      <c r="E353" t="s">
        <v>17</v>
      </c>
      <c r="F353" s="5">
        <v>6</v>
      </c>
      <c r="G353" s="5">
        <v>1</v>
      </c>
      <c r="H353" s="5">
        <v>4794</v>
      </c>
      <c r="I353" s="5">
        <v>1</v>
      </c>
      <c r="J353" s="5">
        <v>1598</v>
      </c>
      <c r="K353" t="s">
        <v>18</v>
      </c>
      <c r="L353" t="s">
        <v>57</v>
      </c>
      <c r="M353" t="s">
        <v>27</v>
      </c>
      <c r="N353" t="s">
        <v>154</v>
      </c>
      <c r="O353" t="s">
        <v>49</v>
      </c>
      <c r="P353" t="s">
        <v>18</v>
      </c>
      <c r="Q353">
        <f>Table1[[#This Row],[Course_Fee_AED]]-Table1[[#This Row],[Amount_Paid_AED]]</f>
        <v>3196</v>
      </c>
      <c r="R353">
        <f>Table1[[#This Row],[Course_Fee_AED]]-Table1[[#This Row],[pending Revenue]]</f>
        <v>1598</v>
      </c>
    </row>
    <row r="354" spans="1:18" x14ac:dyDescent="0.25">
      <c r="A354" t="s">
        <v>431</v>
      </c>
      <c r="B354" s="2">
        <v>45308</v>
      </c>
      <c r="C354" t="s">
        <v>24</v>
      </c>
      <c r="D354" t="s">
        <v>25</v>
      </c>
      <c r="E354" t="s">
        <v>17</v>
      </c>
      <c r="F354" s="5">
        <v>6</v>
      </c>
      <c r="G354" s="5">
        <v>1</v>
      </c>
      <c r="H354" s="5">
        <v>5826</v>
      </c>
      <c r="I354" s="5">
        <v>1</v>
      </c>
      <c r="J354" s="5">
        <v>1942</v>
      </c>
      <c r="K354" t="s">
        <v>18</v>
      </c>
      <c r="L354" t="s">
        <v>57</v>
      </c>
      <c r="M354" t="s">
        <v>20</v>
      </c>
      <c r="N354" t="s">
        <v>73</v>
      </c>
      <c r="O354" t="s">
        <v>87</v>
      </c>
      <c r="P354" t="s">
        <v>36</v>
      </c>
      <c r="Q354">
        <f>Table1[[#This Row],[Course_Fee_AED]]-Table1[[#This Row],[Amount_Paid_AED]]</f>
        <v>3884</v>
      </c>
      <c r="R354">
        <f>Table1[[#This Row],[Course_Fee_AED]]-Table1[[#This Row],[pending Revenue]]</f>
        <v>1942</v>
      </c>
    </row>
    <row r="355" spans="1:18" x14ac:dyDescent="0.25">
      <c r="A355" t="s">
        <v>432</v>
      </c>
      <c r="B355" s="2">
        <v>45482</v>
      </c>
      <c r="C355" t="s">
        <v>75</v>
      </c>
      <c r="D355" t="s">
        <v>76</v>
      </c>
      <c r="E355" t="s">
        <v>26</v>
      </c>
      <c r="F355" s="5">
        <v>3</v>
      </c>
      <c r="G355" s="5">
        <v>1</v>
      </c>
      <c r="H355" s="5">
        <v>7864</v>
      </c>
      <c r="I355" s="5">
        <v>1</v>
      </c>
      <c r="J355" s="5">
        <v>2621</v>
      </c>
      <c r="K355" t="s">
        <v>18</v>
      </c>
      <c r="L355" t="s">
        <v>19</v>
      </c>
      <c r="M355" t="s">
        <v>27</v>
      </c>
      <c r="N355" t="s">
        <v>21</v>
      </c>
      <c r="O355" t="s">
        <v>35</v>
      </c>
      <c r="P355" t="s">
        <v>18</v>
      </c>
      <c r="Q355">
        <f>Table1[[#This Row],[Course_Fee_AED]]-Table1[[#This Row],[Amount_Paid_AED]]</f>
        <v>5243</v>
      </c>
      <c r="R355">
        <f>Table1[[#This Row],[Course_Fee_AED]]-Table1[[#This Row],[pending Revenue]]</f>
        <v>2621</v>
      </c>
    </row>
    <row r="356" spans="1:18" x14ac:dyDescent="0.25">
      <c r="A356" t="s">
        <v>433</v>
      </c>
      <c r="B356" s="2">
        <v>45341</v>
      </c>
      <c r="C356" t="s">
        <v>106</v>
      </c>
      <c r="D356" t="s">
        <v>107</v>
      </c>
      <c r="E356" t="s">
        <v>17</v>
      </c>
      <c r="F356" s="5">
        <v>6</v>
      </c>
      <c r="G356" s="5">
        <v>1</v>
      </c>
      <c r="H356" s="5">
        <v>7730</v>
      </c>
      <c r="I356" s="5">
        <v>2</v>
      </c>
      <c r="J356" s="5">
        <v>5152</v>
      </c>
      <c r="K356" t="s">
        <v>18</v>
      </c>
      <c r="L356" t="s">
        <v>19</v>
      </c>
      <c r="M356" t="s">
        <v>27</v>
      </c>
      <c r="N356" t="s">
        <v>53</v>
      </c>
      <c r="O356" t="s">
        <v>49</v>
      </c>
      <c r="P356" t="s">
        <v>18</v>
      </c>
      <c r="Q356">
        <f>Table1[[#This Row],[Course_Fee_AED]]-Table1[[#This Row],[Amount_Paid_AED]]</f>
        <v>2578</v>
      </c>
      <c r="R356">
        <f>Table1[[#This Row],[Course_Fee_AED]]-Table1[[#This Row],[pending Revenue]]</f>
        <v>5152</v>
      </c>
    </row>
    <row r="357" spans="1:18" x14ac:dyDescent="0.25">
      <c r="A357" t="s">
        <v>434</v>
      </c>
      <c r="B357" s="2">
        <v>45600</v>
      </c>
      <c r="C357" t="s">
        <v>31</v>
      </c>
      <c r="D357" t="s">
        <v>32</v>
      </c>
      <c r="E357" t="s">
        <v>26</v>
      </c>
      <c r="F357" s="5">
        <v>3</v>
      </c>
      <c r="G357" s="5">
        <v>1</v>
      </c>
      <c r="H357" s="5">
        <v>6832</v>
      </c>
      <c r="I357" s="5">
        <v>3</v>
      </c>
      <c r="J357" s="5">
        <v>6831</v>
      </c>
      <c r="K357" t="s">
        <v>18</v>
      </c>
      <c r="L357" t="s">
        <v>57</v>
      </c>
      <c r="M357" t="s">
        <v>47</v>
      </c>
      <c r="N357" t="s">
        <v>86</v>
      </c>
      <c r="O357" t="s">
        <v>49</v>
      </c>
      <c r="P357" t="s">
        <v>18</v>
      </c>
      <c r="Q357">
        <f>Table1[[#This Row],[Course_Fee_AED]]-Table1[[#This Row],[Amount_Paid_AED]]</f>
        <v>1</v>
      </c>
      <c r="R357">
        <f>Table1[[#This Row],[Course_Fee_AED]]-Table1[[#This Row],[pending Revenue]]</f>
        <v>6831</v>
      </c>
    </row>
    <row r="358" spans="1:18" x14ac:dyDescent="0.25">
      <c r="A358" t="s">
        <v>435</v>
      </c>
      <c r="B358" s="2">
        <v>45358</v>
      </c>
      <c r="C358" t="s">
        <v>55</v>
      </c>
      <c r="D358" t="s">
        <v>56</v>
      </c>
      <c r="E358" t="s">
        <v>17</v>
      </c>
      <c r="F358" s="5">
        <v>6</v>
      </c>
      <c r="G358" s="5">
        <v>1</v>
      </c>
      <c r="H358" s="5">
        <v>11003</v>
      </c>
      <c r="I358" s="5">
        <v>2</v>
      </c>
      <c r="J358" s="5">
        <v>7334</v>
      </c>
      <c r="K358" t="s">
        <v>18</v>
      </c>
      <c r="L358" t="s">
        <v>40</v>
      </c>
      <c r="M358" t="s">
        <v>20</v>
      </c>
      <c r="N358" t="s">
        <v>70</v>
      </c>
      <c r="O358" t="s">
        <v>87</v>
      </c>
      <c r="P358" t="s">
        <v>18</v>
      </c>
      <c r="Q358">
        <f>Table1[[#This Row],[Course_Fee_AED]]-Table1[[#This Row],[Amount_Paid_AED]]</f>
        <v>3669</v>
      </c>
      <c r="R358">
        <f>Table1[[#This Row],[Course_Fee_AED]]-Table1[[#This Row],[pending Revenue]]</f>
        <v>7334</v>
      </c>
    </row>
    <row r="359" spans="1:18" x14ac:dyDescent="0.25">
      <c r="A359" t="s">
        <v>436</v>
      </c>
      <c r="B359" s="2">
        <v>45467</v>
      </c>
      <c r="C359" t="s">
        <v>100</v>
      </c>
      <c r="D359" t="s">
        <v>101</v>
      </c>
      <c r="E359" t="s">
        <v>17</v>
      </c>
      <c r="F359" s="5">
        <v>6</v>
      </c>
      <c r="G359" s="5">
        <v>1</v>
      </c>
      <c r="H359" s="5">
        <v>3579</v>
      </c>
      <c r="I359" s="5">
        <v>1</v>
      </c>
      <c r="J359" s="5">
        <v>1193</v>
      </c>
      <c r="K359" t="s">
        <v>18</v>
      </c>
      <c r="L359" t="s">
        <v>40</v>
      </c>
      <c r="M359" t="s">
        <v>47</v>
      </c>
      <c r="N359" t="s">
        <v>86</v>
      </c>
      <c r="O359" t="s">
        <v>68</v>
      </c>
      <c r="P359" t="s">
        <v>18</v>
      </c>
      <c r="Q359">
        <f>Table1[[#This Row],[Course_Fee_AED]]-Table1[[#This Row],[Amount_Paid_AED]]</f>
        <v>2386</v>
      </c>
      <c r="R359">
        <f>Table1[[#This Row],[Course_Fee_AED]]-Table1[[#This Row],[pending Revenue]]</f>
        <v>1193</v>
      </c>
    </row>
    <row r="360" spans="1:18" x14ac:dyDescent="0.25">
      <c r="A360" t="s">
        <v>437</v>
      </c>
      <c r="B360" s="2">
        <v>45576</v>
      </c>
      <c r="C360" t="s">
        <v>66</v>
      </c>
      <c r="D360" t="s">
        <v>56</v>
      </c>
      <c r="E360" t="s">
        <v>17</v>
      </c>
      <c r="F360" s="5">
        <v>6</v>
      </c>
      <c r="G360" s="5">
        <v>1</v>
      </c>
      <c r="H360" s="5">
        <v>7915</v>
      </c>
      <c r="I360" s="5">
        <v>1</v>
      </c>
      <c r="J360" s="5">
        <v>2638</v>
      </c>
      <c r="K360" t="s">
        <v>18</v>
      </c>
      <c r="L360" t="s">
        <v>19</v>
      </c>
      <c r="M360" t="s">
        <v>27</v>
      </c>
      <c r="N360" t="s">
        <v>70</v>
      </c>
      <c r="O360" t="s">
        <v>29</v>
      </c>
      <c r="P360" t="s">
        <v>18</v>
      </c>
      <c r="Q360">
        <f>Table1[[#This Row],[Course_Fee_AED]]-Table1[[#This Row],[Amount_Paid_AED]]</f>
        <v>5277</v>
      </c>
      <c r="R360">
        <f>Table1[[#This Row],[Course_Fee_AED]]-Table1[[#This Row],[pending Revenue]]</f>
        <v>2638</v>
      </c>
    </row>
    <row r="361" spans="1:18" x14ac:dyDescent="0.25">
      <c r="A361" t="s">
        <v>438</v>
      </c>
      <c r="B361" s="2">
        <v>45339</v>
      </c>
      <c r="C361" t="s">
        <v>66</v>
      </c>
      <c r="D361" t="s">
        <v>56</v>
      </c>
      <c r="E361" t="s">
        <v>26</v>
      </c>
      <c r="F361" s="5">
        <v>3</v>
      </c>
      <c r="G361" s="5">
        <v>1</v>
      </c>
      <c r="H361" s="5">
        <v>11158</v>
      </c>
      <c r="I361" s="5">
        <v>1</v>
      </c>
      <c r="J361" s="5">
        <v>3719</v>
      </c>
      <c r="K361" t="s">
        <v>18</v>
      </c>
      <c r="L361" t="s">
        <v>57</v>
      </c>
      <c r="M361" t="s">
        <v>47</v>
      </c>
      <c r="N361" t="s">
        <v>70</v>
      </c>
      <c r="O361" t="s">
        <v>68</v>
      </c>
      <c r="P361" t="s">
        <v>18</v>
      </c>
      <c r="Q361">
        <f>Table1[[#This Row],[Course_Fee_AED]]-Table1[[#This Row],[Amount_Paid_AED]]</f>
        <v>7439</v>
      </c>
      <c r="R361">
        <f>Table1[[#This Row],[Course_Fee_AED]]-Table1[[#This Row],[pending Revenue]]</f>
        <v>3719</v>
      </c>
    </row>
    <row r="362" spans="1:18" x14ac:dyDescent="0.25">
      <c r="A362" t="s">
        <v>439</v>
      </c>
      <c r="B362" s="2">
        <v>45311</v>
      </c>
      <c r="C362" t="s">
        <v>38</v>
      </c>
      <c r="D362" t="s">
        <v>39</v>
      </c>
      <c r="E362" t="s">
        <v>17</v>
      </c>
      <c r="F362" s="5">
        <v>6</v>
      </c>
      <c r="G362" s="5">
        <v>1</v>
      </c>
      <c r="H362" s="5">
        <v>6056</v>
      </c>
      <c r="I362" s="5">
        <v>2</v>
      </c>
      <c r="J362" s="5">
        <v>4036</v>
      </c>
      <c r="K362" t="s">
        <v>18</v>
      </c>
      <c r="L362" t="s">
        <v>57</v>
      </c>
      <c r="M362" t="s">
        <v>27</v>
      </c>
      <c r="N362" t="s">
        <v>61</v>
      </c>
      <c r="O362" t="s">
        <v>35</v>
      </c>
      <c r="P362" t="s">
        <v>18</v>
      </c>
      <c r="Q362">
        <f>Table1[[#This Row],[Course_Fee_AED]]-Table1[[#This Row],[Amount_Paid_AED]]</f>
        <v>2020</v>
      </c>
      <c r="R362">
        <f>Table1[[#This Row],[Course_Fee_AED]]-Table1[[#This Row],[pending Revenue]]</f>
        <v>4036</v>
      </c>
    </row>
    <row r="363" spans="1:18" x14ac:dyDescent="0.25">
      <c r="A363" t="s">
        <v>440</v>
      </c>
      <c r="B363" s="2">
        <v>45407</v>
      </c>
      <c r="C363" t="s">
        <v>66</v>
      </c>
      <c r="D363" t="s">
        <v>56</v>
      </c>
      <c r="E363" t="s">
        <v>17</v>
      </c>
      <c r="F363" s="5">
        <v>6</v>
      </c>
      <c r="G363" s="5">
        <v>1</v>
      </c>
      <c r="H363" s="5">
        <v>7210</v>
      </c>
      <c r="I363" s="5">
        <v>2</v>
      </c>
      <c r="J363" s="5">
        <v>4806</v>
      </c>
      <c r="K363" t="s">
        <v>18</v>
      </c>
      <c r="L363" t="s">
        <v>40</v>
      </c>
      <c r="M363" t="s">
        <v>60</v>
      </c>
      <c r="N363" t="s">
        <v>28</v>
      </c>
      <c r="O363" t="s">
        <v>29</v>
      </c>
      <c r="P363" t="s">
        <v>18</v>
      </c>
      <c r="Q363">
        <f>Table1[[#This Row],[Course_Fee_AED]]-Table1[[#This Row],[Amount_Paid_AED]]</f>
        <v>2404</v>
      </c>
      <c r="R363">
        <f>Table1[[#This Row],[Course_Fee_AED]]-Table1[[#This Row],[pending Revenue]]</f>
        <v>4806</v>
      </c>
    </row>
    <row r="364" spans="1:18" x14ac:dyDescent="0.25">
      <c r="A364" t="s">
        <v>441</v>
      </c>
      <c r="B364" s="2">
        <v>45597</v>
      </c>
      <c r="C364" t="s">
        <v>55</v>
      </c>
      <c r="D364" t="s">
        <v>56</v>
      </c>
      <c r="E364" t="s">
        <v>17</v>
      </c>
      <c r="F364" s="5">
        <v>6</v>
      </c>
      <c r="G364" s="5">
        <v>1</v>
      </c>
      <c r="H364" s="5">
        <v>10854</v>
      </c>
      <c r="I364" s="5">
        <v>1</v>
      </c>
      <c r="J364" s="5">
        <v>3618</v>
      </c>
      <c r="K364" t="s">
        <v>18</v>
      </c>
      <c r="L364" t="s">
        <v>19</v>
      </c>
      <c r="M364" t="s">
        <v>47</v>
      </c>
      <c r="N364" t="s">
        <v>53</v>
      </c>
      <c r="O364" t="s">
        <v>71</v>
      </c>
      <c r="P364" t="s">
        <v>18</v>
      </c>
      <c r="Q364">
        <f>Table1[[#This Row],[Course_Fee_AED]]-Table1[[#This Row],[Amount_Paid_AED]]</f>
        <v>7236</v>
      </c>
      <c r="R364">
        <f>Table1[[#This Row],[Course_Fee_AED]]-Table1[[#This Row],[pending Revenue]]</f>
        <v>3618</v>
      </c>
    </row>
    <row r="365" spans="1:18" x14ac:dyDescent="0.25">
      <c r="A365" t="s">
        <v>442</v>
      </c>
      <c r="B365" s="2">
        <v>45411</v>
      </c>
      <c r="C365" t="s">
        <v>51</v>
      </c>
      <c r="D365" t="s">
        <v>52</v>
      </c>
      <c r="E365" t="s">
        <v>17</v>
      </c>
      <c r="F365" s="5">
        <v>6</v>
      </c>
      <c r="G365" s="5">
        <v>1</v>
      </c>
      <c r="H365" s="5">
        <v>3651</v>
      </c>
      <c r="I365" s="5">
        <v>1</v>
      </c>
      <c r="J365" s="5">
        <v>1217</v>
      </c>
      <c r="K365" t="s">
        <v>18</v>
      </c>
      <c r="L365" t="s">
        <v>40</v>
      </c>
      <c r="M365" t="s">
        <v>41</v>
      </c>
      <c r="N365" t="s">
        <v>61</v>
      </c>
      <c r="O365" t="s">
        <v>64</v>
      </c>
      <c r="P365" t="s">
        <v>18</v>
      </c>
      <c r="Q365">
        <f>Table1[[#This Row],[Course_Fee_AED]]-Table1[[#This Row],[Amount_Paid_AED]]</f>
        <v>2434</v>
      </c>
      <c r="R365">
        <f>Table1[[#This Row],[Course_Fee_AED]]-Table1[[#This Row],[pending Revenue]]</f>
        <v>1217</v>
      </c>
    </row>
    <row r="366" spans="1:18" x14ac:dyDescent="0.25">
      <c r="A366" t="s">
        <v>443</v>
      </c>
      <c r="B366" s="2">
        <v>45442</v>
      </c>
      <c r="C366" t="s">
        <v>38</v>
      </c>
      <c r="D366" t="s">
        <v>39</v>
      </c>
      <c r="E366" t="s">
        <v>26</v>
      </c>
      <c r="F366" s="5">
        <v>3</v>
      </c>
      <c r="G366" s="5">
        <v>1</v>
      </c>
      <c r="H366" s="5">
        <v>5831</v>
      </c>
      <c r="I366" s="5">
        <v>3</v>
      </c>
      <c r="J366" s="5">
        <v>5829</v>
      </c>
      <c r="K366" t="s">
        <v>18</v>
      </c>
      <c r="L366" t="s">
        <v>57</v>
      </c>
      <c r="M366" t="s">
        <v>41</v>
      </c>
      <c r="N366" t="s">
        <v>42</v>
      </c>
      <c r="O366" t="s">
        <v>71</v>
      </c>
      <c r="P366" t="s">
        <v>18</v>
      </c>
      <c r="Q366">
        <f>Table1[[#This Row],[Course_Fee_AED]]-Table1[[#This Row],[Amount_Paid_AED]]</f>
        <v>2</v>
      </c>
      <c r="R366">
        <f>Table1[[#This Row],[Course_Fee_AED]]-Table1[[#This Row],[pending Revenue]]</f>
        <v>5829</v>
      </c>
    </row>
    <row r="367" spans="1:18" x14ac:dyDescent="0.25">
      <c r="A367" t="s">
        <v>444</v>
      </c>
      <c r="B367" s="2">
        <v>45388</v>
      </c>
      <c r="C367" t="s">
        <v>92</v>
      </c>
      <c r="D367" t="s">
        <v>93</v>
      </c>
      <c r="E367" t="s">
        <v>17</v>
      </c>
      <c r="F367" s="5">
        <v>6</v>
      </c>
      <c r="G367" s="5">
        <v>1</v>
      </c>
      <c r="H367" s="5">
        <v>5173</v>
      </c>
      <c r="I367" s="5">
        <v>2</v>
      </c>
      <c r="J367" s="5">
        <v>3448</v>
      </c>
      <c r="K367" t="s">
        <v>18</v>
      </c>
      <c r="L367" t="s">
        <v>40</v>
      </c>
      <c r="M367" t="s">
        <v>27</v>
      </c>
      <c r="N367" t="s">
        <v>42</v>
      </c>
      <c r="O367" t="s">
        <v>71</v>
      </c>
      <c r="P367" t="s">
        <v>18</v>
      </c>
      <c r="Q367">
        <f>Table1[[#This Row],[Course_Fee_AED]]-Table1[[#This Row],[Amount_Paid_AED]]</f>
        <v>1725</v>
      </c>
      <c r="R367">
        <f>Table1[[#This Row],[Course_Fee_AED]]-Table1[[#This Row],[pending Revenue]]</f>
        <v>3448</v>
      </c>
    </row>
    <row r="368" spans="1:18" x14ac:dyDescent="0.25">
      <c r="A368" t="s">
        <v>445</v>
      </c>
      <c r="B368" s="2">
        <v>45387</v>
      </c>
      <c r="C368" t="s">
        <v>55</v>
      </c>
      <c r="D368" t="s">
        <v>56</v>
      </c>
      <c r="E368" t="s">
        <v>26</v>
      </c>
      <c r="F368" s="5">
        <v>3</v>
      </c>
      <c r="G368" s="5">
        <v>1</v>
      </c>
      <c r="H368" s="5">
        <v>11961</v>
      </c>
      <c r="I368" s="5">
        <v>1</v>
      </c>
      <c r="J368" s="5">
        <v>3987</v>
      </c>
      <c r="K368" t="s">
        <v>18</v>
      </c>
      <c r="L368" t="s">
        <v>57</v>
      </c>
      <c r="M368" t="s">
        <v>27</v>
      </c>
      <c r="N368" t="s">
        <v>70</v>
      </c>
      <c r="O368" t="s">
        <v>87</v>
      </c>
      <c r="P368" t="s">
        <v>36</v>
      </c>
      <c r="Q368">
        <f>Table1[[#This Row],[Course_Fee_AED]]-Table1[[#This Row],[Amount_Paid_AED]]</f>
        <v>7974</v>
      </c>
      <c r="R368">
        <f>Table1[[#This Row],[Course_Fee_AED]]-Table1[[#This Row],[pending Revenue]]</f>
        <v>3987</v>
      </c>
    </row>
    <row r="369" spans="1:18" x14ac:dyDescent="0.25">
      <c r="A369" t="s">
        <v>446</v>
      </c>
      <c r="B369" s="2">
        <v>45653</v>
      </c>
      <c r="C369" t="s">
        <v>38</v>
      </c>
      <c r="D369" t="s">
        <v>39</v>
      </c>
      <c r="E369" t="s">
        <v>17</v>
      </c>
      <c r="F369" s="5">
        <v>6</v>
      </c>
      <c r="G369" s="5">
        <v>1</v>
      </c>
      <c r="H369" s="5">
        <v>5221</v>
      </c>
      <c r="I369" s="5">
        <v>3</v>
      </c>
      <c r="J369" s="5">
        <v>5220</v>
      </c>
      <c r="K369" t="s">
        <v>18</v>
      </c>
      <c r="L369" t="s">
        <v>57</v>
      </c>
      <c r="M369" t="s">
        <v>20</v>
      </c>
      <c r="N369" t="s">
        <v>61</v>
      </c>
      <c r="O369" t="s">
        <v>22</v>
      </c>
      <c r="P369" t="s">
        <v>18</v>
      </c>
      <c r="Q369">
        <f>Table1[[#This Row],[Course_Fee_AED]]-Table1[[#This Row],[Amount_Paid_AED]]</f>
        <v>1</v>
      </c>
      <c r="R369">
        <f>Table1[[#This Row],[Course_Fee_AED]]-Table1[[#This Row],[pending Revenue]]</f>
        <v>5220</v>
      </c>
    </row>
    <row r="370" spans="1:18" x14ac:dyDescent="0.25">
      <c r="A370" t="s">
        <v>447</v>
      </c>
      <c r="B370" s="2">
        <v>45443</v>
      </c>
      <c r="C370" t="s">
        <v>75</v>
      </c>
      <c r="D370" t="s">
        <v>76</v>
      </c>
      <c r="E370" t="s">
        <v>17</v>
      </c>
      <c r="F370" s="5">
        <v>6</v>
      </c>
      <c r="G370" s="5">
        <v>1</v>
      </c>
      <c r="H370" s="5">
        <v>12643</v>
      </c>
      <c r="I370" s="5">
        <v>2</v>
      </c>
      <c r="J370" s="5">
        <v>8428</v>
      </c>
      <c r="K370" t="s">
        <v>18</v>
      </c>
      <c r="L370" t="s">
        <v>40</v>
      </c>
      <c r="M370" t="s">
        <v>63</v>
      </c>
      <c r="N370" t="s">
        <v>116</v>
      </c>
      <c r="O370" t="s">
        <v>64</v>
      </c>
      <c r="P370" t="s">
        <v>36</v>
      </c>
      <c r="Q370">
        <f>Table1[[#This Row],[Course_Fee_AED]]-Table1[[#This Row],[Amount_Paid_AED]]</f>
        <v>4215</v>
      </c>
      <c r="R370">
        <f>Table1[[#This Row],[Course_Fee_AED]]-Table1[[#This Row],[pending Revenue]]</f>
        <v>8428</v>
      </c>
    </row>
    <row r="371" spans="1:18" x14ac:dyDescent="0.25">
      <c r="A371" t="s">
        <v>448</v>
      </c>
      <c r="B371" s="2">
        <v>45535</v>
      </c>
      <c r="C371" t="s">
        <v>100</v>
      </c>
      <c r="D371" t="s">
        <v>101</v>
      </c>
      <c r="E371" t="s">
        <v>26</v>
      </c>
      <c r="F371" s="5">
        <v>3</v>
      </c>
      <c r="G371" s="5">
        <v>1</v>
      </c>
      <c r="H371" s="5">
        <v>4666</v>
      </c>
      <c r="I371" s="5">
        <v>2</v>
      </c>
      <c r="J371" s="5">
        <v>3110</v>
      </c>
      <c r="K371" t="s">
        <v>18</v>
      </c>
      <c r="L371" t="s">
        <v>40</v>
      </c>
      <c r="M371" t="s">
        <v>60</v>
      </c>
      <c r="N371" t="s">
        <v>79</v>
      </c>
      <c r="O371" t="s">
        <v>49</v>
      </c>
      <c r="P371" t="s">
        <v>18</v>
      </c>
      <c r="Q371">
        <f>Table1[[#This Row],[Course_Fee_AED]]-Table1[[#This Row],[Amount_Paid_AED]]</f>
        <v>1556</v>
      </c>
      <c r="R371">
        <f>Table1[[#This Row],[Course_Fee_AED]]-Table1[[#This Row],[pending Revenue]]</f>
        <v>3110</v>
      </c>
    </row>
    <row r="372" spans="1:18" x14ac:dyDescent="0.25">
      <c r="A372" t="s">
        <v>449</v>
      </c>
      <c r="B372" s="2">
        <v>45334</v>
      </c>
      <c r="C372" t="s">
        <v>92</v>
      </c>
      <c r="D372" t="s">
        <v>93</v>
      </c>
      <c r="E372" t="s">
        <v>17</v>
      </c>
      <c r="F372" s="5">
        <v>6</v>
      </c>
      <c r="G372" s="5">
        <v>1</v>
      </c>
      <c r="H372" s="5">
        <v>7541</v>
      </c>
      <c r="I372" s="5">
        <v>1</v>
      </c>
      <c r="J372" s="5">
        <v>2513</v>
      </c>
      <c r="K372" t="s">
        <v>18</v>
      </c>
      <c r="L372" t="s">
        <v>57</v>
      </c>
      <c r="M372" t="s">
        <v>63</v>
      </c>
      <c r="N372" t="s">
        <v>61</v>
      </c>
      <c r="O372" t="s">
        <v>87</v>
      </c>
      <c r="P372" t="s">
        <v>36</v>
      </c>
      <c r="Q372">
        <f>Table1[[#This Row],[Course_Fee_AED]]-Table1[[#This Row],[Amount_Paid_AED]]</f>
        <v>5028</v>
      </c>
      <c r="R372">
        <f>Table1[[#This Row],[Course_Fee_AED]]-Table1[[#This Row],[pending Revenue]]</f>
        <v>2513</v>
      </c>
    </row>
    <row r="373" spans="1:18" x14ac:dyDescent="0.25">
      <c r="A373" t="s">
        <v>450</v>
      </c>
      <c r="B373" s="2">
        <v>45335</v>
      </c>
      <c r="C373" t="s">
        <v>15</v>
      </c>
      <c r="D373" t="s">
        <v>16</v>
      </c>
      <c r="E373" t="s">
        <v>26</v>
      </c>
      <c r="F373" s="5">
        <v>3</v>
      </c>
      <c r="G373" s="5">
        <v>1</v>
      </c>
      <c r="H373" s="5">
        <v>6382</v>
      </c>
      <c r="I373" s="5">
        <v>1</v>
      </c>
      <c r="J373" s="5">
        <v>2127</v>
      </c>
      <c r="K373" t="s">
        <v>18</v>
      </c>
      <c r="L373" t="s">
        <v>19</v>
      </c>
      <c r="M373" t="s">
        <v>20</v>
      </c>
      <c r="N373" t="s">
        <v>90</v>
      </c>
      <c r="O373" t="s">
        <v>71</v>
      </c>
      <c r="P373" t="s">
        <v>36</v>
      </c>
      <c r="Q373">
        <f>Table1[[#This Row],[Course_Fee_AED]]-Table1[[#This Row],[Amount_Paid_AED]]</f>
        <v>4255</v>
      </c>
      <c r="R373">
        <f>Table1[[#This Row],[Course_Fee_AED]]-Table1[[#This Row],[pending Revenue]]</f>
        <v>2127</v>
      </c>
    </row>
    <row r="374" spans="1:18" x14ac:dyDescent="0.25">
      <c r="A374" t="s">
        <v>451</v>
      </c>
      <c r="B374" s="2">
        <v>45539</v>
      </c>
      <c r="C374" t="s">
        <v>66</v>
      </c>
      <c r="D374" t="s">
        <v>56</v>
      </c>
      <c r="E374" t="s">
        <v>26</v>
      </c>
      <c r="F374" s="5">
        <v>3</v>
      </c>
      <c r="G374" s="5">
        <v>1</v>
      </c>
      <c r="H374" s="5">
        <v>8555</v>
      </c>
      <c r="I374" s="5">
        <v>2</v>
      </c>
      <c r="J374" s="5">
        <v>5702</v>
      </c>
      <c r="K374" t="s">
        <v>18</v>
      </c>
      <c r="L374" t="s">
        <v>19</v>
      </c>
      <c r="M374" t="s">
        <v>60</v>
      </c>
      <c r="N374" t="s">
        <v>53</v>
      </c>
      <c r="O374" t="s">
        <v>87</v>
      </c>
      <c r="P374" t="s">
        <v>18</v>
      </c>
      <c r="Q374">
        <f>Table1[[#This Row],[Course_Fee_AED]]-Table1[[#This Row],[Amount_Paid_AED]]</f>
        <v>2853</v>
      </c>
      <c r="R374">
        <f>Table1[[#This Row],[Course_Fee_AED]]-Table1[[#This Row],[pending Revenue]]</f>
        <v>5702</v>
      </c>
    </row>
    <row r="375" spans="1:18" x14ac:dyDescent="0.25">
      <c r="A375" t="s">
        <v>452</v>
      </c>
      <c r="B375" s="2">
        <v>45514</v>
      </c>
      <c r="C375" t="s">
        <v>45</v>
      </c>
      <c r="D375" t="s">
        <v>46</v>
      </c>
      <c r="E375" t="s">
        <v>26</v>
      </c>
      <c r="F375" s="5">
        <v>3</v>
      </c>
      <c r="G375" s="5">
        <v>1</v>
      </c>
      <c r="H375" s="5">
        <v>4173</v>
      </c>
      <c r="I375" s="5">
        <v>2</v>
      </c>
      <c r="J375" s="5">
        <v>2782</v>
      </c>
      <c r="K375" t="s">
        <v>18</v>
      </c>
      <c r="L375" t="s">
        <v>40</v>
      </c>
      <c r="M375" t="s">
        <v>63</v>
      </c>
      <c r="N375" t="s">
        <v>21</v>
      </c>
      <c r="O375" t="s">
        <v>64</v>
      </c>
      <c r="P375" t="s">
        <v>18</v>
      </c>
      <c r="Q375">
        <f>Table1[[#This Row],[Course_Fee_AED]]-Table1[[#This Row],[Amount_Paid_AED]]</f>
        <v>1391</v>
      </c>
      <c r="R375">
        <f>Table1[[#This Row],[Course_Fee_AED]]-Table1[[#This Row],[pending Revenue]]</f>
        <v>2782</v>
      </c>
    </row>
    <row r="376" spans="1:18" x14ac:dyDescent="0.25">
      <c r="A376" t="s">
        <v>453</v>
      </c>
      <c r="B376" s="2">
        <v>45369</v>
      </c>
      <c r="C376" t="s">
        <v>45</v>
      </c>
      <c r="D376" t="s">
        <v>46</v>
      </c>
      <c r="E376" t="s">
        <v>26</v>
      </c>
      <c r="F376" s="5">
        <v>3</v>
      </c>
      <c r="G376" s="5">
        <v>1</v>
      </c>
      <c r="H376" s="5">
        <v>5435</v>
      </c>
      <c r="I376" s="5">
        <v>2</v>
      </c>
      <c r="J376" s="5">
        <v>3622</v>
      </c>
      <c r="K376" t="s">
        <v>18</v>
      </c>
      <c r="L376" t="s">
        <v>19</v>
      </c>
      <c r="M376" t="s">
        <v>27</v>
      </c>
      <c r="N376" t="s">
        <v>53</v>
      </c>
      <c r="O376" t="s">
        <v>87</v>
      </c>
      <c r="P376" t="s">
        <v>18</v>
      </c>
      <c r="Q376">
        <f>Table1[[#This Row],[Course_Fee_AED]]-Table1[[#This Row],[Amount_Paid_AED]]</f>
        <v>1813</v>
      </c>
      <c r="R376">
        <f>Table1[[#This Row],[Course_Fee_AED]]-Table1[[#This Row],[pending Revenue]]</f>
        <v>3622</v>
      </c>
    </row>
    <row r="377" spans="1:18" x14ac:dyDescent="0.25">
      <c r="A377" t="s">
        <v>454</v>
      </c>
      <c r="B377" s="2">
        <v>45455</v>
      </c>
      <c r="C377" t="s">
        <v>106</v>
      </c>
      <c r="D377" t="s">
        <v>107</v>
      </c>
      <c r="E377" t="s">
        <v>26</v>
      </c>
      <c r="F377" s="5">
        <v>3</v>
      </c>
      <c r="G377" s="5">
        <v>1</v>
      </c>
      <c r="H377" s="5">
        <v>7247</v>
      </c>
      <c r="I377" s="5">
        <v>2</v>
      </c>
      <c r="J377" s="5">
        <v>4830</v>
      </c>
      <c r="K377" t="s">
        <v>18</v>
      </c>
      <c r="L377" t="s">
        <v>19</v>
      </c>
      <c r="M377" t="s">
        <v>41</v>
      </c>
      <c r="N377" t="s">
        <v>116</v>
      </c>
      <c r="O377" t="s">
        <v>71</v>
      </c>
      <c r="P377" t="s">
        <v>18</v>
      </c>
      <c r="Q377">
        <f>Table1[[#This Row],[Course_Fee_AED]]-Table1[[#This Row],[Amount_Paid_AED]]</f>
        <v>2417</v>
      </c>
      <c r="R377">
        <f>Table1[[#This Row],[Course_Fee_AED]]-Table1[[#This Row],[pending Revenue]]</f>
        <v>4830</v>
      </c>
    </row>
    <row r="378" spans="1:18" x14ac:dyDescent="0.25">
      <c r="A378" t="s">
        <v>455</v>
      </c>
      <c r="B378" s="2">
        <v>45321</v>
      </c>
      <c r="C378" t="s">
        <v>100</v>
      </c>
      <c r="D378" t="s">
        <v>101</v>
      </c>
      <c r="E378" t="s">
        <v>17</v>
      </c>
      <c r="F378" s="5">
        <v>6</v>
      </c>
      <c r="G378" s="5">
        <v>1</v>
      </c>
      <c r="H378" s="5">
        <v>4109</v>
      </c>
      <c r="I378" s="5">
        <v>1</v>
      </c>
      <c r="J378" s="5">
        <v>1369</v>
      </c>
      <c r="K378" t="s">
        <v>18</v>
      </c>
      <c r="L378" t="s">
        <v>19</v>
      </c>
      <c r="M378" t="s">
        <v>20</v>
      </c>
      <c r="N378" t="s">
        <v>116</v>
      </c>
      <c r="O378" t="s">
        <v>35</v>
      </c>
      <c r="P378" t="s">
        <v>36</v>
      </c>
      <c r="Q378">
        <f>Table1[[#This Row],[Course_Fee_AED]]-Table1[[#This Row],[Amount_Paid_AED]]</f>
        <v>2740</v>
      </c>
      <c r="R378">
        <f>Table1[[#This Row],[Course_Fee_AED]]-Table1[[#This Row],[pending Revenue]]</f>
        <v>1369</v>
      </c>
    </row>
    <row r="379" spans="1:18" x14ac:dyDescent="0.25">
      <c r="A379" t="s">
        <v>456</v>
      </c>
      <c r="B379" s="2">
        <v>45479</v>
      </c>
      <c r="C379" t="s">
        <v>24</v>
      </c>
      <c r="D379" t="s">
        <v>25</v>
      </c>
      <c r="E379" t="s">
        <v>17</v>
      </c>
      <c r="F379" s="5">
        <v>6</v>
      </c>
      <c r="G379" s="5">
        <v>1</v>
      </c>
      <c r="H379" s="5">
        <v>4904</v>
      </c>
      <c r="I379" s="5">
        <v>3</v>
      </c>
      <c r="J379" s="5">
        <v>4902</v>
      </c>
      <c r="K379" t="s">
        <v>18</v>
      </c>
      <c r="L379" t="s">
        <v>40</v>
      </c>
      <c r="M379" t="s">
        <v>60</v>
      </c>
      <c r="N379" t="s">
        <v>48</v>
      </c>
      <c r="O379" t="s">
        <v>68</v>
      </c>
      <c r="P379" t="s">
        <v>18</v>
      </c>
      <c r="Q379">
        <f>Table1[[#This Row],[Course_Fee_AED]]-Table1[[#This Row],[Amount_Paid_AED]]</f>
        <v>2</v>
      </c>
      <c r="R379">
        <f>Table1[[#This Row],[Course_Fee_AED]]-Table1[[#This Row],[pending Revenue]]</f>
        <v>4902</v>
      </c>
    </row>
    <row r="380" spans="1:18" x14ac:dyDescent="0.25">
      <c r="A380" t="s">
        <v>457</v>
      </c>
      <c r="B380" s="2">
        <v>45609</v>
      </c>
      <c r="C380" t="s">
        <v>15</v>
      </c>
      <c r="D380" t="s">
        <v>16</v>
      </c>
      <c r="E380" t="s">
        <v>17</v>
      </c>
      <c r="F380" s="5">
        <v>6</v>
      </c>
      <c r="G380" s="5">
        <v>1</v>
      </c>
      <c r="H380" s="5">
        <v>6381</v>
      </c>
      <c r="I380" s="5">
        <v>1</v>
      </c>
      <c r="J380" s="5">
        <v>2127</v>
      </c>
      <c r="K380" t="s">
        <v>18</v>
      </c>
      <c r="L380" t="s">
        <v>19</v>
      </c>
      <c r="M380" t="s">
        <v>41</v>
      </c>
      <c r="N380" t="s">
        <v>28</v>
      </c>
      <c r="O380" t="s">
        <v>49</v>
      </c>
      <c r="P380" t="s">
        <v>36</v>
      </c>
      <c r="Q380">
        <f>Table1[[#This Row],[Course_Fee_AED]]-Table1[[#This Row],[Amount_Paid_AED]]</f>
        <v>4254</v>
      </c>
      <c r="R380">
        <f>Table1[[#This Row],[Course_Fee_AED]]-Table1[[#This Row],[pending Revenue]]</f>
        <v>2127</v>
      </c>
    </row>
    <row r="381" spans="1:18" x14ac:dyDescent="0.25">
      <c r="A381" t="s">
        <v>458</v>
      </c>
      <c r="B381" s="2">
        <v>45433</v>
      </c>
      <c r="C381" t="s">
        <v>82</v>
      </c>
      <c r="D381" t="s">
        <v>83</v>
      </c>
      <c r="E381" t="s">
        <v>17</v>
      </c>
      <c r="F381" s="5">
        <v>6</v>
      </c>
      <c r="G381" s="5">
        <v>1</v>
      </c>
      <c r="H381" s="5">
        <v>10142</v>
      </c>
      <c r="I381" s="5">
        <v>2</v>
      </c>
      <c r="J381" s="5">
        <v>6760</v>
      </c>
      <c r="K381" t="s">
        <v>18</v>
      </c>
      <c r="L381" t="s">
        <v>19</v>
      </c>
      <c r="M381" t="s">
        <v>47</v>
      </c>
      <c r="N381" t="s">
        <v>86</v>
      </c>
      <c r="O381" t="s">
        <v>58</v>
      </c>
      <c r="P381" t="s">
        <v>18</v>
      </c>
      <c r="Q381">
        <f>Table1[[#This Row],[Course_Fee_AED]]-Table1[[#This Row],[Amount_Paid_AED]]</f>
        <v>3382</v>
      </c>
      <c r="R381">
        <f>Table1[[#This Row],[Course_Fee_AED]]-Table1[[#This Row],[pending Revenue]]</f>
        <v>6760</v>
      </c>
    </row>
    <row r="382" spans="1:18" x14ac:dyDescent="0.25">
      <c r="A382" t="s">
        <v>459</v>
      </c>
      <c r="B382" s="2">
        <v>45313</v>
      </c>
      <c r="C382" t="s">
        <v>75</v>
      </c>
      <c r="D382" t="s">
        <v>76</v>
      </c>
      <c r="E382" t="s">
        <v>26</v>
      </c>
      <c r="F382" s="5">
        <v>3</v>
      </c>
      <c r="G382" s="5">
        <v>1</v>
      </c>
      <c r="H382" s="5">
        <v>14991</v>
      </c>
      <c r="I382" s="5">
        <v>3</v>
      </c>
      <c r="J382" s="5">
        <v>14991</v>
      </c>
      <c r="K382" t="s">
        <v>33</v>
      </c>
      <c r="L382" t="s">
        <v>57</v>
      </c>
      <c r="M382" t="s">
        <v>63</v>
      </c>
      <c r="N382" t="s">
        <v>34</v>
      </c>
      <c r="O382" t="s">
        <v>43</v>
      </c>
      <c r="P382" t="s">
        <v>18</v>
      </c>
      <c r="Q382">
        <f>Table1[[#This Row],[Course_Fee_AED]]-Table1[[#This Row],[Amount_Paid_AED]]</f>
        <v>0</v>
      </c>
      <c r="R382">
        <f>Table1[[#This Row],[Course_Fee_AED]]-Table1[[#This Row],[pending Revenue]]</f>
        <v>14991</v>
      </c>
    </row>
    <row r="383" spans="1:18" x14ac:dyDescent="0.25">
      <c r="A383" t="s">
        <v>460</v>
      </c>
      <c r="B383" s="2">
        <v>45533</v>
      </c>
      <c r="C383" t="s">
        <v>24</v>
      </c>
      <c r="D383" t="s">
        <v>25</v>
      </c>
      <c r="E383" t="s">
        <v>17</v>
      </c>
      <c r="F383" s="5">
        <v>6</v>
      </c>
      <c r="G383" s="5">
        <v>1</v>
      </c>
      <c r="H383" s="5">
        <v>5365</v>
      </c>
      <c r="I383" s="5">
        <v>1</v>
      </c>
      <c r="J383" s="5">
        <v>1788</v>
      </c>
      <c r="K383" t="s">
        <v>18</v>
      </c>
      <c r="L383" t="s">
        <v>19</v>
      </c>
      <c r="M383" t="s">
        <v>60</v>
      </c>
      <c r="N383" t="s">
        <v>42</v>
      </c>
      <c r="O383" t="s">
        <v>58</v>
      </c>
      <c r="P383" t="s">
        <v>36</v>
      </c>
      <c r="Q383">
        <f>Table1[[#This Row],[Course_Fee_AED]]-Table1[[#This Row],[Amount_Paid_AED]]</f>
        <v>3577</v>
      </c>
      <c r="R383">
        <f>Table1[[#This Row],[Course_Fee_AED]]-Table1[[#This Row],[pending Revenue]]</f>
        <v>1788</v>
      </c>
    </row>
    <row r="384" spans="1:18" x14ac:dyDescent="0.25">
      <c r="A384" t="s">
        <v>461</v>
      </c>
      <c r="B384" s="2">
        <v>45355</v>
      </c>
      <c r="C384" t="s">
        <v>106</v>
      </c>
      <c r="D384" t="s">
        <v>107</v>
      </c>
      <c r="E384" t="s">
        <v>17</v>
      </c>
      <c r="F384" s="5">
        <v>6</v>
      </c>
      <c r="G384" s="5">
        <v>1</v>
      </c>
      <c r="H384" s="5">
        <v>7811</v>
      </c>
      <c r="I384" s="5">
        <v>3</v>
      </c>
      <c r="J384" s="5">
        <v>7809</v>
      </c>
      <c r="K384" t="s">
        <v>18</v>
      </c>
      <c r="L384" t="s">
        <v>40</v>
      </c>
      <c r="M384" t="s">
        <v>60</v>
      </c>
      <c r="N384" t="s">
        <v>95</v>
      </c>
      <c r="O384" t="s">
        <v>71</v>
      </c>
      <c r="P384" t="s">
        <v>36</v>
      </c>
      <c r="Q384">
        <f>Table1[[#This Row],[Course_Fee_AED]]-Table1[[#This Row],[Amount_Paid_AED]]</f>
        <v>2</v>
      </c>
      <c r="R384">
        <f>Table1[[#This Row],[Course_Fee_AED]]-Table1[[#This Row],[pending Revenue]]</f>
        <v>7809</v>
      </c>
    </row>
    <row r="385" spans="1:18" x14ac:dyDescent="0.25">
      <c r="A385" t="s">
        <v>462</v>
      </c>
      <c r="B385" s="2">
        <v>45535</v>
      </c>
      <c r="C385" t="s">
        <v>100</v>
      </c>
      <c r="D385" t="s">
        <v>101</v>
      </c>
      <c r="E385" t="s">
        <v>26</v>
      </c>
      <c r="F385" s="5">
        <v>3</v>
      </c>
      <c r="G385" s="5">
        <v>1</v>
      </c>
      <c r="H385" s="5">
        <v>4846</v>
      </c>
      <c r="I385" s="5">
        <v>2</v>
      </c>
      <c r="J385" s="5">
        <v>3230</v>
      </c>
      <c r="K385" t="s">
        <v>18</v>
      </c>
      <c r="L385" t="s">
        <v>40</v>
      </c>
      <c r="M385" t="s">
        <v>41</v>
      </c>
      <c r="N385" t="s">
        <v>34</v>
      </c>
      <c r="O385" t="s">
        <v>64</v>
      </c>
      <c r="P385" t="s">
        <v>36</v>
      </c>
      <c r="Q385">
        <f>Table1[[#This Row],[Course_Fee_AED]]-Table1[[#This Row],[Amount_Paid_AED]]</f>
        <v>1616</v>
      </c>
      <c r="R385">
        <f>Table1[[#This Row],[Course_Fee_AED]]-Table1[[#This Row],[pending Revenue]]</f>
        <v>3230</v>
      </c>
    </row>
    <row r="386" spans="1:18" x14ac:dyDescent="0.25">
      <c r="A386" t="s">
        <v>463</v>
      </c>
      <c r="B386" s="2">
        <v>45510</v>
      </c>
      <c r="C386" t="s">
        <v>82</v>
      </c>
      <c r="D386" t="s">
        <v>83</v>
      </c>
      <c r="E386" t="s">
        <v>17</v>
      </c>
      <c r="F386" s="5">
        <v>6</v>
      </c>
      <c r="G386" s="5">
        <v>1</v>
      </c>
      <c r="H386" s="5">
        <v>9363</v>
      </c>
      <c r="I386" s="5">
        <v>3</v>
      </c>
      <c r="J386" s="5">
        <v>9363</v>
      </c>
      <c r="K386" t="s">
        <v>33</v>
      </c>
      <c r="L386" t="s">
        <v>40</v>
      </c>
      <c r="M386" t="s">
        <v>20</v>
      </c>
      <c r="N386" t="s">
        <v>70</v>
      </c>
      <c r="O386" t="s">
        <v>29</v>
      </c>
      <c r="P386" t="s">
        <v>36</v>
      </c>
      <c r="Q386">
        <f>Table1[[#This Row],[Course_Fee_AED]]-Table1[[#This Row],[Amount_Paid_AED]]</f>
        <v>0</v>
      </c>
      <c r="R386">
        <f>Table1[[#This Row],[Course_Fee_AED]]-Table1[[#This Row],[pending Revenue]]</f>
        <v>9363</v>
      </c>
    </row>
    <row r="387" spans="1:18" x14ac:dyDescent="0.25">
      <c r="A387" t="s">
        <v>464</v>
      </c>
      <c r="B387" s="2">
        <v>45400</v>
      </c>
      <c r="C387" t="s">
        <v>45</v>
      </c>
      <c r="D387" t="s">
        <v>46</v>
      </c>
      <c r="E387" t="s">
        <v>17</v>
      </c>
      <c r="F387" s="5">
        <v>6</v>
      </c>
      <c r="G387" s="5">
        <v>1</v>
      </c>
      <c r="H387" s="5">
        <v>5426</v>
      </c>
      <c r="I387" s="5">
        <v>3</v>
      </c>
      <c r="J387" s="5">
        <v>5424</v>
      </c>
      <c r="K387" t="s">
        <v>18</v>
      </c>
      <c r="L387" t="s">
        <v>19</v>
      </c>
      <c r="M387" t="s">
        <v>60</v>
      </c>
      <c r="N387" t="s">
        <v>86</v>
      </c>
      <c r="O387" t="s">
        <v>87</v>
      </c>
      <c r="P387" t="s">
        <v>36</v>
      </c>
      <c r="Q387">
        <f>Table1[[#This Row],[Course_Fee_AED]]-Table1[[#This Row],[Amount_Paid_AED]]</f>
        <v>2</v>
      </c>
      <c r="R387">
        <f>Table1[[#This Row],[Course_Fee_AED]]-Table1[[#This Row],[pending Revenue]]</f>
        <v>5424</v>
      </c>
    </row>
    <row r="388" spans="1:18" x14ac:dyDescent="0.25">
      <c r="A388" t="s">
        <v>465</v>
      </c>
      <c r="B388" s="2">
        <v>45621</v>
      </c>
      <c r="C388" t="s">
        <v>75</v>
      </c>
      <c r="D388" t="s">
        <v>76</v>
      </c>
      <c r="E388" t="s">
        <v>26</v>
      </c>
      <c r="F388" s="5">
        <v>3</v>
      </c>
      <c r="G388" s="5">
        <v>1</v>
      </c>
      <c r="H388" s="5">
        <v>12602</v>
      </c>
      <c r="I388" s="5">
        <v>3</v>
      </c>
      <c r="J388" s="5">
        <v>12600</v>
      </c>
      <c r="K388" t="s">
        <v>18</v>
      </c>
      <c r="L388" t="s">
        <v>57</v>
      </c>
      <c r="M388" t="s">
        <v>63</v>
      </c>
      <c r="N388" t="s">
        <v>42</v>
      </c>
      <c r="O388" t="s">
        <v>68</v>
      </c>
      <c r="P388" t="s">
        <v>18</v>
      </c>
      <c r="Q388">
        <f>Table1[[#This Row],[Course_Fee_AED]]-Table1[[#This Row],[Amount_Paid_AED]]</f>
        <v>2</v>
      </c>
      <c r="R388">
        <f>Table1[[#This Row],[Course_Fee_AED]]-Table1[[#This Row],[pending Revenue]]</f>
        <v>12600</v>
      </c>
    </row>
    <row r="389" spans="1:18" x14ac:dyDescent="0.25">
      <c r="A389" t="s">
        <v>466</v>
      </c>
      <c r="B389" s="2">
        <v>45449</v>
      </c>
      <c r="C389" t="s">
        <v>75</v>
      </c>
      <c r="D389" t="s">
        <v>76</v>
      </c>
      <c r="E389" t="s">
        <v>17</v>
      </c>
      <c r="F389" s="5">
        <v>6</v>
      </c>
      <c r="G389" s="5">
        <v>1</v>
      </c>
      <c r="H389" s="5">
        <v>13098</v>
      </c>
      <c r="I389" s="5">
        <v>2</v>
      </c>
      <c r="J389" s="5">
        <v>8732</v>
      </c>
      <c r="K389" t="s">
        <v>18</v>
      </c>
      <c r="L389" t="s">
        <v>40</v>
      </c>
      <c r="M389" t="s">
        <v>41</v>
      </c>
      <c r="N389" t="s">
        <v>116</v>
      </c>
      <c r="O389" t="s">
        <v>68</v>
      </c>
      <c r="P389" t="s">
        <v>36</v>
      </c>
      <c r="Q389">
        <f>Table1[[#This Row],[Course_Fee_AED]]-Table1[[#This Row],[Amount_Paid_AED]]</f>
        <v>4366</v>
      </c>
      <c r="R389">
        <f>Table1[[#This Row],[Course_Fee_AED]]-Table1[[#This Row],[pending Revenue]]</f>
        <v>8732</v>
      </c>
    </row>
    <row r="390" spans="1:18" x14ac:dyDescent="0.25">
      <c r="A390" t="s">
        <v>467</v>
      </c>
      <c r="B390" s="2">
        <v>45540</v>
      </c>
      <c r="C390" t="s">
        <v>38</v>
      </c>
      <c r="D390" t="s">
        <v>39</v>
      </c>
      <c r="E390" t="s">
        <v>17</v>
      </c>
      <c r="F390" s="5">
        <v>6</v>
      </c>
      <c r="G390" s="5">
        <v>1</v>
      </c>
      <c r="H390" s="5">
        <v>4002</v>
      </c>
      <c r="I390" s="5">
        <v>3</v>
      </c>
      <c r="J390" s="5">
        <v>4002</v>
      </c>
      <c r="K390" t="s">
        <v>33</v>
      </c>
      <c r="L390" t="s">
        <v>57</v>
      </c>
      <c r="M390" t="s">
        <v>27</v>
      </c>
      <c r="N390" t="s">
        <v>61</v>
      </c>
      <c r="O390" t="s">
        <v>87</v>
      </c>
      <c r="P390" t="s">
        <v>18</v>
      </c>
      <c r="Q390">
        <f>Table1[[#This Row],[Course_Fee_AED]]-Table1[[#This Row],[Amount_Paid_AED]]</f>
        <v>0</v>
      </c>
      <c r="R390">
        <f>Table1[[#This Row],[Course_Fee_AED]]-Table1[[#This Row],[pending Revenue]]</f>
        <v>4002</v>
      </c>
    </row>
    <row r="391" spans="1:18" x14ac:dyDescent="0.25">
      <c r="A391" t="s">
        <v>468</v>
      </c>
      <c r="B391" s="2">
        <v>45306</v>
      </c>
      <c r="C391" t="s">
        <v>51</v>
      </c>
      <c r="D391" t="s">
        <v>52</v>
      </c>
      <c r="E391" t="s">
        <v>26</v>
      </c>
      <c r="F391" s="5">
        <v>3</v>
      </c>
      <c r="G391" s="5">
        <v>1</v>
      </c>
      <c r="H391" s="5">
        <v>4212</v>
      </c>
      <c r="I391" s="5">
        <v>3</v>
      </c>
      <c r="J391" s="5">
        <v>4212</v>
      </c>
      <c r="K391" t="s">
        <v>33</v>
      </c>
      <c r="L391" t="s">
        <v>40</v>
      </c>
      <c r="M391" t="s">
        <v>41</v>
      </c>
      <c r="N391" t="s">
        <v>90</v>
      </c>
      <c r="O391" t="s">
        <v>87</v>
      </c>
      <c r="P391" t="s">
        <v>18</v>
      </c>
      <c r="Q391">
        <f>Table1[[#This Row],[Course_Fee_AED]]-Table1[[#This Row],[Amount_Paid_AED]]</f>
        <v>0</v>
      </c>
      <c r="R391">
        <f>Table1[[#This Row],[Course_Fee_AED]]-Table1[[#This Row],[pending Revenue]]</f>
        <v>4212</v>
      </c>
    </row>
    <row r="392" spans="1:18" x14ac:dyDescent="0.25">
      <c r="A392" t="s">
        <v>469</v>
      </c>
      <c r="B392" s="2">
        <v>45560</v>
      </c>
      <c r="C392" t="s">
        <v>66</v>
      </c>
      <c r="D392" t="s">
        <v>56</v>
      </c>
      <c r="E392" t="s">
        <v>17</v>
      </c>
      <c r="F392" s="5">
        <v>6</v>
      </c>
      <c r="G392" s="5">
        <v>1</v>
      </c>
      <c r="H392" s="5">
        <v>7783</v>
      </c>
      <c r="I392" s="5">
        <v>3</v>
      </c>
      <c r="J392" s="5">
        <v>7782</v>
      </c>
      <c r="K392" t="s">
        <v>18</v>
      </c>
      <c r="L392" t="s">
        <v>40</v>
      </c>
      <c r="M392" t="s">
        <v>41</v>
      </c>
      <c r="N392" t="s">
        <v>116</v>
      </c>
      <c r="O392" t="s">
        <v>49</v>
      </c>
      <c r="P392" t="s">
        <v>36</v>
      </c>
      <c r="Q392">
        <f>Table1[[#This Row],[Course_Fee_AED]]-Table1[[#This Row],[Amount_Paid_AED]]</f>
        <v>1</v>
      </c>
      <c r="R392">
        <f>Table1[[#This Row],[Course_Fee_AED]]-Table1[[#This Row],[pending Revenue]]</f>
        <v>7782</v>
      </c>
    </row>
    <row r="393" spans="1:18" x14ac:dyDescent="0.25">
      <c r="A393" t="s">
        <v>470</v>
      </c>
      <c r="B393" s="2">
        <v>45401</v>
      </c>
      <c r="C393" t="s">
        <v>55</v>
      </c>
      <c r="D393" t="s">
        <v>56</v>
      </c>
      <c r="E393" t="s">
        <v>26</v>
      </c>
      <c r="F393" s="5">
        <v>3</v>
      </c>
      <c r="G393" s="5">
        <v>1</v>
      </c>
      <c r="H393" s="5">
        <v>9749</v>
      </c>
      <c r="I393" s="5">
        <v>3</v>
      </c>
      <c r="J393" s="5">
        <v>9747</v>
      </c>
      <c r="K393" t="s">
        <v>18</v>
      </c>
      <c r="L393" t="s">
        <v>19</v>
      </c>
      <c r="M393" t="s">
        <v>47</v>
      </c>
      <c r="N393" t="s">
        <v>28</v>
      </c>
      <c r="O393" t="s">
        <v>58</v>
      </c>
      <c r="P393" t="s">
        <v>18</v>
      </c>
      <c r="Q393">
        <f>Table1[[#This Row],[Course_Fee_AED]]-Table1[[#This Row],[Amount_Paid_AED]]</f>
        <v>2</v>
      </c>
      <c r="R393">
        <f>Table1[[#This Row],[Course_Fee_AED]]-Table1[[#This Row],[pending Revenue]]</f>
        <v>9747</v>
      </c>
    </row>
    <row r="394" spans="1:18" x14ac:dyDescent="0.25">
      <c r="A394" t="s">
        <v>471</v>
      </c>
      <c r="B394" s="2">
        <v>45436</v>
      </c>
      <c r="C394" t="s">
        <v>82</v>
      </c>
      <c r="D394" t="s">
        <v>83</v>
      </c>
      <c r="E394" t="s">
        <v>17</v>
      </c>
      <c r="F394" s="5">
        <v>6</v>
      </c>
      <c r="G394" s="5">
        <v>1</v>
      </c>
      <c r="H394" s="5">
        <v>14385</v>
      </c>
      <c r="I394" s="5">
        <v>3</v>
      </c>
      <c r="J394" s="5">
        <v>14385</v>
      </c>
      <c r="K394" t="s">
        <v>33</v>
      </c>
      <c r="L394" t="s">
        <v>57</v>
      </c>
      <c r="M394" t="s">
        <v>20</v>
      </c>
      <c r="N394" t="s">
        <v>42</v>
      </c>
      <c r="O394" t="s">
        <v>58</v>
      </c>
      <c r="P394" t="s">
        <v>36</v>
      </c>
      <c r="Q394">
        <f>Table1[[#This Row],[Course_Fee_AED]]-Table1[[#This Row],[Amount_Paid_AED]]</f>
        <v>0</v>
      </c>
      <c r="R394">
        <f>Table1[[#This Row],[Course_Fee_AED]]-Table1[[#This Row],[pending Revenue]]</f>
        <v>14385</v>
      </c>
    </row>
    <row r="395" spans="1:18" x14ac:dyDescent="0.25">
      <c r="A395" t="s">
        <v>472</v>
      </c>
      <c r="B395" s="2">
        <v>45576</v>
      </c>
      <c r="C395" t="s">
        <v>31</v>
      </c>
      <c r="D395" t="s">
        <v>32</v>
      </c>
      <c r="E395" t="s">
        <v>26</v>
      </c>
      <c r="F395" s="5">
        <v>3</v>
      </c>
      <c r="G395" s="5">
        <v>1</v>
      </c>
      <c r="H395" s="5">
        <v>6160</v>
      </c>
      <c r="I395" s="5">
        <v>3</v>
      </c>
      <c r="J395" s="5">
        <v>6159</v>
      </c>
      <c r="K395" t="s">
        <v>18</v>
      </c>
      <c r="L395" t="s">
        <v>57</v>
      </c>
      <c r="M395" t="s">
        <v>27</v>
      </c>
      <c r="N395" t="s">
        <v>86</v>
      </c>
      <c r="O395" t="s">
        <v>49</v>
      </c>
      <c r="P395" t="s">
        <v>18</v>
      </c>
      <c r="Q395">
        <f>Table1[[#This Row],[Course_Fee_AED]]-Table1[[#This Row],[Amount_Paid_AED]]</f>
        <v>1</v>
      </c>
      <c r="R395">
        <f>Table1[[#This Row],[Course_Fee_AED]]-Table1[[#This Row],[pending Revenue]]</f>
        <v>6159</v>
      </c>
    </row>
    <row r="396" spans="1:18" x14ac:dyDescent="0.25">
      <c r="A396" t="s">
        <v>473</v>
      </c>
      <c r="B396" s="2">
        <v>45618</v>
      </c>
      <c r="C396" t="s">
        <v>38</v>
      </c>
      <c r="D396" t="s">
        <v>39</v>
      </c>
      <c r="E396" t="s">
        <v>26</v>
      </c>
      <c r="F396" s="5">
        <v>3</v>
      </c>
      <c r="G396" s="5">
        <v>1</v>
      </c>
      <c r="H396" s="5">
        <v>5703</v>
      </c>
      <c r="I396" s="5">
        <v>1</v>
      </c>
      <c r="J396" s="5">
        <v>1901</v>
      </c>
      <c r="K396" t="s">
        <v>18</v>
      </c>
      <c r="L396" t="s">
        <v>57</v>
      </c>
      <c r="M396" t="s">
        <v>63</v>
      </c>
      <c r="N396" t="s">
        <v>95</v>
      </c>
      <c r="O396" t="s">
        <v>68</v>
      </c>
      <c r="P396" t="s">
        <v>18</v>
      </c>
      <c r="Q396">
        <f>Table1[[#This Row],[Course_Fee_AED]]-Table1[[#This Row],[Amount_Paid_AED]]</f>
        <v>3802</v>
      </c>
      <c r="R396">
        <f>Table1[[#This Row],[Course_Fee_AED]]-Table1[[#This Row],[pending Revenue]]</f>
        <v>1901</v>
      </c>
    </row>
    <row r="397" spans="1:18" x14ac:dyDescent="0.25">
      <c r="A397" t="s">
        <v>474</v>
      </c>
      <c r="B397" s="2">
        <v>45351</v>
      </c>
      <c r="C397" t="s">
        <v>55</v>
      </c>
      <c r="D397" t="s">
        <v>56</v>
      </c>
      <c r="E397" t="s">
        <v>26</v>
      </c>
      <c r="F397" s="5">
        <v>3</v>
      </c>
      <c r="G397" s="5">
        <v>1</v>
      </c>
      <c r="H397" s="5">
        <v>9837</v>
      </c>
      <c r="I397" s="5">
        <v>1</v>
      </c>
      <c r="J397" s="5">
        <v>3279</v>
      </c>
      <c r="K397" t="s">
        <v>18</v>
      </c>
      <c r="L397" t="s">
        <v>40</v>
      </c>
      <c r="M397" t="s">
        <v>63</v>
      </c>
      <c r="N397" t="s">
        <v>79</v>
      </c>
      <c r="O397" t="s">
        <v>35</v>
      </c>
      <c r="P397" t="s">
        <v>18</v>
      </c>
      <c r="Q397">
        <f>Table1[[#This Row],[Course_Fee_AED]]-Table1[[#This Row],[Amount_Paid_AED]]</f>
        <v>6558</v>
      </c>
      <c r="R397">
        <f>Table1[[#This Row],[Course_Fee_AED]]-Table1[[#This Row],[pending Revenue]]</f>
        <v>3279</v>
      </c>
    </row>
    <row r="398" spans="1:18" x14ac:dyDescent="0.25">
      <c r="A398" t="s">
        <v>475</v>
      </c>
      <c r="B398" s="2">
        <v>45315</v>
      </c>
      <c r="C398" t="s">
        <v>66</v>
      </c>
      <c r="D398" t="s">
        <v>56</v>
      </c>
      <c r="E398" t="s">
        <v>17</v>
      </c>
      <c r="F398" s="5">
        <v>6</v>
      </c>
      <c r="G398" s="5">
        <v>1</v>
      </c>
      <c r="H398" s="5">
        <v>9938</v>
      </c>
      <c r="I398" s="5">
        <v>2</v>
      </c>
      <c r="J398" s="5">
        <v>6624</v>
      </c>
      <c r="K398" t="s">
        <v>18</v>
      </c>
      <c r="L398" t="s">
        <v>57</v>
      </c>
      <c r="M398" t="s">
        <v>41</v>
      </c>
      <c r="N398" t="s">
        <v>61</v>
      </c>
      <c r="O398" t="s">
        <v>71</v>
      </c>
      <c r="P398" t="s">
        <v>18</v>
      </c>
      <c r="Q398">
        <f>Table1[[#This Row],[Course_Fee_AED]]-Table1[[#This Row],[Amount_Paid_AED]]</f>
        <v>3314</v>
      </c>
      <c r="R398">
        <f>Table1[[#This Row],[Course_Fee_AED]]-Table1[[#This Row],[pending Revenue]]</f>
        <v>6624</v>
      </c>
    </row>
    <row r="399" spans="1:18" x14ac:dyDescent="0.25">
      <c r="A399" t="s">
        <v>476</v>
      </c>
      <c r="B399" s="2">
        <v>45576</v>
      </c>
      <c r="C399" t="s">
        <v>24</v>
      </c>
      <c r="D399" t="s">
        <v>25</v>
      </c>
      <c r="E399" t="s">
        <v>17</v>
      </c>
      <c r="F399" s="5">
        <v>6</v>
      </c>
      <c r="G399" s="5">
        <v>1</v>
      </c>
      <c r="H399" s="5">
        <v>6741</v>
      </c>
      <c r="I399" s="5">
        <v>1</v>
      </c>
      <c r="J399" s="5">
        <v>2247</v>
      </c>
      <c r="K399" t="s">
        <v>18</v>
      </c>
      <c r="L399" t="s">
        <v>57</v>
      </c>
      <c r="M399" t="s">
        <v>63</v>
      </c>
      <c r="N399" t="s">
        <v>48</v>
      </c>
      <c r="O399" t="s">
        <v>35</v>
      </c>
      <c r="P399" t="s">
        <v>18</v>
      </c>
      <c r="Q399">
        <f>Table1[[#This Row],[Course_Fee_AED]]-Table1[[#This Row],[Amount_Paid_AED]]</f>
        <v>4494</v>
      </c>
      <c r="R399">
        <f>Table1[[#This Row],[Course_Fee_AED]]-Table1[[#This Row],[pending Revenue]]</f>
        <v>2247</v>
      </c>
    </row>
    <row r="400" spans="1:18" x14ac:dyDescent="0.25">
      <c r="A400" t="s">
        <v>477</v>
      </c>
      <c r="B400" s="2">
        <v>45531</v>
      </c>
      <c r="C400" t="s">
        <v>82</v>
      </c>
      <c r="D400" t="s">
        <v>83</v>
      </c>
      <c r="E400" t="s">
        <v>17</v>
      </c>
      <c r="F400" s="5">
        <v>6</v>
      </c>
      <c r="G400" s="5">
        <v>1</v>
      </c>
      <c r="H400" s="5">
        <v>8974</v>
      </c>
      <c r="I400" s="5">
        <v>1</v>
      </c>
      <c r="J400" s="5">
        <v>2991</v>
      </c>
      <c r="K400" t="s">
        <v>18</v>
      </c>
      <c r="L400" t="s">
        <v>57</v>
      </c>
      <c r="M400" t="s">
        <v>27</v>
      </c>
      <c r="N400" t="s">
        <v>70</v>
      </c>
      <c r="O400" t="s">
        <v>29</v>
      </c>
      <c r="P400" t="s">
        <v>18</v>
      </c>
      <c r="Q400">
        <f>Table1[[#This Row],[Course_Fee_AED]]-Table1[[#This Row],[Amount_Paid_AED]]</f>
        <v>5983</v>
      </c>
      <c r="R400">
        <f>Table1[[#This Row],[Course_Fee_AED]]-Table1[[#This Row],[pending Revenue]]</f>
        <v>2991</v>
      </c>
    </row>
    <row r="401" spans="1:18" x14ac:dyDescent="0.25">
      <c r="A401" t="s">
        <v>478</v>
      </c>
      <c r="B401" s="2">
        <v>45349</v>
      </c>
      <c r="C401" t="s">
        <v>31</v>
      </c>
      <c r="D401" t="s">
        <v>32</v>
      </c>
      <c r="E401" t="s">
        <v>26</v>
      </c>
      <c r="F401" s="5">
        <v>3</v>
      </c>
      <c r="G401" s="5">
        <v>1</v>
      </c>
      <c r="H401" s="5">
        <v>4761</v>
      </c>
      <c r="I401" s="5">
        <v>3</v>
      </c>
      <c r="J401" s="5">
        <v>4761</v>
      </c>
      <c r="K401" t="s">
        <v>33</v>
      </c>
      <c r="L401" t="s">
        <v>40</v>
      </c>
      <c r="M401" t="s">
        <v>41</v>
      </c>
      <c r="N401" t="s">
        <v>90</v>
      </c>
      <c r="O401" t="s">
        <v>71</v>
      </c>
      <c r="P401" t="s">
        <v>18</v>
      </c>
      <c r="Q401">
        <f>Table1[[#This Row],[Course_Fee_AED]]-Table1[[#This Row],[Amount_Paid_AED]]</f>
        <v>0</v>
      </c>
      <c r="R401">
        <f>Table1[[#This Row],[Course_Fee_AED]]-Table1[[#This Row],[pending Revenue]]</f>
        <v>4761</v>
      </c>
    </row>
    <row r="402" spans="1:18" x14ac:dyDescent="0.25">
      <c r="A402" t="s">
        <v>479</v>
      </c>
      <c r="B402" s="2">
        <v>45292</v>
      </c>
      <c r="C402" t="s">
        <v>24</v>
      </c>
      <c r="D402" t="s">
        <v>25</v>
      </c>
      <c r="E402" t="s">
        <v>26</v>
      </c>
      <c r="F402" s="5">
        <v>3</v>
      </c>
      <c r="G402" s="5">
        <v>1</v>
      </c>
      <c r="H402" s="5">
        <v>6318</v>
      </c>
      <c r="I402" s="5">
        <v>3</v>
      </c>
      <c r="J402" s="5">
        <v>6318</v>
      </c>
      <c r="K402" t="s">
        <v>33</v>
      </c>
      <c r="L402" t="s">
        <v>57</v>
      </c>
      <c r="M402" t="s">
        <v>27</v>
      </c>
      <c r="N402" t="s">
        <v>48</v>
      </c>
      <c r="O402" t="s">
        <v>87</v>
      </c>
      <c r="P402" t="s">
        <v>18</v>
      </c>
      <c r="Q402">
        <f>Table1[[#This Row],[Course_Fee_AED]]-Table1[[#This Row],[Amount_Paid_AED]]</f>
        <v>0</v>
      </c>
      <c r="R402">
        <f>Table1[[#This Row],[Course_Fee_AED]]-Table1[[#This Row],[pending Revenue]]</f>
        <v>6318</v>
      </c>
    </row>
    <row r="403" spans="1:18" x14ac:dyDescent="0.25">
      <c r="A403" t="s">
        <v>480</v>
      </c>
      <c r="B403" s="2">
        <v>45608</v>
      </c>
      <c r="C403" t="s">
        <v>45</v>
      </c>
      <c r="D403" t="s">
        <v>46</v>
      </c>
      <c r="E403" t="s">
        <v>26</v>
      </c>
      <c r="F403" s="5">
        <v>3</v>
      </c>
      <c r="G403" s="5">
        <v>1</v>
      </c>
      <c r="H403" s="5">
        <v>4422</v>
      </c>
      <c r="I403" s="5">
        <v>3</v>
      </c>
      <c r="J403" s="5">
        <v>4422</v>
      </c>
      <c r="K403" t="s">
        <v>33</v>
      </c>
      <c r="L403" t="s">
        <v>57</v>
      </c>
      <c r="M403" t="s">
        <v>20</v>
      </c>
      <c r="N403" t="s">
        <v>48</v>
      </c>
      <c r="O403" t="s">
        <v>49</v>
      </c>
      <c r="P403" t="s">
        <v>18</v>
      </c>
      <c r="Q403">
        <f>Table1[[#This Row],[Course_Fee_AED]]-Table1[[#This Row],[Amount_Paid_AED]]</f>
        <v>0</v>
      </c>
      <c r="R403">
        <f>Table1[[#This Row],[Course_Fee_AED]]-Table1[[#This Row],[pending Revenue]]</f>
        <v>4422</v>
      </c>
    </row>
    <row r="404" spans="1:18" x14ac:dyDescent="0.25">
      <c r="A404" t="s">
        <v>481</v>
      </c>
      <c r="B404" s="2">
        <v>45555</v>
      </c>
      <c r="C404" t="s">
        <v>100</v>
      </c>
      <c r="D404" t="s">
        <v>101</v>
      </c>
      <c r="E404" t="s">
        <v>26</v>
      </c>
      <c r="F404" s="5">
        <v>3</v>
      </c>
      <c r="G404" s="5">
        <v>1</v>
      </c>
      <c r="H404" s="5">
        <v>4725</v>
      </c>
      <c r="I404" s="5">
        <v>2</v>
      </c>
      <c r="J404" s="5">
        <v>3150</v>
      </c>
      <c r="K404" t="s">
        <v>18</v>
      </c>
      <c r="L404" t="s">
        <v>57</v>
      </c>
      <c r="M404" t="s">
        <v>63</v>
      </c>
      <c r="N404" t="s">
        <v>48</v>
      </c>
      <c r="O404" t="s">
        <v>87</v>
      </c>
      <c r="P404" t="s">
        <v>36</v>
      </c>
      <c r="Q404">
        <f>Table1[[#This Row],[Course_Fee_AED]]-Table1[[#This Row],[Amount_Paid_AED]]</f>
        <v>1575</v>
      </c>
      <c r="R404">
        <f>Table1[[#This Row],[Course_Fee_AED]]-Table1[[#This Row],[pending Revenue]]</f>
        <v>3150</v>
      </c>
    </row>
    <row r="405" spans="1:18" x14ac:dyDescent="0.25">
      <c r="A405" t="s">
        <v>482</v>
      </c>
      <c r="B405" s="2">
        <v>45363</v>
      </c>
      <c r="C405" t="s">
        <v>82</v>
      </c>
      <c r="D405" t="s">
        <v>83</v>
      </c>
      <c r="E405" t="s">
        <v>17</v>
      </c>
      <c r="F405" s="5">
        <v>6</v>
      </c>
      <c r="G405" s="5">
        <v>1</v>
      </c>
      <c r="H405" s="5">
        <v>10959</v>
      </c>
      <c r="I405" s="5">
        <v>1</v>
      </c>
      <c r="J405" s="5">
        <v>3653</v>
      </c>
      <c r="K405" t="s">
        <v>18</v>
      </c>
      <c r="L405" t="s">
        <v>40</v>
      </c>
      <c r="M405" t="s">
        <v>27</v>
      </c>
      <c r="N405" t="s">
        <v>95</v>
      </c>
      <c r="O405" t="s">
        <v>68</v>
      </c>
      <c r="P405" t="s">
        <v>18</v>
      </c>
      <c r="Q405">
        <f>Table1[[#This Row],[Course_Fee_AED]]-Table1[[#This Row],[Amount_Paid_AED]]</f>
        <v>7306</v>
      </c>
      <c r="R405">
        <f>Table1[[#This Row],[Course_Fee_AED]]-Table1[[#This Row],[pending Revenue]]</f>
        <v>3653</v>
      </c>
    </row>
    <row r="406" spans="1:18" x14ac:dyDescent="0.25">
      <c r="A406" t="s">
        <v>483</v>
      </c>
      <c r="B406" s="2">
        <v>45397</v>
      </c>
      <c r="C406" t="s">
        <v>31</v>
      </c>
      <c r="D406" t="s">
        <v>32</v>
      </c>
      <c r="E406" t="s">
        <v>17</v>
      </c>
      <c r="F406" s="5">
        <v>6</v>
      </c>
      <c r="G406" s="5">
        <v>1</v>
      </c>
      <c r="H406" s="5">
        <v>5682</v>
      </c>
      <c r="I406" s="5">
        <v>3</v>
      </c>
      <c r="J406" s="5">
        <v>5682</v>
      </c>
      <c r="K406" t="s">
        <v>33</v>
      </c>
      <c r="L406" t="s">
        <v>40</v>
      </c>
      <c r="M406" t="s">
        <v>41</v>
      </c>
      <c r="N406" t="s">
        <v>70</v>
      </c>
      <c r="O406" t="s">
        <v>87</v>
      </c>
      <c r="P406" t="s">
        <v>36</v>
      </c>
      <c r="Q406">
        <f>Table1[[#This Row],[Course_Fee_AED]]-Table1[[#This Row],[Amount_Paid_AED]]</f>
        <v>0</v>
      </c>
      <c r="R406">
        <f>Table1[[#This Row],[Course_Fee_AED]]-Table1[[#This Row],[pending Revenue]]</f>
        <v>5682</v>
      </c>
    </row>
    <row r="407" spans="1:18" x14ac:dyDescent="0.25">
      <c r="A407" t="s">
        <v>484</v>
      </c>
      <c r="B407" s="2">
        <v>45630</v>
      </c>
      <c r="C407" t="s">
        <v>45</v>
      </c>
      <c r="D407" t="s">
        <v>46</v>
      </c>
      <c r="E407" t="s">
        <v>17</v>
      </c>
      <c r="F407" s="5">
        <v>6</v>
      </c>
      <c r="G407" s="5">
        <v>1</v>
      </c>
      <c r="H407" s="5">
        <v>6716</v>
      </c>
      <c r="I407" s="5">
        <v>1</v>
      </c>
      <c r="J407" s="5">
        <v>2238</v>
      </c>
      <c r="K407" t="s">
        <v>18</v>
      </c>
      <c r="L407" t="s">
        <v>19</v>
      </c>
      <c r="M407" t="s">
        <v>63</v>
      </c>
      <c r="N407" t="s">
        <v>28</v>
      </c>
      <c r="O407" t="s">
        <v>68</v>
      </c>
      <c r="P407" t="s">
        <v>36</v>
      </c>
      <c r="Q407">
        <f>Table1[[#This Row],[Course_Fee_AED]]-Table1[[#This Row],[Amount_Paid_AED]]</f>
        <v>4478</v>
      </c>
      <c r="R407">
        <f>Table1[[#This Row],[Course_Fee_AED]]-Table1[[#This Row],[pending Revenue]]</f>
        <v>2238</v>
      </c>
    </row>
    <row r="408" spans="1:18" x14ac:dyDescent="0.25">
      <c r="A408" t="s">
        <v>485</v>
      </c>
      <c r="B408" s="2">
        <v>45563</v>
      </c>
      <c r="C408" t="s">
        <v>66</v>
      </c>
      <c r="D408" t="s">
        <v>56</v>
      </c>
      <c r="E408" t="s">
        <v>26</v>
      </c>
      <c r="F408" s="5">
        <v>3</v>
      </c>
      <c r="G408" s="5">
        <v>1</v>
      </c>
      <c r="H408" s="5">
        <v>8844</v>
      </c>
      <c r="I408" s="5">
        <v>2</v>
      </c>
      <c r="J408" s="5">
        <v>5896</v>
      </c>
      <c r="K408" t="s">
        <v>18</v>
      </c>
      <c r="L408" t="s">
        <v>40</v>
      </c>
      <c r="M408" t="s">
        <v>47</v>
      </c>
      <c r="N408" t="s">
        <v>95</v>
      </c>
      <c r="O408" t="s">
        <v>68</v>
      </c>
      <c r="P408" t="s">
        <v>18</v>
      </c>
      <c r="Q408">
        <f>Table1[[#This Row],[Course_Fee_AED]]-Table1[[#This Row],[Amount_Paid_AED]]</f>
        <v>2948</v>
      </c>
      <c r="R408">
        <f>Table1[[#This Row],[Course_Fee_AED]]-Table1[[#This Row],[pending Revenue]]</f>
        <v>5896</v>
      </c>
    </row>
    <row r="409" spans="1:18" x14ac:dyDescent="0.25">
      <c r="A409" t="s">
        <v>486</v>
      </c>
      <c r="B409" s="2">
        <v>45603</v>
      </c>
      <c r="C409" t="s">
        <v>55</v>
      </c>
      <c r="D409" t="s">
        <v>56</v>
      </c>
      <c r="E409" t="s">
        <v>17</v>
      </c>
      <c r="F409" s="5">
        <v>6</v>
      </c>
      <c r="G409" s="5">
        <v>1</v>
      </c>
      <c r="H409" s="5">
        <v>10724</v>
      </c>
      <c r="I409" s="5">
        <v>1</v>
      </c>
      <c r="J409" s="5">
        <v>3574</v>
      </c>
      <c r="K409" t="s">
        <v>18</v>
      </c>
      <c r="L409" t="s">
        <v>57</v>
      </c>
      <c r="M409" t="s">
        <v>20</v>
      </c>
      <c r="N409" t="s">
        <v>116</v>
      </c>
      <c r="O409" t="s">
        <v>68</v>
      </c>
      <c r="P409" t="s">
        <v>36</v>
      </c>
      <c r="Q409">
        <f>Table1[[#This Row],[Course_Fee_AED]]-Table1[[#This Row],[Amount_Paid_AED]]</f>
        <v>7150</v>
      </c>
      <c r="R409">
        <f>Table1[[#This Row],[Course_Fee_AED]]-Table1[[#This Row],[pending Revenue]]</f>
        <v>3574</v>
      </c>
    </row>
    <row r="410" spans="1:18" x14ac:dyDescent="0.25">
      <c r="A410" t="s">
        <v>487</v>
      </c>
      <c r="B410" s="2">
        <v>45592</v>
      </c>
      <c r="C410" t="s">
        <v>15</v>
      </c>
      <c r="D410" t="s">
        <v>16</v>
      </c>
      <c r="E410" t="s">
        <v>26</v>
      </c>
      <c r="F410" s="5">
        <v>3</v>
      </c>
      <c r="G410" s="5">
        <v>1</v>
      </c>
      <c r="H410" s="5">
        <v>7791</v>
      </c>
      <c r="I410" s="5">
        <v>1</v>
      </c>
      <c r="J410" s="5">
        <v>2597</v>
      </c>
      <c r="K410" t="s">
        <v>18</v>
      </c>
      <c r="L410" t="s">
        <v>40</v>
      </c>
      <c r="M410" t="s">
        <v>63</v>
      </c>
      <c r="N410" t="s">
        <v>42</v>
      </c>
      <c r="O410" t="s">
        <v>71</v>
      </c>
      <c r="P410" t="s">
        <v>36</v>
      </c>
      <c r="Q410">
        <f>Table1[[#This Row],[Course_Fee_AED]]-Table1[[#This Row],[Amount_Paid_AED]]</f>
        <v>5194</v>
      </c>
      <c r="R410">
        <f>Table1[[#This Row],[Course_Fee_AED]]-Table1[[#This Row],[pending Revenue]]</f>
        <v>2597</v>
      </c>
    </row>
    <row r="411" spans="1:18" x14ac:dyDescent="0.25">
      <c r="A411" t="s">
        <v>488</v>
      </c>
      <c r="B411" s="2">
        <v>45585</v>
      </c>
      <c r="C411" t="s">
        <v>82</v>
      </c>
      <c r="D411" t="s">
        <v>83</v>
      </c>
      <c r="E411" t="s">
        <v>26</v>
      </c>
      <c r="F411" s="5">
        <v>3</v>
      </c>
      <c r="G411" s="5">
        <v>1</v>
      </c>
      <c r="H411" s="5">
        <v>11495</v>
      </c>
      <c r="I411" s="5">
        <v>2</v>
      </c>
      <c r="J411" s="5">
        <v>7662</v>
      </c>
      <c r="K411" t="s">
        <v>18</v>
      </c>
      <c r="L411" t="s">
        <v>57</v>
      </c>
      <c r="M411" t="s">
        <v>20</v>
      </c>
      <c r="N411" t="s">
        <v>70</v>
      </c>
      <c r="O411" t="s">
        <v>29</v>
      </c>
      <c r="P411" t="s">
        <v>36</v>
      </c>
      <c r="Q411">
        <f>Table1[[#This Row],[Course_Fee_AED]]-Table1[[#This Row],[Amount_Paid_AED]]</f>
        <v>3833</v>
      </c>
      <c r="R411">
        <f>Table1[[#This Row],[Course_Fee_AED]]-Table1[[#This Row],[pending Revenue]]</f>
        <v>7662</v>
      </c>
    </row>
    <row r="412" spans="1:18" x14ac:dyDescent="0.25">
      <c r="A412" t="s">
        <v>489</v>
      </c>
      <c r="B412" s="2">
        <v>45390</v>
      </c>
      <c r="C412" t="s">
        <v>106</v>
      </c>
      <c r="D412" t="s">
        <v>107</v>
      </c>
      <c r="E412" t="s">
        <v>26</v>
      </c>
      <c r="F412" s="5">
        <v>3</v>
      </c>
      <c r="G412" s="5">
        <v>1</v>
      </c>
      <c r="H412" s="5">
        <v>6201</v>
      </c>
      <c r="I412" s="5">
        <v>1</v>
      </c>
      <c r="J412" s="5">
        <v>2067</v>
      </c>
      <c r="K412" t="s">
        <v>18</v>
      </c>
      <c r="L412" t="s">
        <v>19</v>
      </c>
      <c r="M412" t="s">
        <v>27</v>
      </c>
      <c r="N412" t="s">
        <v>73</v>
      </c>
      <c r="O412" t="s">
        <v>22</v>
      </c>
      <c r="P412" t="s">
        <v>36</v>
      </c>
      <c r="Q412">
        <f>Table1[[#This Row],[Course_Fee_AED]]-Table1[[#This Row],[Amount_Paid_AED]]</f>
        <v>4134</v>
      </c>
      <c r="R412">
        <f>Table1[[#This Row],[Course_Fee_AED]]-Table1[[#This Row],[pending Revenue]]</f>
        <v>2067</v>
      </c>
    </row>
    <row r="413" spans="1:18" x14ac:dyDescent="0.25">
      <c r="A413" t="s">
        <v>490</v>
      </c>
      <c r="B413" s="2">
        <v>45318</v>
      </c>
      <c r="C413" t="s">
        <v>38</v>
      </c>
      <c r="D413" t="s">
        <v>39</v>
      </c>
      <c r="E413" t="s">
        <v>26</v>
      </c>
      <c r="F413" s="5">
        <v>3</v>
      </c>
      <c r="G413" s="5">
        <v>1</v>
      </c>
      <c r="H413" s="5">
        <v>4927</v>
      </c>
      <c r="I413" s="5">
        <v>1</v>
      </c>
      <c r="J413" s="5">
        <v>1642</v>
      </c>
      <c r="K413" t="s">
        <v>18</v>
      </c>
      <c r="L413" t="s">
        <v>19</v>
      </c>
      <c r="M413" t="s">
        <v>27</v>
      </c>
      <c r="N413" t="s">
        <v>34</v>
      </c>
      <c r="O413" t="s">
        <v>29</v>
      </c>
      <c r="P413" t="s">
        <v>36</v>
      </c>
      <c r="Q413">
        <f>Table1[[#This Row],[Course_Fee_AED]]-Table1[[#This Row],[Amount_Paid_AED]]</f>
        <v>3285</v>
      </c>
      <c r="R413">
        <f>Table1[[#This Row],[Course_Fee_AED]]-Table1[[#This Row],[pending Revenue]]</f>
        <v>1642</v>
      </c>
    </row>
    <row r="414" spans="1:18" x14ac:dyDescent="0.25">
      <c r="A414" t="s">
        <v>491</v>
      </c>
      <c r="B414" s="2">
        <v>45417</v>
      </c>
      <c r="C414" t="s">
        <v>51</v>
      </c>
      <c r="D414" t="s">
        <v>52</v>
      </c>
      <c r="E414" t="s">
        <v>26</v>
      </c>
      <c r="F414" s="5">
        <v>3</v>
      </c>
      <c r="G414" s="5">
        <v>1</v>
      </c>
      <c r="H414" s="5">
        <v>4792</v>
      </c>
      <c r="I414" s="5">
        <v>2</v>
      </c>
      <c r="J414" s="5">
        <v>3194</v>
      </c>
      <c r="K414" t="s">
        <v>18</v>
      </c>
      <c r="L414" t="s">
        <v>57</v>
      </c>
      <c r="M414" t="s">
        <v>41</v>
      </c>
      <c r="N414" t="s">
        <v>116</v>
      </c>
      <c r="O414" t="s">
        <v>49</v>
      </c>
      <c r="P414" t="s">
        <v>36</v>
      </c>
      <c r="Q414">
        <f>Table1[[#This Row],[Course_Fee_AED]]-Table1[[#This Row],[Amount_Paid_AED]]</f>
        <v>1598</v>
      </c>
      <c r="R414">
        <f>Table1[[#This Row],[Course_Fee_AED]]-Table1[[#This Row],[pending Revenue]]</f>
        <v>3194</v>
      </c>
    </row>
    <row r="415" spans="1:18" x14ac:dyDescent="0.25">
      <c r="A415" t="s">
        <v>492</v>
      </c>
      <c r="B415" s="2">
        <v>45353</v>
      </c>
      <c r="C415" t="s">
        <v>92</v>
      </c>
      <c r="D415" t="s">
        <v>93</v>
      </c>
      <c r="E415" t="s">
        <v>26</v>
      </c>
      <c r="F415" s="5">
        <v>3</v>
      </c>
      <c r="G415" s="5">
        <v>1</v>
      </c>
      <c r="H415" s="5">
        <v>7414</v>
      </c>
      <c r="I415" s="5">
        <v>1</v>
      </c>
      <c r="J415" s="5">
        <v>2471</v>
      </c>
      <c r="K415" t="s">
        <v>18</v>
      </c>
      <c r="L415" t="s">
        <v>40</v>
      </c>
      <c r="M415" t="s">
        <v>41</v>
      </c>
      <c r="N415" t="s">
        <v>116</v>
      </c>
      <c r="O415" t="s">
        <v>43</v>
      </c>
      <c r="P415" t="s">
        <v>18</v>
      </c>
      <c r="Q415">
        <f>Table1[[#This Row],[Course_Fee_AED]]-Table1[[#This Row],[Amount_Paid_AED]]</f>
        <v>4943</v>
      </c>
      <c r="R415">
        <f>Table1[[#This Row],[Course_Fee_AED]]-Table1[[#This Row],[pending Revenue]]</f>
        <v>2471</v>
      </c>
    </row>
    <row r="416" spans="1:18" x14ac:dyDescent="0.25">
      <c r="A416" t="s">
        <v>493</v>
      </c>
      <c r="B416" s="2">
        <v>45481</v>
      </c>
      <c r="C416" t="s">
        <v>92</v>
      </c>
      <c r="D416" t="s">
        <v>93</v>
      </c>
      <c r="E416" t="s">
        <v>17</v>
      </c>
      <c r="F416" s="5">
        <v>6</v>
      </c>
      <c r="G416" s="5">
        <v>1</v>
      </c>
      <c r="H416" s="5">
        <v>7038</v>
      </c>
      <c r="I416" s="5">
        <v>2</v>
      </c>
      <c r="J416" s="5">
        <v>4692</v>
      </c>
      <c r="K416" t="s">
        <v>18</v>
      </c>
      <c r="L416" t="s">
        <v>40</v>
      </c>
      <c r="M416" t="s">
        <v>27</v>
      </c>
      <c r="N416" t="s">
        <v>154</v>
      </c>
      <c r="O416" t="s">
        <v>49</v>
      </c>
      <c r="P416" t="s">
        <v>18</v>
      </c>
      <c r="Q416">
        <f>Table1[[#This Row],[Course_Fee_AED]]-Table1[[#This Row],[Amount_Paid_AED]]</f>
        <v>2346</v>
      </c>
      <c r="R416">
        <f>Table1[[#This Row],[Course_Fee_AED]]-Table1[[#This Row],[pending Revenue]]</f>
        <v>4692</v>
      </c>
    </row>
    <row r="417" spans="1:18" x14ac:dyDescent="0.25">
      <c r="A417" t="s">
        <v>494</v>
      </c>
      <c r="B417" s="2">
        <v>45342</v>
      </c>
      <c r="C417" t="s">
        <v>51</v>
      </c>
      <c r="D417" t="s">
        <v>52</v>
      </c>
      <c r="E417" t="s">
        <v>26</v>
      </c>
      <c r="F417" s="5">
        <v>3</v>
      </c>
      <c r="G417" s="5">
        <v>1</v>
      </c>
      <c r="H417" s="5">
        <v>4307</v>
      </c>
      <c r="I417" s="5">
        <v>3</v>
      </c>
      <c r="J417" s="5">
        <v>4305</v>
      </c>
      <c r="K417" t="s">
        <v>18</v>
      </c>
      <c r="L417" t="s">
        <v>57</v>
      </c>
      <c r="M417" t="s">
        <v>60</v>
      </c>
      <c r="N417" t="s">
        <v>28</v>
      </c>
      <c r="O417" t="s">
        <v>29</v>
      </c>
      <c r="P417" t="s">
        <v>36</v>
      </c>
      <c r="Q417">
        <f>Table1[[#This Row],[Course_Fee_AED]]-Table1[[#This Row],[Amount_Paid_AED]]</f>
        <v>2</v>
      </c>
      <c r="R417">
        <f>Table1[[#This Row],[Course_Fee_AED]]-Table1[[#This Row],[pending Revenue]]</f>
        <v>4305</v>
      </c>
    </row>
    <row r="418" spans="1:18" x14ac:dyDescent="0.25">
      <c r="A418" t="s">
        <v>495</v>
      </c>
      <c r="B418" s="2">
        <v>45587</v>
      </c>
      <c r="C418" t="s">
        <v>51</v>
      </c>
      <c r="D418" t="s">
        <v>52</v>
      </c>
      <c r="E418" t="s">
        <v>17</v>
      </c>
      <c r="F418" s="5">
        <v>6</v>
      </c>
      <c r="G418" s="5">
        <v>1</v>
      </c>
      <c r="H418" s="5">
        <v>4184</v>
      </c>
      <c r="I418" s="5">
        <v>3</v>
      </c>
      <c r="J418" s="5">
        <v>4182</v>
      </c>
      <c r="K418" t="s">
        <v>18</v>
      </c>
      <c r="L418" t="s">
        <v>19</v>
      </c>
      <c r="M418" t="s">
        <v>47</v>
      </c>
      <c r="N418" t="s">
        <v>90</v>
      </c>
      <c r="O418" t="s">
        <v>64</v>
      </c>
      <c r="P418" t="s">
        <v>36</v>
      </c>
      <c r="Q418">
        <f>Table1[[#This Row],[Course_Fee_AED]]-Table1[[#This Row],[Amount_Paid_AED]]</f>
        <v>2</v>
      </c>
      <c r="R418">
        <f>Table1[[#This Row],[Course_Fee_AED]]-Table1[[#This Row],[pending Revenue]]</f>
        <v>4182</v>
      </c>
    </row>
    <row r="419" spans="1:18" x14ac:dyDescent="0.25">
      <c r="A419" t="s">
        <v>496</v>
      </c>
      <c r="B419" s="2">
        <v>45648</v>
      </c>
      <c r="C419" t="s">
        <v>113</v>
      </c>
      <c r="D419" t="s">
        <v>93</v>
      </c>
      <c r="E419" t="s">
        <v>17</v>
      </c>
      <c r="F419" s="5">
        <v>6</v>
      </c>
      <c r="G419" s="5">
        <v>1</v>
      </c>
      <c r="H419" s="5">
        <v>3066</v>
      </c>
      <c r="I419" s="5">
        <v>2</v>
      </c>
      <c r="J419" s="5">
        <v>2044</v>
      </c>
      <c r="K419" t="s">
        <v>18</v>
      </c>
      <c r="L419" t="s">
        <v>57</v>
      </c>
      <c r="M419" t="s">
        <v>20</v>
      </c>
      <c r="N419" t="s">
        <v>48</v>
      </c>
      <c r="O419" t="s">
        <v>68</v>
      </c>
      <c r="P419" t="s">
        <v>36</v>
      </c>
      <c r="Q419">
        <f>Table1[[#This Row],[Course_Fee_AED]]-Table1[[#This Row],[Amount_Paid_AED]]</f>
        <v>1022</v>
      </c>
      <c r="R419">
        <f>Table1[[#This Row],[Course_Fee_AED]]-Table1[[#This Row],[pending Revenue]]</f>
        <v>2044</v>
      </c>
    </row>
    <row r="420" spans="1:18" x14ac:dyDescent="0.25">
      <c r="A420" t="s">
        <v>497</v>
      </c>
      <c r="B420" s="2">
        <v>45609</v>
      </c>
      <c r="C420" t="s">
        <v>31</v>
      </c>
      <c r="D420" t="s">
        <v>32</v>
      </c>
      <c r="E420" t="s">
        <v>26</v>
      </c>
      <c r="F420" s="5">
        <v>3</v>
      </c>
      <c r="G420" s="5">
        <v>1</v>
      </c>
      <c r="H420" s="5">
        <v>7246</v>
      </c>
      <c r="I420" s="5">
        <v>1</v>
      </c>
      <c r="J420" s="5">
        <v>2415</v>
      </c>
      <c r="K420" t="s">
        <v>18</v>
      </c>
      <c r="L420" t="s">
        <v>19</v>
      </c>
      <c r="M420" t="s">
        <v>63</v>
      </c>
      <c r="N420" t="s">
        <v>61</v>
      </c>
      <c r="O420" t="s">
        <v>35</v>
      </c>
      <c r="P420" t="s">
        <v>18</v>
      </c>
      <c r="Q420">
        <f>Table1[[#This Row],[Course_Fee_AED]]-Table1[[#This Row],[Amount_Paid_AED]]</f>
        <v>4831</v>
      </c>
      <c r="R420">
        <f>Table1[[#This Row],[Course_Fee_AED]]-Table1[[#This Row],[pending Revenue]]</f>
        <v>2415</v>
      </c>
    </row>
    <row r="421" spans="1:18" x14ac:dyDescent="0.25">
      <c r="A421" t="s">
        <v>498</v>
      </c>
      <c r="B421" s="2">
        <v>45605</v>
      </c>
      <c r="C421" t="s">
        <v>100</v>
      </c>
      <c r="D421" t="s">
        <v>101</v>
      </c>
      <c r="E421" t="s">
        <v>17</v>
      </c>
      <c r="F421" s="5">
        <v>6</v>
      </c>
      <c r="G421" s="5">
        <v>1</v>
      </c>
      <c r="H421" s="5">
        <v>5212</v>
      </c>
      <c r="I421" s="5">
        <v>1</v>
      </c>
      <c r="J421" s="5">
        <v>1737</v>
      </c>
      <c r="K421" t="s">
        <v>18</v>
      </c>
      <c r="L421" t="s">
        <v>40</v>
      </c>
      <c r="M421" t="s">
        <v>63</v>
      </c>
      <c r="N421" t="s">
        <v>95</v>
      </c>
      <c r="O421" t="s">
        <v>58</v>
      </c>
      <c r="P421" t="s">
        <v>36</v>
      </c>
      <c r="Q421">
        <f>Table1[[#This Row],[Course_Fee_AED]]-Table1[[#This Row],[Amount_Paid_AED]]</f>
        <v>3475</v>
      </c>
      <c r="R421">
        <f>Table1[[#This Row],[Course_Fee_AED]]-Table1[[#This Row],[pending Revenue]]</f>
        <v>1737</v>
      </c>
    </row>
    <row r="422" spans="1:18" x14ac:dyDescent="0.25">
      <c r="A422" t="s">
        <v>499</v>
      </c>
      <c r="B422" s="2">
        <v>45560</v>
      </c>
      <c r="C422" t="s">
        <v>51</v>
      </c>
      <c r="D422" t="s">
        <v>52</v>
      </c>
      <c r="E422" t="s">
        <v>26</v>
      </c>
      <c r="F422" s="5">
        <v>3</v>
      </c>
      <c r="G422" s="5">
        <v>1</v>
      </c>
      <c r="H422" s="5">
        <v>5300</v>
      </c>
      <c r="I422" s="5">
        <v>2</v>
      </c>
      <c r="J422" s="5">
        <v>3532</v>
      </c>
      <c r="K422" t="s">
        <v>18</v>
      </c>
      <c r="L422" t="s">
        <v>40</v>
      </c>
      <c r="M422" t="s">
        <v>41</v>
      </c>
      <c r="N422" t="s">
        <v>90</v>
      </c>
      <c r="O422" t="s">
        <v>22</v>
      </c>
      <c r="P422" t="s">
        <v>18</v>
      </c>
      <c r="Q422">
        <f>Table1[[#This Row],[Course_Fee_AED]]-Table1[[#This Row],[Amount_Paid_AED]]</f>
        <v>1768</v>
      </c>
      <c r="R422">
        <f>Table1[[#This Row],[Course_Fee_AED]]-Table1[[#This Row],[pending Revenue]]</f>
        <v>3532</v>
      </c>
    </row>
    <row r="423" spans="1:18" x14ac:dyDescent="0.25">
      <c r="A423" t="s">
        <v>500</v>
      </c>
      <c r="B423" s="2">
        <v>45600</v>
      </c>
      <c r="C423" t="s">
        <v>31</v>
      </c>
      <c r="D423" t="s">
        <v>32</v>
      </c>
      <c r="E423" t="s">
        <v>26</v>
      </c>
      <c r="F423" s="5">
        <v>3</v>
      </c>
      <c r="G423" s="5">
        <v>1</v>
      </c>
      <c r="H423" s="5">
        <v>5757</v>
      </c>
      <c r="I423" s="5">
        <v>3</v>
      </c>
      <c r="J423" s="5">
        <v>5757</v>
      </c>
      <c r="K423" t="s">
        <v>33</v>
      </c>
      <c r="L423" t="s">
        <v>19</v>
      </c>
      <c r="M423" t="s">
        <v>27</v>
      </c>
      <c r="N423" t="s">
        <v>34</v>
      </c>
      <c r="O423" t="s">
        <v>64</v>
      </c>
      <c r="P423" t="s">
        <v>36</v>
      </c>
      <c r="Q423">
        <f>Table1[[#This Row],[Course_Fee_AED]]-Table1[[#This Row],[Amount_Paid_AED]]</f>
        <v>0</v>
      </c>
      <c r="R423">
        <f>Table1[[#This Row],[Course_Fee_AED]]-Table1[[#This Row],[pending Revenue]]</f>
        <v>5757</v>
      </c>
    </row>
    <row r="424" spans="1:18" x14ac:dyDescent="0.25">
      <c r="A424" t="s">
        <v>501</v>
      </c>
      <c r="B424" s="2">
        <v>45571</v>
      </c>
      <c r="C424" t="s">
        <v>24</v>
      </c>
      <c r="D424" t="s">
        <v>25</v>
      </c>
      <c r="E424" t="s">
        <v>26</v>
      </c>
      <c r="F424" s="5">
        <v>3</v>
      </c>
      <c r="G424" s="5">
        <v>1</v>
      </c>
      <c r="H424" s="5">
        <v>5238</v>
      </c>
      <c r="I424" s="5">
        <v>3</v>
      </c>
      <c r="J424" s="5">
        <v>5238</v>
      </c>
      <c r="K424" t="s">
        <v>33</v>
      </c>
      <c r="L424" t="s">
        <v>40</v>
      </c>
      <c r="M424" t="s">
        <v>27</v>
      </c>
      <c r="N424" t="s">
        <v>70</v>
      </c>
      <c r="O424" t="s">
        <v>58</v>
      </c>
      <c r="P424" t="s">
        <v>18</v>
      </c>
      <c r="Q424">
        <f>Table1[[#This Row],[Course_Fee_AED]]-Table1[[#This Row],[Amount_Paid_AED]]</f>
        <v>0</v>
      </c>
      <c r="R424">
        <f>Table1[[#This Row],[Course_Fee_AED]]-Table1[[#This Row],[pending Revenue]]</f>
        <v>5238</v>
      </c>
    </row>
    <row r="425" spans="1:18" x14ac:dyDescent="0.25">
      <c r="A425" t="s">
        <v>502</v>
      </c>
      <c r="B425" s="2">
        <v>45637</v>
      </c>
      <c r="C425" t="s">
        <v>15</v>
      </c>
      <c r="D425" t="s">
        <v>16</v>
      </c>
      <c r="E425" t="s">
        <v>17</v>
      </c>
      <c r="F425" s="5">
        <v>6</v>
      </c>
      <c r="G425" s="5">
        <v>1</v>
      </c>
      <c r="H425" s="5">
        <v>7332</v>
      </c>
      <c r="I425" s="5">
        <v>2</v>
      </c>
      <c r="J425" s="5">
        <v>4888</v>
      </c>
      <c r="K425" t="s">
        <v>18</v>
      </c>
      <c r="L425" t="s">
        <v>19</v>
      </c>
      <c r="M425" t="s">
        <v>20</v>
      </c>
      <c r="N425" t="s">
        <v>21</v>
      </c>
      <c r="O425" t="s">
        <v>87</v>
      </c>
      <c r="P425" t="s">
        <v>36</v>
      </c>
      <c r="Q425">
        <f>Table1[[#This Row],[Course_Fee_AED]]-Table1[[#This Row],[Amount_Paid_AED]]</f>
        <v>2444</v>
      </c>
      <c r="R425">
        <f>Table1[[#This Row],[Course_Fee_AED]]-Table1[[#This Row],[pending Revenue]]</f>
        <v>4888</v>
      </c>
    </row>
    <row r="426" spans="1:18" x14ac:dyDescent="0.25">
      <c r="A426" t="s">
        <v>503</v>
      </c>
      <c r="B426" s="2">
        <v>45528</v>
      </c>
      <c r="C426" t="s">
        <v>31</v>
      </c>
      <c r="D426" t="s">
        <v>32</v>
      </c>
      <c r="E426" t="s">
        <v>17</v>
      </c>
      <c r="F426" s="5">
        <v>6</v>
      </c>
      <c r="G426" s="5">
        <v>1</v>
      </c>
      <c r="H426" s="5">
        <v>7011</v>
      </c>
      <c r="I426" s="5">
        <v>1</v>
      </c>
      <c r="J426" s="5">
        <v>2337</v>
      </c>
      <c r="K426" t="s">
        <v>18</v>
      </c>
      <c r="L426" t="s">
        <v>57</v>
      </c>
      <c r="M426" t="s">
        <v>41</v>
      </c>
      <c r="N426" t="s">
        <v>48</v>
      </c>
      <c r="O426" t="s">
        <v>43</v>
      </c>
      <c r="P426" t="s">
        <v>36</v>
      </c>
      <c r="Q426">
        <f>Table1[[#This Row],[Course_Fee_AED]]-Table1[[#This Row],[Amount_Paid_AED]]</f>
        <v>4674</v>
      </c>
      <c r="R426">
        <f>Table1[[#This Row],[Course_Fee_AED]]-Table1[[#This Row],[pending Revenue]]</f>
        <v>2337</v>
      </c>
    </row>
    <row r="427" spans="1:18" x14ac:dyDescent="0.25">
      <c r="A427" t="s">
        <v>504</v>
      </c>
      <c r="B427" s="2">
        <v>45524</v>
      </c>
      <c r="C427" t="s">
        <v>82</v>
      </c>
      <c r="D427" t="s">
        <v>83</v>
      </c>
      <c r="E427" t="s">
        <v>17</v>
      </c>
      <c r="F427" s="5">
        <v>6</v>
      </c>
      <c r="G427" s="5">
        <v>1</v>
      </c>
      <c r="H427" s="5">
        <v>10489</v>
      </c>
      <c r="I427" s="5">
        <v>2</v>
      </c>
      <c r="J427" s="5">
        <v>6992</v>
      </c>
      <c r="K427" t="s">
        <v>18</v>
      </c>
      <c r="L427" t="s">
        <v>40</v>
      </c>
      <c r="M427" t="s">
        <v>63</v>
      </c>
      <c r="N427" t="s">
        <v>90</v>
      </c>
      <c r="O427" t="s">
        <v>68</v>
      </c>
      <c r="P427" t="s">
        <v>18</v>
      </c>
      <c r="Q427">
        <f>Table1[[#This Row],[Course_Fee_AED]]-Table1[[#This Row],[Amount_Paid_AED]]</f>
        <v>3497</v>
      </c>
      <c r="R427">
        <f>Table1[[#This Row],[Course_Fee_AED]]-Table1[[#This Row],[pending Revenue]]</f>
        <v>6992</v>
      </c>
    </row>
    <row r="428" spans="1:18" x14ac:dyDescent="0.25">
      <c r="A428" t="s">
        <v>505</v>
      </c>
      <c r="B428" s="2">
        <v>45569</v>
      </c>
      <c r="C428" t="s">
        <v>15</v>
      </c>
      <c r="D428" t="s">
        <v>16</v>
      </c>
      <c r="E428" t="s">
        <v>17</v>
      </c>
      <c r="F428" s="5">
        <v>6</v>
      </c>
      <c r="G428" s="5">
        <v>1</v>
      </c>
      <c r="H428" s="5">
        <v>5792</v>
      </c>
      <c r="I428" s="5">
        <v>3</v>
      </c>
      <c r="J428" s="5">
        <v>5790</v>
      </c>
      <c r="K428" t="s">
        <v>18</v>
      </c>
      <c r="L428" t="s">
        <v>19</v>
      </c>
      <c r="M428" t="s">
        <v>27</v>
      </c>
      <c r="N428" t="s">
        <v>28</v>
      </c>
      <c r="O428" t="s">
        <v>35</v>
      </c>
      <c r="P428" t="s">
        <v>18</v>
      </c>
      <c r="Q428">
        <f>Table1[[#This Row],[Course_Fee_AED]]-Table1[[#This Row],[Amount_Paid_AED]]</f>
        <v>2</v>
      </c>
      <c r="R428">
        <f>Table1[[#This Row],[Course_Fee_AED]]-Table1[[#This Row],[pending Revenue]]</f>
        <v>5790</v>
      </c>
    </row>
    <row r="429" spans="1:18" x14ac:dyDescent="0.25">
      <c r="A429" t="s">
        <v>506</v>
      </c>
      <c r="B429" s="2">
        <v>45609</v>
      </c>
      <c r="C429" t="s">
        <v>38</v>
      </c>
      <c r="D429" t="s">
        <v>39</v>
      </c>
      <c r="E429" t="s">
        <v>26</v>
      </c>
      <c r="F429" s="5">
        <v>3</v>
      </c>
      <c r="G429" s="5">
        <v>1</v>
      </c>
      <c r="H429" s="5">
        <v>7474</v>
      </c>
      <c r="I429" s="5">
        <v>3</v>
      </c>
      <c r="J429" s="5">
        <v>7473</v>
      </c>
      <c r="K429" t="s">
        <v>18</v>
      </c>
      <c r="L429" t="s">
        <v>40</v>
      </c>
      <c r="M429" t="s">
        <v>47</v>
      </c>
      <c r="N429" t="s">
        <v>70</v>
      </c>
      <c r="O429" t="s">
        <v>64</v>
      </c>
      <c r="P429" t="s">
        <v>18</v>
      </c>
      <c r="Q429">
        <f>Table1[[#This Row],[Course_Fee_AED]]-Table1[[#This Row],[Amount_Paid_AED]]</f>
        <v>1</v>
      </c>
      <c r="R429">
        <f>Table1[[#This Row],[Course_Fee_AED]]-Table1[[#This Row],[pending Revenue]]</f>
        <v>7473</v>
      </c>
    </row>
    <row r="430" spans="1:18" x14ac:dyDescent="0.25">
      <c r="A430" t="s">
        <v>507</v>
      </c>
      <c r="B430" s="2">
        <v>45538</v>
      </c>
      <c r="C430" t="s">
        <v>75</v>
      </c>
      <c r="D430" t="s">
        <v>76</v>
      </c>
      <c r="E430" t="s">
        <v>17</v>
      </c>
      <c r="F430" s="5">
        <v>6</v>
      </c>
      <c r="G430" s="5">
        <v>1</v>
      </c>
      <c r="H430" s="5">
        <v>14063</v>
      </c>
      <c r="I430" s="5">
        <v>3</v>
      </c>
      <c r="J430" s="5">
        <v>14061</v>
      </c>
      <c r="K430" t="s">
        <v>18</v>
      </c>
      <c r="L430" t="s">
        <v>57</v>
      </c>
      <c r="M430" t="s">
        <v>47</v>
      </c>
      <c r="N430" t="s">
        <v>90</v>
      </c>
      <c r="O430" t="s">
        <v>64</v>
      </c>
      <c r="P430" t="s">
        <v>18</v>
      </c>
      <c r="Q430">
        <f>Table1[[#This Row],[Course_Fee_AED]]-Table1[[#This Row],[Amount_Paid_AED]]</f>
        <v>2</v>
      </c>
      <c r="R430">
        <f>Table1[[#This Row],[Course_Fee_AED]]-Table1[[#This Row],[pending Revenue]]</f>
        <v>14061</v>
      </c>
    </row>
    <row r="431" spans="1:18" x14ac:dyDescent="0.25">
      <c r="A431" t="s">
        <v>508</v>
      </c>
      <c r="B431" s="2">
        <v>45314</v>
      </c>
      <c r="C431" t="s">
        <v>113</v>
      </c>
      <c r="D431" t="s">
        <v>93</v>
      </c>
      <c r="E431" t="s">
        <v>17</v>
      </c>
      <c r="F431" s="5">
        <v>6</v>
      </c>
      <c r="G431" s="5">
        <v>1</v>
      </c>
      <c r="H431" s="5">
        <v>4887</v>
      </c>
      <c r="I431" s="5">
        <v>2</v>
      </c>
      <c r="J431" s="5">
        <v>3258</v>
      </c>
      <c r="K431" t="s">
        <v>18</v>
      </c>
      <c r="L431" t="s">
        <v>40</v>
      </c>
      <c r="M431" t="s">
        <v>27</v>
      </c>
      <c r="N431" t="s">
        <v>116</v>
      </c>
      <c r="O431" t="s">
        <v>68</v>
      </c>
      <c r="P431" t="s">
        <v>36</v>
      </c>
      <c r="Q431">
        <f>Table1[[#This Row],[Course_Fee_AED]]-Table1[[#This Row],[Amount_Paid_AED]]</f>
        <v>1629</v>
      </c>
      <c r="R431">
        <f>Table1[[#This Row],[Course_Fee_AED]]-Table1[[#This Row],[pending Revenue]]</f>
        <v>3258</v>
      </c>
    </row>
    <row r="432" spans="1:18" x14ac:dyDescent="0.25">
      <c r="A432" t="s">
        <v>509</v>
      </c>
      <c r="B432" s="2">
        <v>45416</v>
      </c>
      <c r="C432" t="s">
        <v>15</v>
      </c>
      <c r="D432" t="s">
        <v>16</v>
      </c>
      <c r="E432" t="s">
        <v>26</v>
      </c>
      <c r="F432" s="5">
        <v>3</v>
      </c>
      <c r="G432" s="5">
        <v>1</v>
      </c>
      <c r="H432" s="5">
        <v>6259</v>
      </c>
      <c r="I432" s="5">
        <v>1</v>
      </c>
      <c r="J432" s="5">
        <v>2086</v>
      </c>
      <c r="K432" t="s">
        <v>18</v>
      </c>
      <c r="L432" t="s">
        <v>19</v>
      </c>
      <c r="M432" t="s">
        <v>47</v>
      </c>
      <c r="N432" t="s">
        <v>95</v>
      </c>
      <c r="O432" t="s">
        <v>71</v>
      </c>
      <c r="P432" t="s">
        <v>18</v>
      </c>
      <c r="Q432">
        <f>Table1[[#This Row],[Course_Fee_AED]]-Table1[[#This Row],[Amount_Paid_AED]]</f>
        <v>4173</v>
      </c>
      <c r="R432">
        <f>Table1[[#This Row],[Course_Fee_AED]]-Table1[[#This Row],[pending Revenue]]</f>
        <v>2086</v>
      </c>
    </row>
    <row r="433" spans="1:18" x14ac:dyDescent="0.25">
      <c r="A433" t="s">
        <v>510</v>
      </c>
      <c r="B433" s="2">
        <v>45354</v>
      </c>
      <c r="C433" t="s">
        <v>75</v>
      </c>
      <c r="D433" t="s">
        <v>76</v>
      </c>
      <c r="E433" t="s">
        <v>26</v>
      </c>
      <c r="F433" s="5">
        <v>3</v>
      </c>
      <c r="G433" s="5">
        <v>1</v>
      </c>
      <c r="H433" s="5">
        <v>7234</v>
      </c>
      <c r="I433" s="5">
        <v>1</v>
      </c>
      <c r="J433" s="5">
        <v>2411</v>
      </c>
      <c r="K433" t="s">
        <v>18</v>
      </c>
      <c r="L433" t="s">
        <v>19</v>
      </c>
      <c r="M433" t="s">
        <v>47</v>
      </c>
      <c r="N433" t="s">
        <v>21</v>
      </c>
      <c r="O433" t="s">
        <v>49</v>
      </c>
      <c r="P433" t="s">
        <v>18</v>
      </c>
      <c r="Q433">
        <f>Table1[[#This Row],[Course_Fee_AED]]-Table1[[#This Row],[Amount_Paid_AED]]</f>
        <v>4823</v>
      </c>
      <c r="R433">
        <f>Table1[[#This Row],[Course_Fee_AED]]-Table1[[#This Row],[pending Revenue]]</f>
        <v>2411</v>
      </c>
    </row>
    <row r="434" spans="1:18" x14ac:dyDescent="0.25">
      <c r="A434" t="s">
        <v>511</v>
      </c>
      <c r="B434" s="2">
        <v>45433</v>
      </c>
      <c r="C434" t="s">
        <v>15</v>
      </c>
      <c r="D434" t="s">
        <v>16</v>
      </c>
      <c r="E434" t="s">
        <v>26</v>
      </c>
      <c r="F434" s="5">
        <v>3</v>
      </c>
      <c r="G434" s="5">
        <v>1</v>
      </c>
      <c r="H434" s="5">
        <v>4501</v>
      </c>
      <c r="I434" s="5">
        <v>1</v>
      </c>
      <c r="J434" s="5">
        <v>1500</v>
      </c>
      <c r="K434" t="s">
        <v>18</v>
      </c>
      <c r="L434" t="s">
        <v>19</v>
      </c>
      <c r="M434" t="s">
        <v>27</v>
      </c>
      <c r="N434" t="s">
        <v>73</v>
      </c>
      <c r="O434" t="s">
        <v>35</v>
      </c>
      <c r="P434" t="s">
        <v>18</v>
      </c>
      <c r="Q434">
        <f>Table1[[#This Row],[Course_Fee_AED]]-Table1[[#This Row],[Amount_Paid_AED]]</f>
        <v>3001</v>
      </c>
      <c r="R434">
        <f>Table1[[#This Row],[Course_Fee_AED]]-Table1[[#This Row],[pending Revenue]]</f>
        <v>1500</v>
      </c>
    </row>
    <row r="435" spans="1:18" x14ac:dyDescent="0.25">
      <c r="A435" t="s">
        <v>512</v>
      </c>
      <c r="B435" s="2">
        <v>45431</v>
      </c>
      <c r="C435" t="s">
        <v>55</v>
      </c>
      <c r="D435" t="s">
        <v>56</v>
      </c>
      <c r="E435" t="s">
        <v>26</v>
      </c>
      <c r="F435" s="5">
        <v>3</v>
      </c>
      <c r="G435" s="5">
        <v>1</v>
      </c>
      <c r="H435" s="5">
        <v>8897</v>
      </c>
      <c r="I435" s="5">
        <v>2</v>
      </c>
      <c r="J435" s="5">
        <v>5930</v>
      </c>
      <c r="K435" t="s">
        <v>18</v>
      </c>
      <c r="L435" t="s">
        <v>40</v>
      </c>
      <c r="M435" t="s">
        <v>60</v>
      </c>
      <c r="N435" t="s">
        <v>21</v>
      </c>
      <c r="O435" t="s">
        <v>58</v>
      </c>
      <c r="P435" t="s">
        <v>18</v>
      </c>
      <c r="Q435">
        <f>Table1[[#This Row],[Course_Fee_AED]]-Table1[[#This Row],[Amount_Paid_AED]]</f>
        <v>2967</v>
      </c>
      <c r="R435">
        <f>Table1[[#This Row],[Course_Fee_AED]]-Table1[[#This Row],[pending Revenue]]</f>
        <v>5930</v>
      </c>
    </row>
    <row r="436" spans="1:18" x14ac:dyDescent="0.25">
      <c r="A436" t="s">
        <v>513</v>
      </c>
      <c r="B436" s="2">
        <v>45517</v>
      </c>
      <c r="C436" t="s">
        <v>55</v>
      </c>
      <c r="D436" t="s">
        <v>56</v>
      </c>
      <c r="E436" t="s">
        <v>26</v>
      </c>
      <c r="F436" s="5">
        <v>3</v>
      </c>
      <c r="G436" s="5">
        <v>1</v>
      </c>
      <c r="H436" s="5">
        <v>10820</v>
      </c>
      <c r="I436" s="5">
        <v>3</v>
      </c>
      <c r="J436" s="5">
        <v>10818</v>
      </c>
      <c r="K436" t="s">
        <v>18</v>
      </c>
      <c r="L436" t="s">
        <v>19</v>
      </c>
      <c r="M436" t="s">
        <v>20</v>
      </c>
      <c r="N436" t="s">
        <v>86</v>
      </c>
      <c r="O436" t="s">
        <v>29</v>
      </c>
      <c r="P436" t="s">
        <v>18</v>
      </c>
      <c r="Q436">
        <f>Table1[[#This Row],[Course_Fee_AED]]-Table1[[#This Row],[Amount_Paid_AED]]</f>
        <v>2</v>
      </c>
      <c r="R436">
        <f>Table1[[#This Row],[Course_Fee_AED]]-Table1[[#This Row],[pending Revenue]]</f>
        <v>10818</v>
      </c>
    </row>
    <row r="437" spans="1:18" x14ac:dyDescent="0.25">
      <c r="A437" t="s">
        <v>514</v>
      </c>
      <c r="B437" s="2">
        <v>45546</v>
      </c>
      <c r="C437" t="s">
        <v>15</v>
      </c>
      <c r="D437" t="s">
        <v>16</v>
      </c>
      <c r="E437" t="s">
        <v>26</v>
      </c>
      <c r="F437" s="5">
        <v>3</v>
      </c>
      <c r="G437" s="5">
        <v>1</v>
      </c>
      <c r="H437" s="5">
        <v>5188</v>
      </c>
      <c r="I437" s="5">
        <v>2</v>
      </c>
      <c r="J437" s="5">
        <v>3458</v>
      </c>
      <c r="K437" t="s">
        <v>18</v>
      </c>
      <c r="L437" t="s">
        <v>40</v>
      </c>
      <c r="M437" t="s">
        <v>20</v>
      </c>
      <c r="N437" t="s">
        <v>79</v>
      </c>
      <c r="O437" t="s">
        <v>58</v>
      </c>
      <c r="P437" t="s">
        <v>36</v>
      </c>
      <c r="Q437">
        <f>Table1[[#This Row],[Course_Fee_AED]]-Table1[[#This Row],[Amount_Paid_AED]]</f>
        <v>1730</v>
      </c>
      <c r="R437">
        <f>Table1[[#This Row],[Course_Fee_AED]]-Table1[[#This Row],[pending Revenue]]</f>
        <v>3458</v>
      </c>
    </row>
    <row r="438" spans="1:18" x14ac:dyDescent="0.25">
      <c r="A438" t="s">
        <v>515</v>
      </c>
      <c r="B438" s="2">
        <v>45362</v>
      </c>
      <c r="C438" t="s">
        <v>66</v>
      </c>
      <c r="D438" t="s">
        <v>56</v>
      </c>
      <c r="E438" t="s">
        <v>17</v>
      </c>
      <c r="F438" s="5">
        <v>6</v>
      </c>
      <c r="G438" s="5">
        <v>1</v>
      </c>
      <c r="H438" s="5">
        <v>11522</v>
      </c>
      <c r="I438" s="5">
        <v>2</v>
      </c>
      <c r="J438" s="5">
        <v>7680</v>
      </c>
      <c r="K438" t="s">
        <v>18</v>
      </c>
      <c r="L438" t="s">
        <v>57</v>
      </c>
      <c r="M438" t="s">
        <v>60</v>
      </c>
      <c r="N438" t="s">
        <v>34</v>
      </c>
      <c r="O438" t="s">
        <v>58</v>
      </c>
      <c r="P438" t="s">
        <v>36</v>
      </c>
      <c r="Q438">
        <f>Table1[[#This Row],[Course_Fee_AED]]-Table1[[#This Row],[Amount_Paid_AED]]</f>
        <v>3842</v>
      </c>
      <c r="R438">
        <f>Table1[[#This Row],[Course_Fee_AED]]-Table1[[#This Row],[pending Revenue]]</f>
        <v>7680</v>
      </c>
    </row>
    <row r="439" spans="1:18" x14ac:dyDescent="0.25">
      <c r="A439" t="s">
        <v>516</v>
      </c>
      <c r="B439" s="2">
        <v>45541</v>
      </c>
      <c r="C439" t="s">
        <v>15</v>
      </c>
      <c r="D439" t="s">
        <v>16</v>
      </c>
      <c r="E439" t="s">
        <v>26</v>
      </c>
      <c r="F439" s="5">
        <v>3</v>
      </c>
      <c r="G439" s="5">
        <v>1</v>
      </c>
      <c r="H439" s="5">
        <v>5572</v>
      </c>
      <c r="I439" s="5">
        <v>3</v>
      </c>
      <c r="J439" s="5">
        <v>5571</v>
      </c>
      <c r="K439" t="s">
        <v>18</v>
      </c>
      <c r="L439" t="s">
        <v>57</v>
      </c>
      <c r="M439" t="s">
        <v>60</v>
      </c>
      <c r="N439" t="s">
        <v>21</v>
      </c>
      <c r="O439" t="s">
        <v>68</v>
      </c>
      <c r="P439" t="s">
        <v>18</v>
      </c>
      <c r="Q439">
        <f>Table1[[#This Row],[Course_Fee_AED]]-Table1[[#This Row],[Amount_Paid_AED]]</f>
        <v>1</v>
      </c>
      <c r="R439">
        <f>Table1[[#This Row],[Course_Fee_AED]]-Table1[[#This Row],[pending Revenue]]</f>
        <v>5571</v>
      </c>
    </row>
    <row r="440" spans="1:18" x14ac:dyDescent="0.25">
      <c r="A440" t="s">
        <v>517</v>
      </c>
      <c r="B440" s="2">
        <v>45494</v>
      </c>
      <c r="C440" t="s">
        <v>31</v>
      </c>
      <c r="D440" t="s">
        <v>32</v>
      </c>
      <c r="E440" t="s">
        <v>26</v>
      </c>
      <c r="F440" s="5">
        <v>3</v>
      </c>
      <c r="G440" s="5">
        <v>1</v>
      </c>
      <c r="H440" s="5">
        <v>7343</v>
      </c>
      <c r="I440" s="5">
        <v>3</v>
      </c>
      <c r="J440" s="5">
        <v>7341</v>
      </c>
      <c r="K440" t="s">
        <v>18</v>
      </c>
      <c r="L440" t="s">
        <v>57</v>
      </c>
      <c r="M440" t="s">
        <v>41</v>
      </c>
      <c r="N440" t="s">
        <v>53</v>
      </c>
      <c r="O440" t="s">
        <v>35</v>
      </c>
      <c r="P440" t="s">
        <v>18</v>
      </c>
      <c r="Q440">
        <f>Table1[[#This Row],[Course_Fee_AED]]-Table1[[#This Row],[Amount_Paid_AED]]</f>
        <v>2</v>
      </c>
      <c r="R440">
        <f>Table1[[#This Row],[Course_Fee_AED]]-Table1[[#This Row],[pending Revenue]]</f>
        <v>7341</v>
      </c>
    </row>
    <row r="441" spans="1:18" x14ac:dyDescent="0.25">
      <c r="A441" t="s">
        <v>518</v>
      </c>
      <c r="B441" s="2">
        <v>45657</v>
      </c>
      <c r="C441" t="s">
        <v>24</v>
      </c>
      <c r="D441" t="s">
        <v>25</v>
      </c>
      <c r="E441" t="s">
        <v>26</v>
      </c>
      <c r="F441" s="5">
        <v>3</v>
      </c>
      <c r="G441" s="5">
        <v>1</v>
      </c>
      <c r="H441" s="5">
        <v>5169</v>
      </c>
      <c r="I441" s="5">
        <v>2</v>
      </c>
      <c r="J441" s="5">
        <v>3446</v>
      </c>
      <c r="K441" t="s">
        <v>18</v>
      </c>
      <c r="L441" t="s">
        <v>57</v>
      </c>
      <c r="M441" t="s">
        <v>20</v>
      </c>
      <c r="N441" t="s">
        <v>61</v>
      </c>
      <c r="O441" t="s">
        <v>58</v>
      </c>
      <c r="P441" t="s">
        <v>36</v>
      </c>
      <c r="Q441">
        <f>Table1[[#This Row],[Course_Fee_AED]]-Table1[[#This Row],[Amount_Paid_AED]]</f>
        <v>1723</v>
      </c>
      <c r="R441">
        <f>Table1[[#This Row],[Course_Fee_AED]]-Table1[[#This Row],[pending Revenue]]</f>
        <v>3446</v>
      </c>
    </row>
    <row r="442" spans="1:18" x14ac:dyDescent="0.25">
      <c r="A442" t="s">
        <v>519</v>
      </c>
      <c r="B442" s="2">
        <v>45582</v>
      </c>
      <c r="C442" t="s">
        <v>24</v>
      </c>
      <c r="D442" t="s">
        <v>25</v>
      </c>
      <c r="E442" t="s">
        <v>17</v>
      </c>
      <c r="F442" s="5">
        <v>6</v>
      </c>
      <c r="G442" s="5">
        <v>1</v>
      </c>
      <c r="H442" s="5">
        <v>6446</v>
      </c>
      <c r="I442" s="5">
        <v>2</v>
      </c>
      <c r="J442" s="5">
        <v>4296</v>
      </c>
      <c r="K442" t="s">
        <v>18</v>
      </c>
      <c r="L442" t="s">
        <v>57</v>
      </c>
      <c r="M442" t="s">
        <v>20</v>
      </c>
      <c r="N442" t="s">
        <v>21</v>
      </c>
      <c r="O442" t="s">
        <v>64</v>
      </c>
      <c r="P442" t="s">
        <v>36</v>
      </c>
      <c r="Q442">
        <f>Table1[[#This Row],[Course_Fee_AED]]-Table1[[#This Row],[Amount_Paid_AED]]</f>
        <v>2150</v>
      </c>
      <c r="R442">
        <f>Table1[[#This Row],[Course_Fee_AED]]-Table1[[#This Row],[pending Revenue]]</f>
        <v>4296</v>
      </c>
    </row>
    <row r="443" spans="1:18" x14ac:dyDescent="0.25">
      <c r="A443" t="s">
        <v>520</v>
      </c>
      <c r="B443" s="2">
        <v>45509</v>
      </c>
      <c r="C443" t="s">
        <v>24</v>
      </c>
      <c r="D443" t="s">
        <v>25</v>
      </c>
      <c r="E443" t="s">
        <v>26</v>
      </c>
      <c r="F443" s="5">
        <v>3</v>
      </c>
      <c r="G443" s="5">
        <v>1</v>
      </c>
      <c r="H443" s="5">
        <v>5021</v>
      </c>
      <c r="I443" s="5">
        <v>2</v>
      </c>
      <c r="J443" s="5">
        <v>3346</v>
      </c>
      <c r="K443" t="s">
        <v>18</v>
      </c>
      <c r="L443" t="s">
        <v>57</v>
      </c>
      <c r="M443" t="s">
        <v>20</v>
      </c>
      <c r="N443" t="s">
        <v>21</v>
      </c>
      <c r="O443" t="s">
        <v>87</v>
      </c>
      <c r="P443" t="s">
        <v>18</v>
      </c>
      <c r="Q443">
        <f>Table1[[#This Row],[Course_Fee_AED]]-Table1[[#This Row],[Amount_Paid_AED]]</f>
        <v>1675</v>
      </c>
      <c r="R443">
        <f>Table1[[#This Row],[Course_Fee_AED]]-Table1[[#This Row],[pending Revenue]]</f>
        <v>3346</v>
      </c>
    </row>
    <row r="444" spans="1:18" x14ac:dyDescent="0.25">
      <c r="A444" t="s">
        <v>521</v>
      </c>
      <c r="B444" s="2">
        <v>45500</v>
      </c>
      <c r="C444" t="s">
        <v>24</v>
      </c>
      <c r="D444" t="s">
        <v>25</v>
      </c>
      <c r="E444" t="s">
        <v>17</v>
      </c>
      <c r="F444" s="5">
        <v>6</v>
      </c>
      <c r="G444" s="5">
        <v>1</v>
      </c>
      <c r="H444" s="5">
        <v>5972</v>
      </c>
      <c r="I444" s="5">
        <v>2</v>
      </c>
      <c r="J444" s="5">
        <v>3980</v>
      </c>
      <c r="K444" t="s">
        <v>18</v>
      </c>
      <c r="L444" t="s">
        <v>57</v>
      </c>
      <c r="M444" t="s">
        <v>20</v>
      </c>
      <c r="N444" t="s">
        <v>86</v>
      </c>
      <c r="O444" t="s">
        <v>29</v>
      </c>
      <c r="P444" t="s">
        <v>36</v>
      </c>
      <c r="Q444">
        <f>Table1[[#This Row],[Course_Fee_AED]]-Table1[[#This Row],[Amount_Paid_AED]]</f>
        <v>1992</v>
      </c>
      <c r="R444">
        <f>Table1[[#This Row],[Course_Fee_AED]]-Table1[[#This Row],[pending Revenue]]</f>
        <v>3980</v>
      </c>
    </row>
    <row r="445" spans="1:18" x14ac:dyDescent="0.25">
      <c r="A445" t="s">
        <v>522</v>
      </c>
      <c r="B445" s="2">
        <v>45571</v>
      </c>
      <c r="C445" t="s">
        <v>24</v>
      </c>
      <c r="D445" t="s">
        <v>25</v>
      </c>
      <c r="E445" t="s">
        <v>17</v>
      </c>
      <c r="F445" s="5">
        <v>6</v>
      </c>
      <c r="G445" s="5">
        <v>1</v>
      </c>
      <c r="H445" s="5">
        <v>5936</v>
      </c>
      <c r="I445" s="5">
        <v>2</v>
      </c>
      <c r="J445" s="5">
        <v>3956</v>
      </c>
      <c r="K445" t="s">
        <v>18</v>
      </c>
      <c r="L445" t="s">
        <v>40</v>
      </c>
      <c r="M445" t="s">
        <v>41</v>
      </c>
      <c r="N445" t="s">
        <v>79</v>
      </c>
      <c r="O445" t="s">
        <v>43</v>
      </c>
      <c r="P445" t="s">
        <v>18</v>
      </c>
      <c r="Q445">
        <f>Table1[[#This Row],[Course_Fee_AED]]-Table1[[#This Row],[Amount_Paid_AED]]</f>
        <v>1980</v>
      </c>
      <c r="R445">
        <f>Table1[[#This Row],[Course_Fee_AED]]-Table1[[#This Row],[pending Revenue]]</f>
        <v>3956</v>
      </c>
    </row>
    <row r="446" spans="1:18" x14ac:dyDescent="0.25">
      <c r="A446" t="s">
        <v>523</v>
      </c>
      <c r="B446" s="2">
        <v>45507</v>
      </c>
      <c r="C446" t="s">
        <v>45</v>
      </c>
      <c r="D446" t="s">
        <v>46</v>
      </c>
      <c r="E446" t="s">
        <v>26</v>
      </c>
      <c r="F446" s="5">
        <v>3</v>
      </c>
      <c r="G446" s="5">
        <v>1</v>
      </c>
      <c r="H446" s="5">
        <v>4713</v>
      </c>
      <c r="I446" s="5">
        <v>2</v>
      </c>
      <c r="J446" s="5">
        <v>3142</v>
      </c>
      <c r="K446" t="s">
        <v>18</v>
      </c>
      <c r="L446" t="s">
        <v>19</v>
      </c>
      <c r="M446" t="s">
        <v>63</v>
      </c>
      <c r="N446" t="s">
        <v>21</v>
      </c>
      <c r="O446" t="s">
        <v>29</v>
      </c>
      <c r="P446" t="s">
        <v>36</v>
      </c>
      <c r="Q446">
        <f>Table1[[#This Row],[Course_Fee_AED]]-Table1[[#This Row],[Amount_Paid_AED]]</f>
        <v>1571</v>
      </c>
      <c r="R446">
        <f>Table1[[#This Row],[Course_Fee_AED]]-Table1[[#This Row],[pending Revenue]]</f>
        <v>3142</v>
      </c>
    </row>
    <row r="447" spans="1:18" x14ac:dyDescent="0.25">
      <c r="A447" t="s">
        <v>524</v>
      </c>
      <c r="B447" s="2">
        <v>45615</v>
      </c>
      <c r="C447" t="s">
        <v>24</v>
      </c>
      <c r="D447" t="s">
        <v>25</v>
      </c>
      <c r="E447" t="s">
        <v>17</v>
      </c>
      <c r="F447" s="5">
        <v>6</v>
      </c>
      <c r="G447" s="5">
        <v>1</v>
      </c>
      <c r="H447" s="5">
        <v>6088</v>
      </c>
      <c r="I447" s="5">
        <v>3</v>
      </c>
      <c r="J447" s="5">
        <v>6087</v>
      </c>
      <c r="K447" t="s">
        <v>18</v>
      </c>
      <c r="L447" t="s">
        <v>40</v>
      </c>
      <c r="M447" t="s">
        <v>60</v>
      </c>
      <c r="N447" t="s">
        <v>90</v>
      </c>
      <c r="O447" t="s">
        <v>43</v>
      </c>
      <c r="P447" t="s">
        <v>36</v>
      </c>
      <c r="Q447">
        <f>Table1[[#This Row],[Course_Fee_AED]]-Table1[[#This Row],[Amount_Paid_AED]]</f>
        <v>1</v>
      </c>
      <c r="R447">
        <f>Table1[[#This Row],[Course_Fee_AED]]-Table1[[#This Row],[pending Revenue]]</f>
        <v>6087</v>
      </c>
    </row>
    <row r="448" spans="1:18" x14ac:dyDescent="0.25">
      <c r="A448" t="s">
        <v>525</v>
      </c>
      <c r="B448" s="2">
        <v>45438</v>
      </c>
      <c r="C448" t="s">
        <v>31</v>
      </c>
      <c r="D448" t="s">
        <v>32</v>
      </c>
      <c r="E448" t="s">
        <v>26</v>
      </c>
      <c r="F448" s="5">
        <v>3</v>
      </c>
      <c r="G448" s="5">
        <v>1</v>
      </c>
      <c r="H448" s="5">
        <v>4869</v>
      </c>
      <c r="I448" s="5">
        <v>1</v>
      </c>
      <c r="J448" s="5">
        <v>1623</v>
      </c>
      <c r="K448" t="s">
        <v>18</v>
      </c>
      <c r="L448" t="s">
        <v>40</v>
      </c>
      <c r="M448" t="s">
        <v>41</v>
      </c>
      <c r="N448" t="s">
        <v>28</v>
      </c>
      <c r="O448" t="s">
        <v>87</v>
      </c>
      <c r="P448" t="s">
        <v>36</v>
      </c>
      <c r="Q448">
        <f>Table1[[#This Row],[Course_Fee_AED]]-Table1[[#This Row],[Amount_Paid_AED]]</f>
        <v>3246</v>
      </c>
      <c r="R448">
        <f>Table1[[#This Row],[Course_Fee_AED]]-Table1[[#This Row],[pending Revenue]]</f>
        <v>1623</v>
      </c>
    </row>
    <row r="449" spans="1:18" x14ac:dyDescent="0.25">
      <c r="A449" t="s">
        <v>526</v>
      </c>
      <c r="B449" s="2">
        <v>45654</v>
      </c>
      <c r="C449" t="s">
        <v>24</v>
      </c>
      <c r="D449" t="s">
        <v>25</v>
      </c>
      <c r="E449" t="s">
        <v>26</v>
      </c>
      <c r="F449" s="5">
        <v>3</v>
      </c>
      <c r="G449" s="5">
        <v>1</v>
      </c>
      <c r="H449" s="5">
        <v>6007</v>
      </c>
      <c r="I449" s="5">
        <v>1</v>
      </c>
      <c r="J449" s="5">
        <v>2002</v>
      </c>
      <c r="K449" t="s">
        <v>18</v>
      </c>
      <c r="L449" t="s">
        <v>57</v>
      </c>
      <c r="M449" t="s">
        <v>41</v>
      </c>
      <c r="N449" t="s">
        <v>90</v>
      </c>
      <c r="O449" t="s">
        <v>58</v>
      </c>
      <c r="P449" t="s">
        <v>36</v>
      </c>
      <c r="Q449">
        <f>Table1[[#This Row],[Course_Fee_AED]]-Table1[[#This Row],[Amount_Paid_AED]]</f>
        <v>4005</v>
      </c>
      <c r="R449">
        <f>Table1[[#This Row],[Course_Fee_AED]]-Table1[[#This Row],[pending Revenue]]</f>
        <v>2002</v>
      </c>
    </row>
    <row r="450" spans="1:18" x14ac:dyDescent="0.25">
      <c r="A450" t="s">
        <v>527</v>
      </c>
      <c r="B450" s="2">
        <v>45406</v>
      </c>
      <c r="C450" t="s">
        <v>31</v>
      </c>
      <c r="D450" t="s">
        <v>32</v>
      </c>
      <c r="E450" t="s">
        <v>26</v>
      </c>
      <c r="F450" s="5">
        <v>3</v>
      </c>
      <c r="G450" s="5">
        <v>1</v>
      </c>
      <c r="H450" s="5">
        <v>5411</v>
      </c>
      <c r="I450" s="5">
        <v>2</v>
      </c>
      <c r="J450" s="5">
        <v>3606</v>
      </c>
      <c r="K450" t="s">
        <v>18</v>
      </c>
      <c r="L450" t="s">
        <v>19</v>
      </c>
      <c r="M450" t="s">
        <v>41</v>
      </c>
      <c r="N450" t="s">
        <v>53</v>
      </c>
      <c r="O450" t="s">
        <v>35</v>
      </c>
      <c r="P450" t="s">
        <v>36</v>
      </c>
      <c r="Q450">
        <f>Table1[[#This Row],[Course_Fee_AED]]-Table1[[#This Row],[Amount_Paid_AED]]</f>
        <v>1805</v>
      </c>
      <c r="R450">
        <f>Table1[[#This Row],[Course_Fee_AED]]-Table1[[#This Row],[pending Revenue]]</f>
        <v>3606</v>
      </c>
    </row>
    <row r="451" spans="1:18" x14ac:dyDescent="0.25">
      <c r="A451" t="s">
        <v>528</v>
      </c>
      <c r="B451" s="2">
        <v>45456</v>
      </c>
      <c r="C451" t="s">
        <v>66</v>
      </c>
      <c r="D451" t="s">
        <v>56</v>
      </c>
      <c r="E451" t="s">
        <v>26</v>
      </c>
      <c r="F451" s="5">
        <v>3</v>
      </c>
      <c r="G451" s="5">
        <v>1</v>
      </c>
      <c r="H451" s="5">
        <v>9196</v>
      </c>
      <c r="I451" s="5">
        <v>3</v>
      </c>
      <c r="J451" s="5">
        <v>9195</v>
      </c>
      <c r="K451" t="s">
        <v>18</v>
      </c>
      <c r="L451" t="s">
        <v>19</v>
      </c>
      <c r="M451" t="s">
        <v>63</v>
      </c>
      <c r="N451" t="s">
        <v>42</v>
      </c>
      <c r="O451" t="s">
        <v>64</v>
      </c>
      <c r="P451" t="s">
        <v>18</v>
      </c>
      <c r="Q451">
        <f>Table1[[#This Row],[Course_Fee_AED]]-Table1[[#This Row],[Amount_Paid_AED]]</f>
        <v>1</v>
      </c>
      <c r="R451">
        <f>Table1[[#This Row],[Course_Fee_AED]]-Table1[[#This Row],[pending Revenue]]</f>
        <v>9195</v>
      </c>
    </row>
    <row r="452" spans="1:18" x14ac:dyDescent="0.25">
      <c r="A452" t="s">
        <v>529</v>
      </c>
      <c r="B452" s="2">
        <v>45591</v>
      </c>
      <c r="C452" t="s">
        <v>15</v>
      </c>
      <c r="D452" t="s">
        <v>16</v>
      </c>
      <c r="E452" t="s">
        <v>26</v>
      </c>
      <c r="F452" s="5">
        <v>3</v>
      </c>
      <c r="G452" s="5">
        <v>1</v>
      </c>
      <c r="H452" s="5">
        <v>7795</v>
      </c>
      <c r="I452" s="5">
        <v>1</v>
      </c>
      <c r="J452" s="5">
        <v>2598</v>
      </c>
      <c r="K452" t="s">
        <v>18</v>
      </c>
      <c r="L452" t="s">
        <v>19</v>
      </c>
      <c r="M452" t="s">
        <v>60</v>
      </c>
      <c r="N452" t="s">
        <v>90</v>
      </c>
      <c r="O452" t="s">
        <v>58</v>
      </c>
      <c r="P452" t="s">
        <v>18</v>
      </c>
      <c r="Q452">
        <f>Table1[[#This Row],[Course_Fee_AED]]-Table1[[#This Row],[Amount_Paid_AED]]</f>
        <v>5197</v>
      </c>
      <c r="R452">
        <f>Table1[[#This Row],[Course_Fee_AED]]-Table1[[#This Row],[pending Revenue]]</f>
        <v>2598</v>
      </c>
    </row>
    <row r="453" spans="1:18" x14ac:dyDescent="0.25">
      <c r="A453" t="s">
        <v>530</v>
      </c>
      <c r="B453" s="2">
        <v>45552</v>
      </c>
      <c r="C453" t="s">
        <v>100</v>
      </c>
      <c r="D453" t="s">
        <v>101</v>
      </c>
      <c r="E453" t="s">
        <v>17</v>
      </c>
      <c r="F453" s="5">
        <v>6</v>
      </c>
      <c r="G453" s="5">
        <v>1</v>
      </c>
      <c r="H453" s="5">
        <v>3797</v>
      </c>
      <c r="I453" s="5">
        <v>3</v>
      </c>
      <c r="J453" s="5">
        <v>3795</v>
      </c>
      <c r="K453" t="s">
        <v>18</v>
      </c>
      <c r="L453" t="s">
        <v>19</v>
      </c>
      <c r="M453" t="s">
        <v>27</v>
      </c>
      <c r="N453" t="s">
        <v>61</v>
      </c>
      <c r="O453" t="s">
        <v>68</v>
      </c>
      <c r="P453" t="s">
        <v>18</v>
      </c>
      <c r="Q453">
        <f>Table1[[#This Row],[Course_Fee_AED]]-Table1[[#This Row],[Amount_Paid_AED]]</f>
        <v>2</v>
      </c>
      <c r="R453">
        <f>Table1[[#This Row],[Course_Fee_AED]]-Table1[[#This Row],[pending Revenue]]</f>
        <v>3795</v>
      </c>
    </row>
    <row r="454" spans="1:18" x14ac:dyDescent="0.25">
      <c r="A454" t="s">
        <v>531</v>
      </c>
      <c r="B454" s="2">
        <v>45401</v>
      </c>
      <c r="C454" t="s">
        <v>24</v>
      </c>
      <c r="D454" t="s">
        <v>25</v>
      </c>
      <c r="E454" t="s">
        <v>26</v>
      </c>
      <c r="F454" s="5">
        <v>3</v>
      </c>
      <c r="G454" s="5">
        <v>1</v>
      </c>
      <c r="H454" s="5">
        <v>5760</v>
      </c>
      <c r="I454" s="5">
        <v>2</v>
      </c>
      <c r="J454" s="5">
        <v>3840</v>
      </c>
      <c r="K454" t="s">
        <v>18</v>
      </c>
      <c r="L454" t="s">
        <v>19</v>
      </c>
      <c r="M454" t="s">
        <v>20</v>
      </c>
      <c r="N454" t="s">
        <v>79</v>
      </c>
      <c r="O454" t="s">
        <v>29</v>
      </c>
      <c r="P454" t="s">
        <v>36</v>
      </c>
      <c r="Q454">
        <f>Table1[[#This Row],[Course_Fee_AED]]-Table1[[#This Row],[Amount_Paid_AED]]</f>
        <v>1920</v>
      </c>
      <c r="R454">
        <f>Table1[[#This Row],[Course_Fee_AED]]-Table1[[#This Row],[pending Revenue]]</f>
        <v>3840</v>
      </c>
    </row>
    <row r="455" spans="1:18" x14ac:dyDescent="0.25">
      <c r="A455" t="s">
        <v>532</v>
      </c>
      <c r="B455" s="2">
        <v>45331</v>
      </c>
      <c r="C455" t="s">
        <v>75</v>
      </c>
      <c r="D455" t="s">
        <v>76</v>
      </c>
      <c r="E455" t="s">
        <v>17</v>
      </c>
      <c r="F455" s="5">
        <v>6</v>
      </c>
      <c r="G455" s="5">
        <v>1</v>
      </c>
      <c r="H455" s="5">
        <v>14619</v>
      </c>
      <c r="I455" s="5">
        <v>2</v>
      </c>
      <c r="J455" s="5">
        <v>9746</v>
      </c>
      <c r="K455" t="s">
        <v>18</v>
      </c>
      <c r="L455" t="s">
        <v>40</v>
      </c>
      <c r="M455" t="s">
        <v>47</v>
      </c>
      <c r="N455" t="s">
        <v>28</v>
      </c>
      <c r="O455" t="s">
        <v>64</v>
      </c>
      <c r="P455" t="s">
        <v>18</v>
      </c>
      <c r="Q455">
        <f>Table1[[#This Row],[Course_Fee_AED]]-Table1[[#This Row],[Amount_Paid_AED]]</f>
        <v>4873</v>
      </c>
      <c r="R455">
        <f>Table1[[#This Row],[Course_Fee_AED]]-Table1[[#This Row],[pending Revenue]]</f>
        <v>9746</v>
      </c>
    </row>
    <row r="456" spans="1:18" x14ac:dyDescent="0.25">
      <c r="A456" t="s">
        <v>533</v>
      </c>
      <c r="B456" s="2">
        <v>45397</v>
      </c>
      <c r="C456" t="s">
        <v>55</v>
      </c>
      <c r="D456" t="s">
        <v>56</v>
      </c>
      <c r="E456" t="s">
        <v>26</v>
      </c>
      <c r="F456" s="5">
        <v>3</v>
      </c>
      <c r="G456" s="5">
        <v>1</v>
      </c>
      <c r="H456" s="5">
        <v>7484</v>
      </c>
      <c r="I456" s="5">
        <v>1</v>
      </c>
      <c r="J456" s="5">
        <v>2494</v>
      </c>
      <c r="K456" t="s">
        <v>18</v>
      </c>
      <c r="L456" t="s">
        <v>19</v>
      </c>
      <c r="M456" t="s">
        <v>27</v>
      </c>
      <c r="N456" t="s">
        <v>79</v>
      </c>
      <c r="O456" t="s">
        <v>22</v>
      </c>
      <c r="P456" t="s">
        <v>36</v>
      </c>
      <c r="Q456">
        <f>Table1[[#This Row],[Course_Fee_AED]]-Table1[[#This Row],[Amount_Paid_AED]]</f>
        <v>4990</v>
      </c>
      <c r="R456">
        <f>Table1[[#This Row],[Course_Fee_AED]]-Table1[[#This Row],[pending Revenue]]</f>
        <v>2494</v>
      </c>
    </row>
    <row r="457" spans="1:18" x14ac:dyDescent="0.25">
      <c r="A457" t="s">
        <v>534</v>
      </c>
      <c r="B457" s="2">
        <v>45361</v>
      </c>
      <c r="C457" t="s">
        <v>45</v>
      </c>
      <c r="D457" t="s">
        <v>46</v>
      </c>
      <c r="E457" t="s">
        <v>26</v>
      </c>
      <c r="F457" s="5">
        <v>3</v>
      </c>
      <c r="G457" s="5">
        <v>1</v>
      </c>
      <c r="H457" s="5">
        <v>6370</v>
      </c>
      <c r="I457" s="5">
        <v>2</v>
      </c>
      <c r="J457" s="5">
        <v>4246</v>
      </c>
      <c r="K457" t="s">
        <v>18</v>
      </c>
      <c r="L457" t="s">
        <v>19</v>
      </c>
      <c r="M457" t="s">
        <v>47</v>
      </c>
      <c r="N457" t="s">
        <v>28</v>
      </c>
      <c r="O457" t="s">
        <v>43</v>
      </c>
      <c r="P457" t="s">
        <v>36</v>
      </c>
      <c r="Q457">
        <f>Table1[[#This Row],[Course_Fee_AED]]-Table1[[#This Row],[Amount_Paid_AED]]</f>
        <v>2124</v>
      </c>
      <c r="R457">
        <f>Table1[[#This Row],[Course_Fee_AED]]-Table1[[#This Row],[pending Revenue]]</f>
        <v>4246</v>
      </c>
    </row>
    <row r="458" spans="1:18" x14ac:dyDescent="0.25">
      <c r="A458" t="s">
        <v>535</v>
      </c>
      <c r="B458" s="2">
        <v>45641</v>
      </c>
      <c r="C458" t="s">
        <v>45</v>
      </c>
      <c r="D458" t="s">
        <v>46</v>
      </c>
      <c r="E458" t="s">
        <v>26</v>
      </c>
      <c r="F458" s="5">
        <v>3</v>
      </c>
      <c r="G458" s="5">
        <v>1</v>
      </c>
      <c r="H458" s="5">
        <v>6651</v>
      </c>
      <c r="I458" s="5">
        <v>3</v>
      </c>
      <c r="J458" s="5">
        <v>6651</v>
      </c>
      <c r="K458" t="s">
        <v>33</v>
      </c>
      <c r="L458" t="s">
        <v>40</v>
      </c>
      <c r="M458" t="s">
        <v>41</v>
      </c>
      <c r="N458" t="s">
        <v>48</v>
      </c>
      <c r="O458" t="s">
        <v>58</v>
      </c>
      <c r="P458" t="s">
        <v>18</v>
      </c>
      <c r="Q458">
        <f>Table1[[#This Row],[Course_Fee_AED]]-Table1[[#This Row],[Amount_Paid_AED]]</f>
        <v>0</v>
      </c>
      <c r="R458">
        <f>Table1[[#This Row],[Course_Fee_AED]]-Table1[[#This Row],[pending Revenue]]</f>
        <v>6651</v>
      </c>
    </row>
    <row r="459" spans="1:18" x14ac:dyDescent="0.25">
      <c r="A459" t="s">
        <v>536</v>
      </c>
      <c r="B459" s="2">
        <v>45443</v>
      </c>
      <c r="C459" t="s">
        <v>92</v>
      </c>
      <c r="D459" t="s">
        <v>93</v>
      </c>
      <c r="E459" t="s">
        <v>26</v>
      </c>
      <c r="F459" s="5">
        <v>3</v>
      </c>
      <c r="G459" s="5">
        <v>1</v>
      </c>
      <c r="H459" s="5">
        <v>5526</v>
      </c>
      <c r="I459" s="5">
        <v>1</v>
      </c>
      <c r="J459" s="5">
        <v>1842</v>
      </c>
      <c r="K459" t="s">
        <v>18</v>
      </c>
      <c r="L459" t="s">
        <v>57</v>
      </c>
      <c r="M459" t="s">
        <v>20</v>
      </c>
      <c r="N459" t="s">
        <v>79</v>
      </c>
      <c r="O459" t="s">
        <v>43</v>
      </c>
      <c r="P459" t="s">
        <v>36</v>
      </c>
      <c r="Q459">
        <f>Table1[[#This Row],[Course_Fee_AED]]-Table1[[#This Row],[Amount_Paid_AED]]</f>
        <v>3684</v>
      </c>
      <c r="R459">
        <f>Table1[[#This Row],[Course_Fee_AED]]-Table1[[#This Row],[pending Revenue]]</f>
        <v>1842</v>
      </c>
    </row>
    <row r="460" spans="1:18" x14ac:dyDescent="0.25">
      <c r="A460" t="s">
        <v>537</v>
      </c>
      <c r="B460" s="2">
        <v>45584</v>
      </c>
      <c r="C460" t="s">
        <v>45</v>
      </c>
      <c r="D460" t="s">
        <v>46</v>
      </c>
      <c r="E460" t="s">
        <v>17</v>
      </c>
      <c r="F460" s="5">
        <v>6</v>
      </c>
      <c r="G460" s="5">
        <v>1</v>
      </c>
      <c r="H460" s="5">
        <v>6615</v>
      </c>
      <c r="I460" s="5">
        <v>1</v>
      </c>
      <c r="J460" s="5">
        <v>2205</v>
      </c>
      <c r="K460" t="s">
        <v>18</v>
      </c>
      <c r="L460" t="s">
        <v>19</v>
      </c>
      <c r="M460" t="s">
        <v>20</v>
      </c>
      <c r="N460" t="s">
        <v>21</v>
      </c>
      <c r="O460" t="s">
        <v>35</v>
      </c>
      <c r="P460" t="s">
        <v>36</v>
      </c>
      <c r="Q460">
        <f>Table1[[#This Row],[Course_Fee_AED]]-Table1[[#This Row],[Amount_Paid_AED]]</f>
        <v>4410</v>
      </c>
      <c r="R460">
        <f>Table1[[#This Row],[Course_Fee_AED]]-Table1[[#This Row],[pending Revenue]]</f>
        <v>2205</v>
      </c>
    </row>
    <row r="461" spans="1:18" x14ac:dyDescent="0.25">
      <c r="A461" t="s">
        <v>538</v>
      </c>
      <c r="B461" s="2">
        <v>45476</v>
      </c>
      <c r="C461" t="s">
        <v>113</v>
      </c>
      <c r="D461" t="s">
        <v>93</v>
      </c>
      <c r="E461" t="s">
        <v>26</v>
      </c>
      <c r="F461" s="5">
        <v>3</v>
      </c>
      <c r="G461" s="5">
        <v>1</v>
      </c>
      <c r="H461" s="5">
        <v>3246</v>
      </c>
      <c r="I461" s="5">
        <v>3</v>
      </c>
      <c r="J461" s="5">
        <v>3246</v>
      </c>
      <c r="K461" t="s">
        <v>33</v>
      </c>
      <c r="L461" t="s">
        <v>19</v>
      </c>
      <c r="M461" t="s">
        <v>27</v>
      </c>
      <c r="N461" t="s">
        <v>53</v>
      </c>
      <c r="O461" t="s">
        <v>64</v>
      </c>
      <c r="P461" t="s">
        <v>36</v>
      </c>
      <c r="Q461">
        <f>Table1[[#This Row],[Course_Fee_AED]]-Table1[[#This Row],[Amount_Paid_AED]]</f>
        <v>0</v>
      </c>
      <c r="R461">
        <f>Table1[[#This Row],[Course_Fee_AED]]-Table1[[#This Row],[pending Revenue]]</f>
        <v>3246</v>
      </c>
    </row>
    <row r="462" spans="1:18" x14ac:dyDescent="0.25">
      <c r="A462" t="s">
        <v>539</v>
      </c>
      <c r="B462" s="2">
        <v>45594</v>
      </c>
      <c r="C462" t="s">
        <v>66</v>
      </c>
      <c r="D462" t="s">
        <v>56</v>
      </c>
      <c r="E462" t="s">
        <v>26</v>
      </c>
      <c r="F462" s="5">
        <v>3</v>
      </c>
      <c r="G462" s="5">
        <v>1</v>
      </c>
      <c r="H462" s="5">
        <v>11991</v>
      </c>
      <c r="I462" s="5">
        <v>2</v>
      </c>
      <c r="J462" s="5">
        <v>7994</v>
      </c>
      <c r="K462" t="s">
        <v>18</v>
      </c>
      <c r="L462" t="s">
        <v>57</v>
      </c>
      <c r="M462" t="s">
        <v>41</v>
      </c>
      <c r="N462" t="s">
        <v>21</v>
      </c>
      <c r="O462" t="s">
        <v>35</v>
      </c>
      <c r="P462" t="s">
        <v>18</v>
      </c>
      <c r="Q462">
        <f>Table1[[#This Row],[Course_Fee_AED]]-Table1[[#This Row],[Amount_Paid_AED]]</f>
        <v>3997</v>
      </c>
      <c r="R462">
        <f>Table1[[#This Row],[Course_Fee_AED]]-Table1[[#This Row],[pending Revenue]]</f>
        <v>7994</v>
      </c>
    </row>
    <row r="463" spans="1:18" x14ac:dyDescent="0.25">
      <c r="A463" t="s">
        <v>540</v>
      </c>
      <c r="B463" s="2">
        <v>45544</v>
      </c>
      <c r="C463" t="s">
        <v>24</v>
      </c>
      <c r="D463" t="s">
        <v>25</v>
      </c>
      <c r="E463" t="s">
        <v>26</v>
      </c>
      <c r="F463" s="5">
        <v>3</v>
      </c>
      <c r="G463" s="5">
        <v>1</v>
      </c>
      <c r="H463" s="5">
        <v>5269</v>
      </c>
      <c r="I463" s="5">
        <v>2</v>
      </c>
      <c r="J463" s="5">
        <v>3512</v>
      </c>
      <c r="K463" t="s">
        <v>18</v>
      </c>
      <c r="L463" t="s">
        <v>19</v>
      </c>
      <c r="M463" t="s">
        <v>60</v>
      </c>
      <c r="N463" t="s">
        <v>53</v>
      </c>
      <c r="O463" t="s">
        <v>35</v>
      </c>
      <c r="P463" t="s">
        <v>36</v>
      </c>
      <c r="Q463">
        <f>Table1[[#This Row],[Course_Fee_AED]]-Table1[[#This Row],[Amount_Paid_AED]]</f>
        <v>1757</v>
      </c>
      <c r="R463">
        <f>Table1[[#This Row],[Course_Fee_AED]]-Table1[[#This Row],[pending Revenue]]</f>
        <v>3512</v>
      </c>
    </row>
    <row r="464" spans="1:18" x14ac:dyDescent="0.25">
      <c r="A464" t="s">
        <v>541</v>
      </c>
      <c r="B464" s="2">
        <v>45361</v>
      </c>
      <c r="C464" t="s">
        <v>15</v>
      </c>
      <c r="D464" t="s">
        <v>16</v>
      </c>
      <c r="E464" t="s">
        <v>17</v>
      </c>
      <c r="F464" s="5">
        <v>6</v>
      </c>
      <c r="G464" s="5">
        <v>1</v>
      </c>
      <c r="H464" s="5">
        <v>6413</v>
      </c>
      <c r="I464" s="5">
        <v>1</v>
      </c>
      <c r="J464" s="5">
        <v>2137</v>
      </c>
      <c r="K464" t="s">
        <v>18</v>
      </c>
      <c r="L464" t="s">
        <v>57</v>
      </c>
      <c r="M464" t="s">
        <v>41</v>
      </c>
      <c r="N464" t="s">
        <v>48</v>
      </c>
      <c r="O464" t="s">
        <v>58</v>
      </c>
      <c r="P464" t="s">
        <v>18</v>
      </c>
      <c r="Q464">
        <f>Table1[[#This Row],[Course_Fee_AED]]-Table1[[#This Row],[Amount_Paid_AED]]</f>
        <v>4276</v>
      </c>
      <c r="R464">
        <f>Table1[[#This Row],[Course_Fee_AED]]-Table1[[#This Row],[pending Revenue]]</f>
        <v>2137</v>
      </c>
    </row>
    <row r="465" spans="1:18" x14ac:dyDescent="0.25">
      <c r="A465" t="s">
        <v>542</v>
      </c>
      <c r="B465" s="2">
        <v>45518</v>
      </c>
      <c r="C465" t="s">
        <v>106</v>
      </c>
      <c r="D465" t="s">
        <v>107</v>
      </c>
      <c r="E465" t="s">
        <v>26</v>
      </c>
      <c r="F465" s="5">
        <v>3</v>
      </c>
      <c r="G465" s="5">
        <v>1</v>
      </c>
      <c r="H465" s="5">
        <v>8487</v>
      </c>
      <c r="I465" s="5">
        <v>1</v>
      </c>
      <c r="J465" s="5">
        <v>2829</v>
      </c>
      <c r="K465" t="s">
        <v>18</v>
      </c>
      <c r="L465" t="s">
        <v>40</v>
      </c>
      <c r="M465" t="s">
        <v>41</v>
      </c>
      <c r="N465" t="s">
        <v>86</v>
      </c>
      <c r="O465" t="s">
        <v>58</v>
      </c>
      <c r="P465" t="s">
        <v>18</v>
      </c>
      <c r="Q465">
        <f>Table1[[#This Row],[Course_Fee_AED]]-Table1[[#This Row],[Amount_Paid_AED]]</f>
        <v>5658</v>
      </c>
      <c r="R465">
        <f>Table1[[#This Row],[Course_Fee_AED]]-Table1[[#This Row],[pending Revenue]]</f>
        <v>2829</v>
      </c>
    </row>
    <row r="466" spans="1:18" x14ac:dyDescent="0.25">
      <c r="A466" t="s">
        <v>543</v>
      </c>
      <c r="B466" s="2">
        <v>45473</v>
      </c>
      <c r="C466" t="s">
        <v>113</v>
      </c>
      <c r="D466" t="s">
        <v>93</v>
      </c>
      <c r="E466" t="s">
        <v>26</v>
      </c>
      <c r="F466" s="5">
        <v>3</v>
      </c>
      <c r="G466" s="5">
        <v>1</v>
      </c>
      <c r="H466" s="5">
        <v>4942</v>
      </c>
      <c r="I466" s="5">
        <v>2</v>
      </c>
      <c r="J466" s="5">
        <v>3294</v>
      </c>
      <c r="K466" t="s">
        <v>18</v>
      </c>
      <c r="L466" t="s">
        <v>57</v>
      </c>
      <c r="M466" t="s">
        <v>63</v>
      </c>
      <c r="N466" t="s">
        <v>154</v>
      </c>
      <c r="O466" t="s">
        <v>87</v>
      </c>
      <c r="P466" t="s">
        <v>36</v>
      </c>
      <c r="Q466">
        <f>Table1[[#This Row],[Course_Fee_AED]]-Table1[[#This Row],[Amount_Paid_AED]]</f>
        <v>1648</v>
      </c>
      <c r="R466">
        <f>Table1[[#This Row],[Course_Fee_AED]]-Table1[[#This Row],[pending Revenue]]</f>
        <v>3294</v>
      </c>
    </row>
    <row r="467" spans="1:18" x14ac:dyDescent="0.25">
      <c r="A467" t="s">
        <v>544</v>
      </c>
      <c r="B467" s="2">
        <v>45370</v>
      </c>
      <c r="C467" t="s">
        <v>51</v>
      </c>
      <c r="D467" t="s">
        <v>52</v>
      </c>
      <c r="E467" t="s">
        <v>26</v>
      </c>
      <c r="F467" s="5">
        <v>3</v>
      </c>
      <c r="G467" s="5">
        <v>1</v>
      </c>
      <c r="H467" s="5">
        <v>4324</v>
      </c>
      <c r="I467" s="5">
        <v>3</v>
      </c>
      <c r="J467" s="5">
        <v>4323</v>
      </c>
      <c r="K467" t="s">
        <v>18</v>
      </c>
      <c r="L467" t="s">
        <v>57</v>
      </c>
      <c r="M467" t="s">
        <v>60</v>
      </c>
      <c r="N467" t="s">
        <v>154</v>
      </c>
      <c r="O467" t="s">
        <v>43</v>
      </c>
      <c r="P467" t="s">
        <v>18</v>
      </c>
      <c r="Q467">
        <f>Table1[[#This Row],[Course_Fee_AED]]-Table1[[#This Row],[Amount_Paid_AED]]</f>
        <v>1</v>
      </c>
      <c r="R467">
        <f>Table1[[#This Row],[Course_Fee_AED]]-Table1[[#This Row],[pending Revenue]]</f>
        <v>4323</v>
      </c>
    </row>
    <row r="468" spans="1:18" x14ac:dyDescent="0.25">
      <c r="A468" t="s">
        <v>545</v>
      </c>
      <c r="B468" s="2">
        <v>45649</v>
      </c>
      <c r="C468" t="s">
        <v>100</v>
      </c>
      <c r="D468" t="s">
        <v>101</v>
      </c>
      <c r="E468" t="s">
        <v>17</v>
      </c>
      <c r="F468" s="5">
        <v>6</v>
      </c>
      <c r="G468" s="5">
        <v>1</v>
      </c>
      <c r="H468" s="5">
        <v>3735</v>
      </c>
      <c r="I468" s="5">
        <v>1</v>
      </c>
      <c r="J468" s="5">
        <v>1245</v>
      </c>
      <c r="K468" t="s">
        <v>18</v>
      </c>
      <c r="L468" t="s">
        <v>40</v>
      </c>
      <c r="M468" t="s">
        <v>60</v>
      </c>
      <c r="N468" t="s">
        <v>28</v>
      </c>
      <c r="O468" t="s">
        <v>49</v>
      </c>
      <c r="P468" t="s">
        <v>36</v>
      </c>
      <c r="Q468">
        <f>Table1[[#This Row],[Course_Fee_AED]]-Table1[[#This Row],[Amount_Paid_AED]]</f>
        <v>2490</v>
      </c>
      <c r="R468">
        <f>Table1[[#This Row],[Course_Fee_AED]]-Table1[[#This Row],[pending Revenue]]</f>
        <v>1245</v>
      </c>
    </row>
    <row r="469" spans="1:18" x14ac:dyDescent="0.25">
      <c r="A469" t="s">
        <v>546</v>
      </c>
      <c r="B469" s="2">
        <v>45568</v>
      </c>
      <c r="C469" t="s">
        <v>66</v>
      </c>
      <c r="D469" t="s">
        <v>56</v>
      </c>
      <c r="E469" t="s">
        <v>17</v>
      </c>
      <c r="F469" s="5">
        <v>6</v>
      </c>
      <c r="G469" s="5">
        <v>1</v>
      </c>
      <c r="H469" s="5">
        <v>9863</v>
      </c>
      <c r="I469" s="5">
        <v>2</v>
      </c>
      <c r="J469" s="5">
        <v>6574</v>
      </c>
      <c r="K469" t="s">
        <v>18</v>
      </c>
      <c r="L469" t="s">
        <v>19</v>
      </c>
      <c r="M469" t="s">
        <v>47</v>
      </c>
      <c r="N469" t="s">
        <v>73</v>
      </c>
      <c r="O469" t="s">
        <v>64</v>
      </c>
      <c r="P469" t="s">
        <v>18</v>
      </c>
      <c r="Q469">
        <f>Table1[[#This Row],[Course_Fee_AED]]-Table1[[#This Row],[Amount_Paid_AED]]</f>
        <v>3289</v>
      </c>
      <c r="R469">
        <f>Table1[[#This Row],[Course_Fee_AED]]-Table1[[#This Row],[pending Revenue]]</f>
        <v>6574</v>
      </c>
    </row>
    <row r="470" spans="1:18" x14ac:dyDescent="0.25">
      <c r="A470" t="s">
        <v>547</v>
      </c>
      <c r="B470" s="2">
        <v>45455</v>
      </c>
      <c r="C470" t="s">
        <v>106</v>
      </c>
      <c r="D470" t="s">
        <v>107</v>
      </c>
      <c r="E470" t="s">
        <v>26</v>
      </c>
      <c r="F470" s="5">
        <v>3</v>
      </c>
      <c r="G470" s="5">
        <v>1</v>
      </c>
      <c r="H470" s="5">
        <v>8576</v>
      </c>
      <c r="I470" s="5">
        <v>3</v>
      </c>
      <c r="J470" s="5">
        <v>8574</v>
      </c>
      <c r="K470" t="s">
        <v>18</v>
      </c>
      <c r="L470" t="s">
        <v>19</v>
      </c>
      <c r="M470" t="s">
        <v>20</v>
      </c>
      <c r="N470" t="s">
        <v>21</v>
      </c>
      <c r="O470" t="s">
        <v>64</v>
      </c>
      <c r="P470" t="s">
        <v>18</v>
      </c>
      <c r="Q470">
        <f>Table1[[#This Row],[Course_Fee_AED]]-Table1[[#This Row],[Amount_Paid_AED]]</f>
        <v>2</v>
      </c>
      <c r="R470">
        <f>Table1[[#This Row],[Course_Fee_AED]]-Table1[[#This Row],[pending Revenue]]</f>
        <v>8574</v>
      </c>
    </row>
    <row r="471" spans="1:18" x14ac:dyDescent="0.25">
      <c r="A471" t="s">
        <v>548</v>
      </c>
      <c r="B471" s="2">
        <v>45576</v>
      </c>
      <c r="C471" t="s">
        <v>15</v>
      </c>
      <c r="D471" t="s">
        <v>16</v>
      </c>
      <c r="E471" t="s">
        <v>26</v>
      </c>
      <c r="F471" s="5">
        <v>3</v>
      </c>
      <c r="G471" s="5">
        <v>1</v>
      </c>
      <c r="H471" s="5">
        <v>5987</v>
      </c>
      <c r="I471" s="5">
        <v>2</v>
      </c>
      <c r="J471" s="5">
        <v>3990</v>
      </c>
      <c r="K471" t="s">
        <v>18</v>
      </c>
      <c r="L471" t="s">
        <v>57</v>
      </c>
      <c r="M471" t="s">
        <v>47</v>
      </c>
      <c r="N471" t="s">
        <v>70</v>
      </c>
      <c r="O471" t="s">
        <v>29</v>
      </c>
      <c r="P471" t="s">
        <v>18</v>
      </c>
      <c r="Q471">
        <f>Table1[[#This Row],[Course_Fee_AED]]-Table1[[#This Row],[Amount_Paid_AED]]</f>
        <v>1997</v>
      </c>
      <c r="R471">
        <f>Table1[[#This Row],[Course_Fee_AED]]-Table1[[#This Row],[pending Revenue]]</f>
        <v>3990</v>
      </c>
    </row>
    <row r="472" spans="1:18" x14ac:dyDescent="0.25">
      <c r="A472" t="s">
        <v>549</v>
      </c>
      <c r="B472" s="2">
        <v>45580</v>
      </c>
      <c r="C472" t="s">
        <v>45</v>
      </c>
      <c r="D472" t="s">
        <v>46</v>
      </c>
      <c r="E472" t="s">
        <v>17</v>
      </c>
      <c r="F472" s="5">
        <v>6</v>
      </c>
      <c r="G472" s="5">
        <v>1</v>
      </c>
      <c r="H472" s="5">
        <v>6857</v>
      </c>
      <c r="I472" s="5">
        <v>1</v>
      </c>
      <c r="J472" s="5">
        <v>2285</v>
      </c>
      <c r="K472" t="s">
        <v>18</v>
      </c>
      <c r="L472" t="s">
        <v>19</v>
      </c>
      <c r="M472" t="s">
        <v>60</v>
      </c>
      <c r="N472" t="s">
        <v>42</v>
      </c>
      <c r="O472" t="s">
        <v>43</v>
      </c>
      <c r="P472" t="s">
        <v>18</v>
      </c>
      <c r="Q472">
        <f>Table1[[#This Row],[Course_Fee_AED]]-Table1[[#This Row],[Amount_Paid_AED]]</f>
        <v>4572</v>
      </c>
      <c r="R472">
        <f>Table1[[#This Row],[Course_Fee_AED]]-Table1[[#This Row],[pending Revenue]]</f>
        <v>2285</v>
      </c>
    </row>
    <row r="473" spans="1:18" x14ac:dyDescent="0.25">
      <c r="A473" t="s">
        <v>550</v>
      </c>
      <c r="B473" s="2">
        <v>45361</v>
      </c>
      <c r="C473" t="s">
        <v>75</v>
      </c>
      <c r="D473" t="s">
        <v>76</v>
      </c>
      <c r="E473" t="s">
        <v>26</v>
      </c>
      <c r="F473" s="5">
        <v>3</v>
      </c>
      <c r="G473" s="5">
        <v>1</v>
      </c>
      <c r="H473" s="5">
        <v>14298</v>
      </c>
      <c r="I473" s="5">
        <v>2</v>
      </c>
      <c r="J473" s="5">
        <v>9532</v>
      </c>
      <c r="K473" t="s">
        <v>18</v>
      </c>
      <c r="L473" t="s">
        <v>57</v>
      </c>
      <c r="M473" t="s">
        <v>27</v>
      </c>
      <c r="N473" t="s">
        <v>70</v>
      </c>
      <c r="O473" t="s">
        <v>87</v>
      </c>
      <c r="P473" t="s">
        <v>36</v>
      </c>
      <c r="Q473">
        <f>Table1[[#This Row],[Course_Fee_AED]]-Table1[[#This Row],[Amount_Paid_AED]]</f>
        <v>4766</v>
      </c>
      <c r="R473">
        <f>Table1[[#This Row],[Course_Fee_AED]]-Table1[[#This Row],[pending Revenue]]</f>
        <v>9532</v>
      </c>
    </row>
    <row r="474" spans="1:18" x14ac:dyDescent="0.25">
      <c r="A474" t="s">
        <v>551</v>
      </c>
      <c r="B474" s="2">
        <v>45599</v>
      </c>
      <c r="C474" t="s">
        <v>82</v>
      </c>
      <c r="D474" t="s">
        <v>83</v>
      </c>
      <c r="E474" t="s">
        <v>17</v>
      </c>
      <c r="F474" s="5">
        <v>6</v>
      </c>
      <c r="G474" s="5">
        <v>1</v>
      </c>
      <c r="H474" s="5">
        <v>9006</v>
      </c>
      <c r="I474" s="5">
        <v>3</v>
      </c>
      <c r="J474" s="5">
        <v>9006</v>
      </c>
      <c r="K474" t="s">
        <v>33</v>
      </c>
      <c r="L474" t="s">
        <v>40</v>
      </c>
      <c r="M474" t="s">
        <v>27</v>
      </c>
      <c r="N474" t="s">
        <v>86</v>
      </c>
      <c r="O474" t="s">
        <v>58</v>
      </c>
      <c r="P474" t="s">
        <v>36</v>
      </c>
      <c r="Q474">
        <f>Table1[[#This Row],[Course_Fee_AED]]-Table1[[#This Row],[Amount_Paid_AED]]</f>
        <v>0</v>
      </c>
      <c r="R474">
        <f>Table1[[#This Row],[Course_Fee_AED]]-Table1[[#This Row],[pending Revenue]]</f>
        <v>9006</v>
      </c>
    </row>
    <row r="475" spans="1:18" x14ac:dyDescent="0.25">
      <c r="A475" t="s">
        <v>552</v>
      </c>
      <c r="B475" s="2">
        <v>45431</v>
      </c>
      <c r="C475" t="s">
        <v>55</v>
      </c>
      <c r="D475" t="s">
        <v>56</v>
      </c>
      <c r="E475" t="s">
        <v>17</v>
      </c>
      <c r="F475" s="5">
        <v>6</v>
      </c>
      <c r="G475" s="5">
        <v>1</v>
      </c>
      <c r="H475" s="5">
        <v>9513</v>
      </c>
      <c r="I475" s="5">
        <v>1</v>
      </c>
      <c r="J475" s="5">
        <v>3171</v>
      </c>
      <c r="K475" t="s">
        <v>18</v>
      </c>
      <c r="L475" t="s">
        <v>57</v>
      </c>
      <c r="M475" t="s">
        <v>20</v>
      </c>
      <c r="N475" t="s">
        <v>73</v>
      </c>
      <c r="O475" t="s">
        <v>35</v>
      </c>
      <c r="P475" t="s">
        <v>18</v>
      </c>
      <c r="Q475">
        <f>Table1[[#This Row],[Course_Fee_AED]]-Table1[[#This Row],[Amount_Paid_AED]]</f>
        <v>6342</v>
      </c>
      <c r="R475">
        <f>Table1[[#This Row],[Course_Fee_AED]]-Table1[[#This Row],[pending Revenue]]</f>
        <v>3171</v>
      </c>
    </row>
    <row r="476" spans="1:18" x14ac:dyDescent="0.25">
      <c r="A476" t="s">
        <v>553</v>
      </c>
      <c r="B476" s="2">
        <v>45424</v>
      </c>
      <c r="C476" t="s">
        <v>106</v>
      </c>
      <c r="D476" t="s">
        <v>107</v>
      </c>
      <c r="E476" t="s">
        <v>26</v>
      </c>
      <c r="F476" s="5">
        <v>3</v>
      </c>
      <c r="G476" s="5">
        <v>1</v>
      </c>
      <c r="H476" s="5">
        <v>5886</v>
      </c>
      <c r="I476" s="5">
        <v>2</v>
      </c>
      <c r="J476" s="5">
        <v>3924</v>
      </c>
      <c r="K476" t="s">
        <v>18</v>
      </c>
      <c r="L476" t="s">
        <v>19</v>
      </c>
      <c r="M476" t="s">
        <v>63</v>
      </c>
      <c r="N476" t="s">
        <v>79</v>
      </c>
      <c r="O476" t="s">
        <v>68</v>
      </c>
      <c r="P476" t="s">
        <v>36</v>
      </c>
      <c r="Q476">
        <f>Table1[[#This Row],[Course_Fee_AED]]-Table1[[#This Row],[Amount_Paid_AED]]</f>
        <v>1962</v>
      </c>
      <c r="R476">
        <f>Table1[[#This Row],[Course_Fee_AED]]-Table1[[#This Row],[pending Revenue]]</f>
        <v>3924</v>
      </c>
    </row>
    <row r="477" spans="1:18" x14ac:dyDescent="0.25">
      <c r="A477" t="s">
        <v>554</v>
      </c>
      <c r="B477" s="2">
        <v>45408</v>
      </c>
      <c r="C477" t="s">
        <v>24</v>
      </c>
      <c r="D477" t="s">
        <v>25</v>
      </c>
      <c r="E477" t="s">
        <v>26</v>
      </c>
      <c r="F477" s="5">
        <v>3</v>
      </c>
      <c r="G477" s="5">
        <v>1</v>
      </c>
      <c r="H477" s="5">
        <v>6999</v>
      </c>
      <c r="I477" s="5">
        <v>1</v>
      </c>
      <c r="J477" s="5">
        <v>2333</v>
      </c>
      <c r="K477" t="s">
        <v>18</v>
      </c>
      <c r="L477" t="s">
        <v>19</v>
      </c>
      <c r="M477" t="s">
        <v>63</v>
      </c>
      <c r="N477" t="s">
        <v>42</v>
      </c>
      <c r="O477" t="s">
        <v>68</v>
      </c>
      <c r="P477" t="s">
        <v>18</v>
      </c>
      <c r="Q477">
        <f>Table1[[#This Row],[Course_Fee_AED]]-Table1[[#This Row],[Amount_Paid_AED]]</f>
        <v>4666</v>
      </c>
      <c r="R477">
        <f>Table1[[#This Row],[Course_Fee_AED]]-Table1[[#This Row],[pending Revenue]]</f>
        <v>2333</v>
      </c>
    </row>
    <row r="478" spans="1:18" x14ac:dyDescent="0.25">
      <c r="A478" t="s">
        <v>555</v>
      </c>
      <c r="B478" s="2">
        <v>45362</v>
      </c>
      <c r="C478" t="s">
        <v>51</v>
      </c>
      <c r="D478" t="s">
        <v>52</v>
      </c>
      <c r="E478" t="s">
        <v>17</v>
      </c>
      <c r="F478" s="5">
        <v>6</v>
      </c>
      <c r="G478" s="5">
        <v>1</v>
      </c>
      <c r="H478" s="5">
        <v>4515</v>
      </c>
      <c r="I478" s="5">
        <v>2</v>
      </c>
      <c r="J478" s="5">
        <v>3010</v>
      </c>
      <c r="K478" t="s">
        <v>18</v>
      </c>
      <c r="L478" t="s">
        <v>19</v>
      </c>
      <c r="M478" t="s">
        <v>63</v>
      </c>
      <c r="N478" t="s">
        <v>154</v>
      </c>
      <c r="O478" t="s">
        <v>71</v>
      </c>
      <c r="P478" t="s">
        <v>36</v>
      </c>
      <c r="Q478">
        <f>Table1[[#This Row],[Course_Fee_AED]]-Table1[[#This Row],[Amount_Paid_AED]]</f>
        <v>1505</v>
      </c>
      <c r="R478">
        <f>Table1[[#This Row],[Course_Fee_AED]]-Table1[[#This Row],[pending Revenue]]</f>
        <v>3010</v>
      </c>
    </row>
    <row r="479" spans="1:18" x14ac:dyDescent="0.25">
      <c r="A479" t="s">
        <v>556</v>
      </c>
      <c r="B479" s="2">
        <v>45473</v>
      </c>
      <c r="C479" t="s">
        <v>45</v>
      </c>
      <c r="D479" t="s">
        <v>46</v>
      </c>
      <c r="E479" t="s">
        <v>17</v>
      </c>
      <c r="F479" s="5">
        <v>6</v>
      </c>
      <c r="G479" s="5">
        <v>1</v>
      </c>
      <c r="H479" s="5">
        <v>6611</v>
      </c>
      <c r="I479" s="5">
        <v>2</v>
      </c>
      <c r="J479" s="5">
        <v>4406</v>
      </c>
      <c r="K479" t="s">
        <v>18</v>
      </c>
      <c r="L479" t="s">
        <v>57</v>
      </c>
      <c r="M479" t="s">
        <v>20</v>
      </c>
      <c r="N479" t="s">
        <v>70</v>
      </c>
      <c r="O479" t="s">
        <v>87</v>
      </c>
      <c r="P479" t="s">
        <v>18</v>
      </c>
      <c r="Q479">
        <f>Table1[[#This Row],[Course_Fee_AED]]-Table1[[#This Row],[Amount_Paid_AED]]</f>
        <v>2205</v>
      </c>
      <c r="R479">
        <f>Table1[[#This Row],[Course_Fee_AED]]-Table1[[#This Row],[pending Revenue]]</f>
        <v>4406</v>
      </c>
    </row>
    <row r="480" spans="1:18" x14ac:dyDescent="0.25">
      <c r="A480" t="s">
        <v>557</v>
      </c>
      <c r="B480" s="2">
        <v>45502</v>
      </c>
      <c r="C480" t="s">
        <v>100</v>
      </c>
      <c r="D480" t="s">
        <v>101</v>
      </c>
      <c r="E480" t="s">
        <v>17</v>
      </c>
      <c r="F480" s="5">
        <v>6</v>
      </c>
      <c r="G480" s="5">
        <v>1</v>
      </c>
      <c r="H480" s="5">
        <v>4568</v>
      </c>
      <c r="I480" s="5">
        <v>3</v>
      </c>
      <c r="J480" s="5">
        <v>4566</v>
      </c>
      <c r="K480" t="s">
        <v>18</v>
      </c>
      <c r="L480" t="s">
        <v>57</v>
      </c>
      <c r="M480" t="s">
        <v>60</v>
      </c>
      <c r="N480" t="s">
        <v>95</v>
      </c>
      <c r="O480" t="s">
        <v>64</v>
      </c>
      <c r="P480" t="s">
        <v>18</v>
      </c>
      <c r="Q480">
        <f>Table1[[#This Row],[Course_Fee_AED]]-Table1[[#This Row],[Amount_Paid_AED]]</f>
        <v>2</v>
      </c>
      <c r="R480">
        <f>Table1[[#This Row],[Course_Fee_AED]]-Table1[[#This Row],[pending Revenue]]</f>
        <v>4566</v>
      </c>
    </row>
    <row r="481" spans="1:18" x14ac:dyDescent="0.25">
      <c r="A481" t="s">
        <v>558</v>
      </c>
      <c r="B481" s="2">
        <v>45468</v>
      </c>
      <c r="C481" t="s">
        <v>75</v>
      </c>
      <c r="D481" t="s">
        <v>76</v>
      </c>
      <c r="E481" t="s">
        <v>26</v>
      </c>
      <c r="F481" s="5">
        <v>3</v>
      </c>
      <c r="G481" s="5">
        <v>1</v>
      </c>
      <c r="H481" s="5">
        <v>7193</v>
      </c>
      <c r="I481" s="5">
        <v>1</v>
      </c>
      <c r="J481" s="5">
        <v>2397</v>
      </c>
      <c r="K481" t="s">
        <v>18</v>
      </c>
      <c r="L481" t="s">
        <v>57</v>
      </c>
      <c r="M481" t="s">
        <v>27</v>
      </c>
      <c r="N481" t="s">
        <v>79</v>
      </c>
      <c r="O481" t="s">
        <v>43</v>
      </c>
      <c r="P481" t="s">
        <v>18</v>
      </c>
      <c r="Q481">
        <f>Table1[[#This Row],[Course_Fee_AED]]-Table1[[#This Row],[Amount_Paid_AED]]</f>
        <v>4796</v>
      </c>
      <c r="R481">
        <f>Table1[[#This Row],[Course_Fee_AED]]-Table1[[#This Row],[pending Revenue]]</f>
        <v>2397</v>
      </c>
    </row>
    <row r="482" spans="1:18" x14ac:dyDescent="0.25">
      <c r="A482" t="s">
        <v>559</v>
      </c>
      <c r="B482" s="2">
        <v>45301</v>
      </c>
      <c r="C482" t="s">
        <v>66</v>
      </c>
      <c r="D482" t="s">
        <v>56</v>
      </c>
      <c r="E482" t="s">
        <v>26</v>
      </c>
      <c r="F482" s="5">
        <v>3</v>
      </c>
      <c r="G482" s="5">
        <v>1</v>
      </c>
      <c r="H482" s="5">
        <v>9649</v>
      </c>
      <c r="I482" s="5">
        <v>1</v>
      </c>
      <c r="J482" s="5">
        <v>3216</v>
      </c>
      <c r="K482" t="s">
        <v>18</v>
      </c>
      <c r="L482" t="s">
        <v>19</v>
      </c>
      <c r="M482" t="s">
        <v>63</v>
      </c>
      <c r="N482" t="s">
        <v>73</v>
      </c>
      <c r="O482" t="s">
        <v>64</v>
      </c>
      <c r="P482" t="s">
        <v>36</v>
      </c>
      <c r="Q482">
        <f>Table1[[#This Row],[Course_Fee_AED]]-Table1[[#This Row],[Amount_Paid_AED]]</f>
        <v>6433</v>
      </c>
      <c r="R482">
        <f>Table1[[#This Row],[Course_Fee_AED]]-Table1[[#This Row],[pending Revenue]]</f>
        <v>3216</v>
      </c>
    </row>
    <row r="483" spans="1:18" x14ac:dyDescent="0.25">
      <c r="A483" t="s">
        <v>560</v>
      </c>
      <c r="B483" s="2">
        <v>45547</v>
      </c>
      <c r="C483" t="s">
        <v>66</v>
      </c>
      <c r="D483" t="s">
        <v>56</v>
      </c>
      <c r="E483" t="s">
        <v>17</v>
      </c>
      <c r="F483" s="5">
        <v>6</v>
      </c>
      <c r="G483" s="5">
        <v>1</v>
      </c>
      <c r="H483" s="5">
        <v>8648</v>
      </c>
      <c r="I483" s="5">
        <v>2</v>
      </c>
      <c r="J483" s="5">
        <v>5764</v>
      </c>
      <c r="K483" t="s">
        <v>18</v>
      </c>
      <c r="L483" t="s">
        <v>40</v>
      </c>
      <c r="M483" t="s">
        <v>47</v>
      </c>
      <c r="N483" t="s">
        <v>42</v>
      </c>
      <c r="O483" t="s">
        <v>68</v>
      </c>
      <c r="P483" t="s">
        <v>18</v>
      </c>
      <c r="Q483">
        <f>Table1[[#This Row],[Course_Fee_AED]]-Table1[[#This Row],[Amount_Paid_AED]]</f>
        <v>2884</v>
      </c>
      <c r="R483">
        <f>Table1[[#This Row],[Course_Fee_AED]]-Table1[[#This Row],[pending Revenue]]</f>
        <v>5764</v>
      </c>
    </row>
    <row r="484" spans="1:18" x14ac:dyDescent="0.25">
      <c r="A484" t="s">
        <v>561</v>
      </c>
      <c r="B484" s="2">
        <v>45345</v>
      </c>
      <c r="C484" t="s">
        <v>92</v>
      </c>
      <c r="D484" t="s">
        <v>93</v>
      </c>
      <c r="E484" t="s">
        <v>17</v>
      </c>
      <c r="F484" s="5">
        <v>6</v>
      </c>
      <c r="G484" s="5">
        <v>1</v>
      </c>
      <c r="H484" s="5">
        <v>5949</v>
      </c>
      <c r="I484" s="5">
        <v>1</v>
      </c>
      <c r="J484" s="5">
        <v>1983</v>
      </c>
      <c r="K484" t="s">
        <v>18</v>
      </c>
      <c r="L484" t="s">
        <v>57</v>
      </c>
      <c r="M484" t="s">
        <v>41</v>
      </c>
      <c r="N484" t="s">
        <v>61</v>
      </c>
      <c r="O484" t="s">
        <v>64</v>
      </c>
      <c r="P484" t="s">
        <v>18</v>
      </c>
      <c r="Q484">
        <f>Table1[[#This Row],[Course_Fee_AED]]-Table1[[#This Row],[Amount_Paid_AED]]</f>
        <v>3966</v>
      </c>
      <c r="R484">
        <f>Table1[[#This Row],[Course_Fee_AED]]-Table1[[#This Row],[pending Revenue]]</f>
        <v>1983</v>
      </c>
    </row>
    <row r="485" spans="1:18" x14ac:dyDescent="0.25">
      <c r="A485" t="s">
        <v>562</v>
      </c>
      <c r="B485" s="2">
        <v>45319</v>
      </c>
      <c r="C485" t="s">
        <v>31</v>
      </c>
      <c r="D485" t="s">
        <v>32</v>
      </c>
      <c r="E485" t="s">
        <v>26</v>
      </c>
      <c r="F485" s="5">
        <v>3</v>
      </c>
      <c r="G485" s="5">
        <v>1</v>
      </c>
      <c r="H485" s="5">
        <v>7961</v>
      </c>
      <c r="I485" s="5">
        <v>3</v>
      </c>
      <c r="J485" s="5">
        <v>7959</v>
      </c>
      <c r="K485" t="s">
        <v>18</v>
      </c>
      <c r="L485" t="s">
        <v>19</v>
      </c>
      <c r="M485" t="s">
        <v>27</v>
      </c>
      <c r="N485" t="s">
        <v>90</v>
      </c>
      <c r="O485" t="s">
        <v>43</v>
      </c>
      <c r="P485" t="s">
        <v>18</v>
      </c>
      <c r="Q485">
        <f>Table1[[#This Row],[Course_Fee_AED]]-Table1[[#This Row],[Amount_Paid_AED]]</f>
        <v>2</v>
      </c>
      <c r="R485">
        <f>Table1[[#This Row],[Course_Fee_AED]]-Table1[[#This Row],[pending Revenue]]</f>
        <v>7959</v>
      </c>
    </row>
    <row r="486" spans="1:18" x14ac:dyDescent="0.25">
      <c r="A486" t="s">
        <v>563</v>
      </c>
      <c r="B486" s="2">
        <v>45479</v>
      </c>
      <c r="C486" t="s">
        <v>55</v>
      </c>
      <c r="D486" t="s">
        <v>56</v>
      </c>
      <c r="E486" t="s">
        <v>17</v>
      </c>
      <c r="F486" s="5">
        <v>6</v>
      </c>
      <c r="G486" s="5">
        <v>1</v>
      </c>
      <c r="H486" s="5">
        <v>11923</v>
      </c>
      <c r="I486" s="5">
        <v>3</v>
      </c>
      <c r="J486" s="5">
        <v>11922</v>
      </c>
      <c r="K486" t="s">
        <v>18</v>
      </c>
      <c r="L486" t="s">
        <v>40</v>
      </c>
      <c r="M486" t="s">
        <v>47</v>
      </c>
      <c r="N486" t="s">
        <v>95</v>
      </c>
      <c r="O486" t="s">
        <v>35</v>
      </c>
      <c r="P486" t="s">
        <v>36</v>
      </c>
      <c r="Q486">
        <f>Table1[[#This Row],[Course_Fee_AED]]-Table1[[#This Row],[Amount_Paid_AED]]</f>
        <v>1</v>
      </c>
      <c r="R486">
        <f>Table1[[#This Row],[Course_Fee_AED]]-Table1[[#This Row],[pending Revenue]]</f>
        <v>11922</v>
      </c>
    </row>
    <row r="487" spans="1:18" x14ac:dyDescent="0.25">
      <c r="A487" t="s">
        <v>564</v>
      </c>
      <c r="B487" s="2">
        <v>45574</v>
      </c>
      <c r="C487" t="s">
        <v>106</v>
      </c>
      <c r="D487" t="s">
        <v>107</v>
      </c>
      <c r="E487" t="s">
        <v>17</v>
      </c>
      <c r="F487" s="5">
        <v>6</v>
      </c>
      <c r="G487" s="5">
        <v>1</v>
      </c>
      <c r="H487" s="5">
        <v>8255</v>
      </c>
      <c r="I487" s="5">
        <v>3</v>
      </c>
      <c r="J487" s="5">
        <v>8253</v>
      </c>
      <c r="K487" t="s">
        <v>18</v>
      </c>
      <c r="L487" t="s">
        <v>40</v>
      </c>
      <c r="M487" t="s">
        <v>63</v>
      </c>
      <c r="N487" t="s">
        <v>42</v>
      </c>
      <c r="O487" t="s">
        <v>64</v>
      </c>
      <c r="P487" t="s">
        <v>36</v>
      </c>
      <c r="Q487">
        <f>Table1[[#This Row],[Course_Fee_AED]]-Table1[[#This Row],[Amount_Paid_AED]]</f>
        <v>2</v>
      </c>
      <c r="R487">
        <f>Table1[[#This Row],[Course_Fee_AED]]-Table1[[#This Row],[pending Revenue]]</f>
        <v>8253</v>
      </c>
    </row>
    <row r="488" spans="1:18" x14ac:dyDescent="0.25">
      <c r="A488" t="s">
        <v>565</v>
      </c>
      <c r="B488" s="2">
        <v>45325</v>
      </c>
      <c r="C488" t="s">
        <v>82</v>
      </c>
      <c r="D488" t="s">
        <v>83</v>
      </c>
      <c r="E488" t="s">
        <v>17</v>
      </c>
      <c r="F488" s="5">
        <v>6</v>
      </c>
      <c r="G488" s="5">
        <v>1</v>
      </c>
      <c r="H488" s="5">
        <v>11960</v>
      </c>
      <c r="I488" s="5">
        <v>2</v>
      </c>
      <c r="J488" s="5">
        <v>7972</v>
      </c>
      <c r="K488" t="s">
        <v>18</v>
      </c>
      <c r="L488" t="s">
        <v>57</v>
      </c>
      <c r="M488" t="s">
        <v>41</v>
      </c>
      <c r="N488" t="s">
        <v>42</v>
      </c>
      <c r="O488" t="s">
        <v>43</v>
      </c>
      <c r="P488" t="s">
        <v>18</v>
      </c>
      <c r="Q488">
        <f>Table1[[#This Row],[Course_Fee_AED]]-Table1[[#This Row],[Amount_Paid_AED]]</f>
        <v>3988</v>
      </c>
      <c r="R488">
        <f>Table1[[#This Row],[Course_Fee_AED]]-Table1[[#This Row],[pending Revenue]]</f>
        <v>7972</v>
      </c>
    </row>
    <row r="489" spans="1:18" x14ac:dyDescent="0.25">
      <c r="A489" t="s">
        <v>566</v>
      </c>
      <c r="B489" s="2">
        <v>45620</v>
      </c>
      <c r="C489" t="s">
        <v>66</v>
      </c>
      <c r="D489" t="s">
        <v>56</v>
      </c>
      <c r="E489" t="s">
        <v>26</v>
      </c>
      <c r="F489" s="5">
        <v>3</v>
      </c>
      <c r="G489" s="5">
        <v>1</v>
      </c>
      <c r="H489" s="5">
        <v>7312</v>
      </c>
      <c r="I489" s="5">
        <v>1</v>
      </c>
      <c r="J489" s="5">
        <v>2437</v>
      </c>
      <c r="K489" t="s">
        <v>18</v>
      </c>
      <c r="L489" t="s">
        <v>40</v>
      </c>
      <c r="M489" t="s">
        <v>47</v>
      </c>
      <c r="N489" t="s">
        <v>86</v>
      </c>
      <c r="O489" t="s">
        <v>49</v>
      </c>
      <c r="P489" t="s">
        <v>18</v>
      </c>
      <c r="Q489">
        <f>Table1[[#This Row],[Course_Fee_AED]]-Table1[[#This Row],[Amount_Paid_AED]]</f>
        <v>4875</v>
      </c>
      <c r="R489">
        <f>Table1[[#This Row],[Course_Fee_AED]]-Table1[[#This Row],[pending Revenue]]</f>
        <v>2437</v>
      </c>
    </row>
    <row r="490" spans="1:18" x14ac:dyDescent="0.25">
      <c r="A490" t="s">
        <v>567</v>
      </c>
      <c r="B490" s="2">
        <v>45301</v>
      </c>
      <c r="C490" t="s">
        <v>24</v>
      </c>
      <c r="D490" t="s">
        <v>25</v>
      </c>
      <c r="E490" t="s">
        <v>26</v>
      </c>
      <c r="F490" s="5">
        <v>3</v>
      </c>
      <c r="G490" s="5">
        <v>1</v>
      </c>
      <c r="H490" s="5">
        <v>6771</v>
      </c>
      <c r="I490" s="5">
        <v>2</v>
      </c>
      <c r="J490" s="5">
        <v>4514</v>
      </c>
      <c r="K490" t="s">
        <v>18</v>
      </c>
      <c r="L490" t="s">
        <v>40</v>
      </c>
      <c r="M490" t="s">
        <v>47</v>
      </c>
      <c r="N490" t="s">
        <v>154</v>
      </c>
      <c r="O490" t="s">
        <v>35</v>
      </c>
      <c r="P490" t="s">
        <v>36</v>
      </c>
      <c r="Q490">
        <f>Table1[[#This Row],[Course_Fee_AED]]-Table1[[#This Row],[Amount_Paid_AED]]</f>
        <v>2257</v>
      </c>
      <c r="R490">
        <f>Table1[[#This Row],[Course_Fee_AED]]-Table1[[#This Row],[pending Revenue]]</f>
        <v>4514</v>
      </c>
    </row>
    <row r="491" spans="1:18" x14ac:dyDescent="0.25">
      <c r="A491" t="s">
        <v>568</v>
      </c>
      <c r="B491" s="2">
        <v>45417</v>
      </c>
      <c r="C491" t="s">
        <v>106</v>
      </c>
      <c r="D491" t="s">
        <v>107</v>
      </c>
      <c r="E491" t="s">
        <v>26</v>
      </c>
      <c r="F491" s="5">
        <v>3</v>
      </c>
      <c r="G491" s="5">
        <v>1</v>
      </c>
      <c r="H491" s="5">
        <v>8824</v>
      </c>
      <c r="I491" s="5">
        <v>2</v>
      </c>
      <c r="J491" s="5">
        <v>5882</v>
      </c>
      <c r="K491" t="s">
        <v>18</v>
      </c>
      <c r="L491" t="s">
        <v>40</v>
      </c>
      <c r="M491" t="s">
        <v>41</v>
      </c>
      <c r="N491" t="s">
        <v>73</v>
      </c>
      <c r="O491" t="s">
        <v>22</v>
      </c>
      <c r="P491" t="s">
        <v>36</v>
      </c>
      <c r="Q491">
        <f>Table1[[#This Row],[Course_Fee_AED]]-Table1[[#This Row],[Amount_Paid_AED]]</f>
        <v>2942</v>
      </c>
      <c r="R491">
        <f>Table1[[#This Row],[Course_Fee_AED]]-Table1[[#This Row],[pending Revenue]]</f>
        <v>5882</v>
      </c>
    </row>
    <row r="492" spans="1:18" x14ac:dyDescent="0.25">
      <c r="A492" t="s">
        <v>569</v>
      </c>
      <c r="B492" s="2">
        <v>45585</v>
      </c>
      <c r="C492" t="s">
        <v>38</v>
      </c>
      <c r="D492" t="s">
        <v>39</v>
      </c>
      <c r="E492" t="s">
        <v>26</v>
      </c>
      <c r="F492" s="5">
        <v>3</v>
      </c>
      <c r="G492" s="5">
        <v>1</v>
      </c>
      <c r="H492" s="5">
        <v>6102</v>
      </c>
      <c r="I492" s="5">
        <v>1</v>
      </c>
      <c r="J492" s="5">
        <v>2034</v>
      </c>
      <c r="K492" t="s">
        <v>18</v>
      </c>
      <c r="L492" t="s">
        <v>19</v>
      </c>
      <c r="M492" t="s">
        <v>41</v>
      </c>
      <c r="N492" t="s">
        <v>86</v>
      </c>
      <c r="O492" t="s">
        <v>58</v>
      </c>
      <c r="P492" t="s">
        <v>18</v>
      </c>
      <c r="Q492">
        <f>Table1[[#This Row],[Course_Fee_AED]]-Table1[[#This Row],[Amount_Paid_AED]]</f>
        <v>4068</v>
      </c>
      <c r="R492">
        <f>Table1[[#This Row],[Course_Fee_AED]]-Table1[[#This Row],[pending Revenue]]</f>
        <v>2034</v>
      </c>
    </row>
    <row r="493" spans="1:18" x14ac:dyDescent="0.25">
      <c r="A493" t="s">
        <v>570</v>
      </c>
      <c r="B493" s="2">
        <v>45630</v>
      </c>
      <c r="C493" t="s">
        <v>82</v>
      </c>
      <c r="D493" t="s">
        <v>83</v>
      </c>
      <c r="E493" t="s">
        <v>17</v>
      </c>
      <c r="F493" s="5">
        <v>6</v>
      </c>
      <c r="G493" s="5">
        <v>1</v>
      </c>
      <c r="H493" s="5">
        <v>12703</v>
      </c>
      <c r="I493" s="5">
        <v>2</v>
      </c>
      <c r="J493" s="5">
        <v>8468</v>
      </c>
      <c r="K493" t="s">
        <v>18</v>
      </c>
      <c r="L493" t="s">
        <v>40</v>
      </c>
      <c r="M493" t="s">
        <v>47</v>
      </c>
      <c r="N493" t="s">
        <v>21</v>
      </c>
      <c r="O493" t="s">
        <v>87</v>
      </c>
      <c r="P493" t="s">
        <v>36</v>
      </c>
      <c r="Q493">
        <f>Table1[[#This Row],[Course_Fee_AED]]-Table1[[#This Row],[Amount_Paid_AED]]</f>
        <v>4235</v>
      </c>
      <c r="R493">
        <f>Table1[[#This Row],[Course_Fee_AED]]-Table1[[#This Row],[pending Revenue]]</f>
        <v>8468</v>
      </c>
    </row>
    <row r="494" spans="1:18" x14ac:dyDescent="0.25">
      <c r="A494" t="s">
        <v>571</v>
      </c>
      <c r="B494" s="2">
        <v>45519</v>
      </c>
      <c r="C494" t="s">
        <v>38</v>
      </c>
      <c r="D494" t="s">
        <v>39</v>
      </c>
      <c r="E494" t="s">
        <v>17</v>
      </c>
      <c r="F494" s="5">
        <v>6</v>
      </c>
      <c r="G494" s="5">
        <v>1</v>
      </c>
      <c r="H494" s="5">
        <v>4111</v>
      </c>
      <c r="I494" s="5">
        <v>1</v>
      </c>
      <c r="J494" s="5">
        <v>1370</v>
      </c>
      <c r="K494" t="s">
        <v>18</v>
      </c>
      <c r="L494" t="s">
        <v>19</v>
      </c>
      <c r="M494" t="s">
        <v>20</v>
      </c>
      <c r="N494" t="s">
        <v>86</v>
      </c>
      <c r="O494" t="s">
        <v>64</v>
      </c>
      <c r="P494" t="s">
        <v>18</v>
      </c>
      <c r="Q494">
        <f>Table1[[#This Row],[Course_Fee_AED]]-Table1[[#This Row],[Amount_Paid_AED]]</f>
        <v>2741</v>
      </c>
      <c r="R494">
        <f>Table1[[#This Row],[Course_Fee_AED]]-Table1[[#This Row],[pending Revenue]]</f>
        <v>1370</v>
      </c>
    </row>
    <row r="495" spans="1:18" x14ac:dyDescent="0.25">
      <c r="A495" t="s">
        <v>572</v>
      </c>
      <c r="B495" s="2">
        <v>45613</v>
      </c>
      <c r="C495" t="s">
        <v>15</v>
      </c>
      <c r="D495" t="s">
        <v>16</v>
      </c>
      <c r="E495" t="s">
        <v>26</v>
      </c>
      <c r="F495" s="5">
        <v>3</v>
      </c>
      <c r="G495" s="5">
        <v>1</v>
      </c>
      <c r="H495" s="5">
        <v>6438</v>
      </c>
      <c r="I495" s="5">
        <v>2</v>
      </c>
      <c r="J495" s="5">
        <v>4292</v>
      </c>
      <c r="K495" t="s">
        <v>18</v>
      </c>
      <c r="L495" t="s">
        <v>40</v>
      </c>
      <c r="M495" t="s">
        <v>41</v>
      </c>
      <c r="N495" t="s">
        <v>53</v>
      </c>
      <c r="O495" t="s">
        <v>87</v>
      </c>
      <c r="P495" t="s">
        <v>18</v>
      </c>
      <c r="Q495">
        <f>Table1[[#This Row],[Course_Fee_AED]]-Table1[[#This Row],[Amount_Paid_AED]]</f>
        <v>2146</v>
      </c>
      <c r="R495">
        <f>Table1[[#This Row],[Course_Fee_AED]]-Table1[[#This Row],[pending Revenue]]</f>
        <v>4292</v>
      </c>
    </row>
    <row r="496" spans="1:18" x14ac:dyDescent="0.25">
      <c r="A496" t="s">
        <v>573</v>
      </c>
      <c r="B496" s="2">
        <v>45534</v>
      </c>
      <c r="C496" t="s">
        <v>51</v>
      </c>
      <c r="D496" t="s">
        <v>52</v>
      </c>
      <c r="E496" t="s">
        <v>26</v>
      </c>
      <c r="F496" s="5">
        <v>3</v>
      </c>
      <c r="G496" s="5">
        <v>1</v>
      </c>
      <c r="H496" s="5">
        <v>3732</v>
      </c>
      <c r="I496" s="5">
        <v>3</v>
      </c>
      <c r="J496" s="5">
        <v>3732</v>
      </c>
      <c r="K496" t="s">
        <v>33</v>
      </c>
      <c r="L496" t="s">
        <v>40</v>
      </c>
      <c r="M496" t="s">
        <v>60</v>
      </c>
      <c r="N496" t="s">
        <v>90</v>
      </c>
      <c r="O496" t="s">
        <v>43</v>
      </c>
      <c r="P496" t="s">
        <v>18</v>
      </c>
      <c r="Q496">
        <f>Table1[[#This Row],[Course_Fee_AED]]-Table1[[#This Row],[Amount_Paid_AED]]</f>
        <v>0</v>
      </c>
      <c r="R496">
        <f>Table1[[#This Row],[Course_Fee_AED]]-Table1[[#This Row],[pending Revenue]]</f>
        <v>3732</v>
      </c>
    </row>
    <row r="497" spans="1:18" x14ac:dyDescent="0.25">
      <c r="A497" t="s">
        <v>574</v>
      </c>
      <c r="B497" s="2">
        <v>45552</v>
      </c>
      <c r="C497" t="s">
        <v>92</v>
      </c>
      <c r="D497" t="s">
        <v>93</v>
      </c>
      <c r="E497" t="s">
        <v>17</v>
      </c>
      <c r="F497" s="5">
        <v>6</v>
      </c>
      <c r="G497" s="5">
        <v>1</v>
      </c>
      <c r="H497" s="5">
        <v>6531</v>
      </c>
      <c r="I497" s="5">
        <v>2</v>
      </c>
      <c r="J497" s="5">
        <v>4354</v>
      </c>
      <c r="K497" t="s">
        <v>18</v>
      </c>
      <c r="L497" t="s">
        <v>19</v>
      </c>
      <c r="M497" t="s">
        <v>63</v>
      </c>
      <c r="N497" t="s">
        <v>70</v>
      </c>
      <c r="O497" t="s">
        <v>29</v>
      </c>
      <c r="P497" t="s">
        <v>18</v>
      </c>
      <c r="Q497">
        <f>Table1[[#This Row],[Course_Fee_AED]]-Table1[[#This Row],[Amount_Paid_AED]]</f>
        <v>2177</v>
      </c>
      <c r="R497">
        <f>Table1[[#This Row],[Course_Fee_AED]]-Table1[[#This Row],[pending Revenue]]</f>
        <v>4354</v>
      </c>
    </row>
    <row r="498" spans="1:18" x14ac:dyDescent="0.25">
      <c r="A498" t="s">
        <v>575</v>
      </c>
      <c r="B498" s="2">
        <v>45336</v>
      </c>
      <c r="C498" t="s">
        <v>106</v>
      </c>
      <c r="D498" t="s">
        <v>107</v>
      </c>
      <c r="E498" t="s">
        <v>17</v>
      </c>
      <c r="F498" s="5">
        <v>6</v>
      </c>
      <c r="G498" s="5">
        <v>1</v>
      </c>
      <c r="H498" s="5">
        <v>7870</v>
      </c>
      <c r="I498" s="5">
        <v>3</v>
      </c>
      <c r="J498" s="5">
        <v>7869</v>
      </c>
      <c r="K498" t="s">
        <v>18</v>
      </c>
      <c r="L498" t="s">
        <v>57</v>
      </c>
      <c r="M498" t="s">
        <v>20</v>
      </c>
      <c r="N498" t="s">
        <v>73</v>
      </c>
      <c r="O498" t="s">
        <v>71</v>
      </c>
      <c r="P498" t="s">
        <v>18</v>
      </c>
      <c r="Q498">
        <f>Table1[[#This Row],[Course_Fee_AED]]-Table1[[#This Row],[Amount_Paid_AED]]</f>
        <v>1</v>
      </c>
      <c r="R498">
        <f>Table1[[#This Row],[Course_Fee_AED]]-Table1[[#This Row],[pending Revenue]]</f>
        <v>7869</v>
      </c>
    </row>
    <row r="499" spans="1:18" x14ac:dyDescent="0.25">
      <c r="A499" t="s">
        <v>576</v>
      </c>
      <c r="B499" s="2">
        <v>45641</v>
      </c>
      <c r="C499" t="s">
        <v>45</v>
      </c>
      <c r="D499" t="s">
        <v>46</v>
      </c>
      <c r="E499" t="s">
        <v>26</v>
      </c>
      <c r="F499" s="5">
        <v>3</v>
      </c>
      <c r="G499" s="5">
        <v>1</v>
      </c>
      <c r="H499" s="5">
        <v>6452</v>
      </c>
      <c r="I499" s="5">
        <v>1</v>
      </c>
      <c r="J499" s="5">
        <v>2150</v>
      </c>
      <c r="K499" t="s">
        <v>18</v>
      </c>
      <c r="L499" t="s">
        <v>40</v>
      </c>
      <c r="M499" t="s">
        <v>47</v>
      </c>
      <c r="N499" t="s">
        <v>73</v>
      </c>
      <c r="O499" t="s">
        <v>29</v>
      </c>
      <c r="P499" t="s">
        <v>18</v>
      </c>
      <c r="Q499">
        <f>Table1[[#This Row],[Course_Fee_AED]]-Table1[[#This Row],[Amount_Paid_AED]]</f>
        <v>4302</v>
      </c>
      <c r="R499">
        <f>Table1[[#This Row],[Course_Fee_AED]]-Table1[[#This Row],[pending Revenue]]</f>
        <v>2150</v>
      </c>
    </row>
    <row r="500" spans="1:18" x14ac:dyDescent="0.25">
      <c r="A500" t="s">
        <v>577</v>
      </c>
      <c r="B500" s="2">
        <v>45550</v>
      </c>
      <c r="C500" t="s">
        <v>106</v>
      </c>
      <c r="D500" t="s">
        <v>107</v>
      </c>
      <c r="E500" t="s">
        <v>17</v>
      </c>
      <c r="F500" s="5">
        <v>6</v>
      </c>
      <c r="G500" s="5">
        <v>1</v>
      </c>
      <c r="H500" s="5">
        <v>7735</v>
      </c>
      <c r="I500" s="5">
        <v>3</v>
      </c>
      <c r="J500" s="5">
        <v>7734</v>
      </c>
      <c r="K500" t="s">
        <v>18</v>
      </c>
      <c r="L500" t="s">
        <v>19</v>
      </c>
      <c r="M500" t="s">
        <v>63</v>
      </c>
      <c r="N500" t="s">
        <v>48</v>
      </c>
      <c r="O500" t="s">
        <v>58</v>
      </c>
      <c r="P500" t="s">
        <v>18</v>
      </c>
      <c r="Q500">
        <f>Table1[[#This Row],[Course_Fee_AED]]-Table1[[#This Row],[Amount_Paid_AED]]</f>
        <v>1</v>
      </c>
      <c r="R500">
        <f>Table1[[#This Row],[Course_Fee_AED]]-Table1[[#This Row],[pending Revenue]]</f>
        <v>7734</v>
      </c>
    </row>
    <row r="501" spans="1:18" x14ac:dyDescent="0.25">
      <c r="A501" t="s">
        <v>578</v>
      </c>
      <c r="B501" s="2">
        <v>45536</v>
      </c>
      <c r="C501" t="s">
        <v>51</v>
      </c>
      <c r="D501" t="s">
        <v>52</v>
      </c>
      <c r="E501" t="s">
        <v>17</v>
      </c>
      <c r="F501" s="5">
        <v>6</v>
      </c>
      <c r="G501" s="5">
        <v>1</v>
      </c>
      <c r="H501" s="5">
        <v>4367</v>
      </c>
      <c r="I501" s="5">
        <v>1</v>
      </c>
      <c r="J501" s="5">
        <v>1455</v>
      </c>
      <c r="K501" t="s">
        <v>18</v>
      </c>
      <c r="L501" t="s">
        <v>40</v>
      </c>
      <c r="M501" t="s">
        <v>41</v>
      </c>
      <c r="N501" t="s">
        <v>21</v>
      </c>
      <c r="O501" t="s">
        <v>71</v>
      </c>
      <c r="P501" t="s">
        <v>18</v>
      </c>
      <c r="Q501">
        <f>Table1[[#This Row],[Course_Fee_AED]]-Table1[[#This Row],[Amount_Paid_AED]]</f>
        <v>2912</v>
      </c>
      <c r="R501">
        <f>Table1[[#This Row],[Course_Fee_AED]]-Table1[[#This Row],[pending Revenue]]</f>
        <v>1455</v>
      </c>
    </row>
    <row r="502" spans="1:18" x14ac:dyDescent="0.25">
      <c r="A502" t="s">
        <v>579</v>
      </c>
      <c r="B502" s="2">
        <v>45419</v>
      </c>
      <c r="C502" t="s">
        <v>106</v>
      </c>
      <c r="D502" t="s">
        <v>107</v>
      </c>
      <c r="E502" t="s">
        <v>26</v>
      </c>
      <c r="F502" s="5">
        <v>3</v>
      </c>
      <c r="G502" s="5">
        <v>1</v>
      </c>
      <c r="H502" s="5">
        <v>8707</v>
      </c>
      <c r="I502" s="5">
        <v>3</v>
      </c>
      <c r="J502" s="5">
        <v>8706</v>
      </c>
      <c r="K502" t="s">
        <v>18</v>
      </c>
      <c r="L502" t="s">
        <v>40</v>
      </c>
      <c r="M502" t="s">
        <v>27</v>
      </c>
      <c r="N502" t="s">
        <v>48</v>
      </c>
      <c r="O502" t="s">
        <v>35</v>
      </c>
      <c r="P502" t="s">
        <v>18</v>
      </c>
      <c r="Q502">
        <f>Table1[[#This Row],[Course_Fee_AED]]-Table1[[#This Row],[Amount_Paid_AED]]</f>
        <v>1</v>
      </c>
      <c r="R502">
        <f>Table1[[#This Row],[Course_Fee_AED]]-Table1[[#This Row],[pending Revenue]]</f>
        <v>8706</v>
      </c>
    </row>
    <row r="503" spans="1:18" x14ac:dyDescent="0.25">
      <c r="A503" t="s">
        <v>580</v>
      </c>
      <c r="B503" s="2">
        <v>45648</v>
      </c>
      <c r="C503" t="s">
        <v>55</v>
      </c>
      <c r="D503" t="s">
        <v>56</v>
      </c>
      <c r="E503" t="s">
        <v>26</v>
      </c>
      <c r="F503" s="5">
        <v>3</v>
      </c>
      <c r="G503" s="5">
        <v>1</v>
      </c>
      <c r="H503" s="5">
        <v>9149</v>
      </c>
      <c r="I503" s="5">
        <v>2</v>
      </c>
      <c r="J503" s="5">
        <v>6098</v>
      </c>
      <c r="K503" t="s">
        <v>18</v>
      </c>
      <c r="L503" t="s">
        <v>40</v>
      </c>
      <c r="M503" t="s">
        <v>27</v>
      </c>
      <c r="N503" t="s">
        <v>154</v>
      </c>
      <c r="O503" t="s">
        <v>58</v>
      </c>
      <c r="P503" t="s">
        <v>18</v>
      </c>
      <c r="Q503">
        <f>Table1[[#This Row],[Course_Fee_AED]]-Table1[[#This Row],[Amount_Paid_AED]]</f>
        <v>3051</v>
      </c>
      <c r="R503">
        <f>Table1[[#This Row],[Course_Fee_AED]]-Table1[[#This Row],[pending Revenue]]</f>
        <v>6098</v>
      </c>
    </row>
    <row r="504" spans="1:18" x14ac:dyDescent="0.25">
      <c r="A504" t="s">
        <v>581</v>
      </c>
      <c r="B504" s="2">
        <v>45315</v>
      </c>
      <c r="C504" t="s">
        <v>15</v>
      </c>
      <c r="D504" t="s">
        <v>16</v>
      </c>
      <c r="E504" t="s">
        <v>17</v>
      </c>
      <c r="F504" s="5">
        <v>6</v>
      </c>
      <c r="G504" s="5">
        <v>1</v>
      </c>
      <c r="H504" s="5">
        <v>7509</v>
      </c>
      <c r="I504" s="5">
        <v>1</v>
      </c>
      <c r="J504" s="5">
        <v>2503</v>
      </c>
      <c r="K504" t="s">
        <v>18</v>
      </c>
      <c r="L504" t="s">
        <v>40</v>
      </c>
      <c r="M504" t="s">
        <v>60</v>
      </c>
      <c r="N504" t="s">
        <v>86</v>
      </c>
      <c r="O504" t="s">
        <v>87</v>
      </c>
      <c r="P504" t="s">
        <v>18</v>
      </c>
      <c r="Q504">
        <f>Table1[[#This Row],[Course_Fee_AED]]-Table1[[#This Row],[Amount_Paid_AED]]</f>
        <v>5006</v>
      </c>
      <c r="R504">
        <f>Table1[[#This Row],[Course_Fee_AED]]-Table1[[#This Row],[pending Revenue]]</f>
        <v>2503</v>
      </c>
    </row>
    <row r="505" spans="1:18" x14ac:dyDescent="0.25">
      <c r="A505" t="s">
        <v>582</v>
      </c>
      <c r="B505" s="2">
        <v>45522</v>
      </c>
      <c r="C505" t="s">
        <v>92</v>
      </c>
      <c r="D505" t="s">
        <v>93</v>
      </c>
      <c r="E505" t="s">
        <v>17</v>
      </c>
      <c r="F505" s="5">
        <v>6</v>
      </c>
      <c r="G505" s="5">
        <v>1</v>
      </c>
      <c r="H505" s="5">
        <v>7575</v>
      </c>
      <c r="I505" s="5">
        <v>3</v>
      </c>
      <c r="J505" s="5">
        <v>7575</v>
      </c>
      <c r="K505" t="s">
        <v>33</v>
      </c>
      <c r="L505" t="s">
        <v>19</v>
      </c>
      <c r="M505" t="s">
        <v>41</v>
      </c>
      <c r="N505" t="s">
        <v>95</v>
      </c>
      <c r="O505" t="s">
        <v>71</v>
      </c>
      <c r="P505" t="s">
        <v>36</v>
      </c>
      <c r="Q505">
        <f>Table1[[#This Row],[Course_Fee_AED]]-Table1[[#This Row],[Amount_Paid_AED]]</f>
        <v>0</v>
      </c>
      <c r="R505">
        <f>Table1[[#This Row],[Course_Fee_AED]]-Table1[[#This Row],[pending Revenue]]</f>
        <v>7575</v>
      </c>
    </row>
    <row r="506" spans="1:18" x14ac:dyDescent="0.25">
      <c r="A506" t="s">
        <v>583</v>
      </c>
      <c r="B506" s="2">
        <v>45553</v>
      </c>
      <c r="C506" t="s">
        <v>38</v>
      </c>
      <c r="D506" t="s">
        <v>39</v>
      </c>
      <c r="E506" t="s">
        <v>17</v>
      </c>
      <c r="F506" s="5">
        <v>6</v>
      </c>
      <c r="G506" s="5">
        <v>1</v>
      </c>
      <c r="H506" s="5">
        <v>6786</v>
      </c>
      <c r="I506" s="5">
        <v>3</v>
      </c>
      <c r="J506" s="5">
        <v>6786</v>
      </c>
      <c r="K506" t="s">
        <v>33</v>
      </c>
      <c r="L506" t="s">
        <v>19</v>
      </c>
      <c r="M506" t="s">
        <v>41</v>
      </c>
      <c r="N506" t="s">
        <v>90</v>
      </c>
      <c r="O506" t="s">
        <v>64</v>
      </c>
      <c r="P506" t="s">
        <v>36</v>
      </c>
      <c r="Q506">
        <f>Table1[[#This Row],[Course_Fee_AED]]-Table1[[#This Row],[Amount_Paid_AED]]</f>
        <v>0</v>
      </c>
      <c r="R506">
        <f>Table1[[#This Row],[Course_Fee_AED]]-Table1[[#This Row],[pending Revenue]]</f>
        <v>6786</v>
      </c>
    </row>
    <row r="507" spans="1:18" x14ac:dyDescent="0.25">
      <c r="A507" t="s">
        <v>584</v>
      </c>
      <c r="B507" s="2">
        <v>45385</v>
      </c>
      <c r="C507" t="s">
        <v>106</v>
      </c>
      <c r="D507" t="s">
        <v>107</v>
      </c>
      <c r="E507" t="s">
        <v>17</v>
      </c>
      <c r="F507" s="5">
        <v>6</v>
      </c>
      <c r="G507" s="5">
        <v>1</v>
      </c>
      <c r="H507" s="5">
        <v>7135</v>
      </c>
      <c r="I507" s="5">
        <v>2</v>
      </c>
      <c r="J507" s="5">
        <v>4756</v>
      </c>
      <c r="K507" t="s">
        <v>18</v>
      </c>
      <c r="L507" t="s">
        <v>40</v>
      </c>
      <c r="M507" t="s">
        <v>20</v>
      </c>
      <c r="N507" t="s">
        <v>48</v>
      </c>
      <c r="O507" t="s">
        <v>87</v>
      </c>
      <c r="P507" t="s">
        <v>36</v>
      </c>
      <c r="Q507">
        <f>Table1[[#This Row],[Course_Fee_AED]]-Table1[[#This Row],[Amount_Paid_AED]]</f>
        <v>2379</v>
      </c>
      <c r="R507">
        <f>Table1[[#This Row],[Course_Fee_AED]]-Table1[[#This Row],[pending Revenue]]</f>
        <v>4756</v>
      </c>
    </row>
    <row r="508" spans="1:18" x14ac:dyDescent="0.25">
      <c r="A508" t="s">
        <v>585</v>
      </c>
      <c r="B508" s="2">
        <v>45340</v>
      </c>
      <c r="C508" t="s">
        <v>38</v>
      </c>
      <c r="D508" t="s">
        <v>39</v>
      </c>
      <c r="E508" t="s">
        <v>26</v>
      </c>
      <c r="F508" s="5">
        <v>3</v>
      </c>
      <c r="G508" s="5">
        <v>1</v>
      </c>
      <c r="H508" s="5">
        <v>6747</v>
      </c>
      <c r="I508" s="5">
        <v>2</v>
      </c>
      <c r="J508" s="5">
        <v>4498</v>
      </c>
      <c r="K508" t="s">
        <v>18</v>
      </c>
      <c r="L508" t="s">
        <v>40</v>
      </c>
      <c r="M508" t="s">
        <v>41</v>
      </c>
      <c r="N508" t="s">
        <v>28</v>
      </c>
      <c r="O508" t="s">
        <v>43</v>
      </c>
      <c r="P508" t="s">
        <v>36</v>
      </c>
      <c r="Q508">
        <f>Table1[[#This Row],[Course_Fee_AED]]-Table1[[#This Row],[Amount_Paid_AED]]</f>
        <v>2249</v>
      </c>
      <c r="R508">
        <f>Table1[[#This Row],[Course_Fee_AED]]-Table1[[#This Row],[pending Revenue]]</f>
        <v>4498</v>
      </c>
    </row>
    <row r="509" spans="1:18" x14ac:dyDescent="0.25">
      <c r="A509" t="s">
        <v>586</v>
      </c>
      <c r="B509" s="2">
        <v>45532</v>
      </c>
      <c r="C509" t="s">
        <v>45</v>
      </c>
      <c r="D509" t="s">
        <v>46</v>
      </c>
      <c r="E509" t="s">
        <v>26</v>
      </c>
      <c r="F509" s="5">
        <v>3</v>
      </c>
      <c r="G509" s="5">
        <v>1</v>
      </c>
      <c r="H509" s="5">
        <v>4408</v>
      </c>
      <c r="I509" s="5">
        <v>1</v>
      </c>
      <c r="J509" s="5">
        <v>1469</v>
      </c>
      <c r="K509" t="s">
        <v>18</v>
      </c>
      <c r="L509" t="s">
        <v>19</v>
      </c>
      <c r="M509" t="s">
        <v>60</v>
      </c>
      <c r="N509" t="s">
        <v>95</v>
      </c>
      <c r="O509" t="s">
        <v>29</v>
      </c>
      <c r="P509" t="s">
        <v>18</v>
      </c>
      <c r="Q509">
        <f>Table1[[#This Row],[Course_Fee_AED]]-Table1[[#This Row],[Amount_Paid_AED]]</f>
        <v>2939</v>
      </c>
      <c r="R509">
        <f>Table1[[#This Row],[Course_Fee_AED]]-Table1[[#This Row],[pending Revenue]]</f>
        <v>1469</v>
      </c>
    </row>
    <row r="510" spans="1:18" x14ac:dyDescent="0.25">
      <c r="A510" t="s">
        <v>587</v>
      </c>
      <c r="B510" s="2">
        <v>45310</v>
      </c>
      <c r="C510" t="s">
        <v>75</v>
      </c>
      <c r="D510" t="s">
        <v>76</v>
      </c>
      <c r="E510" t="s">
        <v>26</v>
      </c>
      <c r="F510" s="5">
        <v>3</v>
      </c>
      <c r="G510" s="5">
        <v>1</v>
      </c>
      <c r="H510" s="5">
        <v>12744</v>
      </c>
      <c r="I510" s="5">
        <v>3</v>
      </c>
      <c r="J510" s="5">
        <v>12744</v>
      </c>
      <c r="K510" t="s">
        <v>33</v>
      </c>
      <c r="L510" t="s">
        <v>57</v>
      </c>
      <c r="M510" t="s">
        <v>63</v>
      </c>
      <c r="N510" t="s">
        <v>21</v>
      </c>
      <c r="O510" t="s">
        <v>29</v>
      </c>
      <c r="P510" t="s">
        <v>18</v>
      </c>
      <c r="Q510">
        <f>Table1[[#This Row],[Course_Fee_AED]]-Table1[[#This Row],[Amount_Paid_AED]]</f>
        <v>0</v>
      </c>
      <c r="R510">
        <f>Table1[[#This Row],[Course_Fee_AED]]-Table1[[#This Row],[pending Revenue]]</f>
        <v>12744</v>
      </c>
    </row>
    <row r="511" spans="1:18" x14ac:dyDescent="0.25">
      <c r="A511" t="s">
        <v>588</v>
      </c>
      <c r="B511" s="2">
        <v>45600</v>
      </c>
      <c r="C511" t="s">
        <v>82</v>
      </c>
      <c r="D511" t="s">
        <v>83</v>
      </c>
      <c r="E511" t="s">
        <v>17</v>
      </c>
      <c r="F511" s="5">
        <v>6</v>
      </c>
      <c r="G511" s="5">
        <v>1</v>
      </c>
      <c r="H511" s="5">
        <v>9327</v>
      </c>
      <c r="I511" s="5">
        <v>1</v>
      </c>
      <c r="J511" s="5">
        <v>3109</v>
      </c>
      <c r="K511" t="s">
        <v>18</v>
      </c>
      <c r="L511" t="s">
        <v>57</v>
      </c>
      <c r="M511" t="s">
        <v>41</v>
      </c>
      <c r="N511" t="s">
        <v>154</v>
      </c>
      <c r="O511" t="s">
        <v>64</v>
      </c>
      <c r="P511" t="s">
        <v>18</v>
      </c>
      <c r="Q511">
        <f>Table1[[#This Row],[Course_Fee_AED]]-Table1[[#This Row],[Amount_Paid_AED]]</f>
        <v>6218</v>
      </c>
      <c r="R511">
        <f>Table1[[#This Row],[Course_Fee_AED]]-Table1[[#This Row],[pending Revenue]]</f>
        <v>3109</v>
      </c>
    </row>
    <row r="512" spans="1:18" x14ac:dyDescent="0.25">
      <c r="A512" t="s">
        <v>589</v>
      </c>
      <c r="B512" s="2">
        <v>45323</v>
      </c>
      <c r="C512" t="s">
        <v>66</v>
      </c>
      <c r="D512" t="s">
        <v>56</v>
      </c>
      <c r="E512" t="s">
        <v>26</v>
      </c>
      <c r="F512" s="5">
        <v>3</v>
      </c>
      <c r="G512" s="5">
        <v>1</v>
      </c>
      <c r="H512" s="5">
        <v>7931</v>
      </c>
      <c r="I512" s="5">
        <v>1</v>
      </c>
      <c r="J512" s="5">
        <v>2643</v>
      </c>
      <c r="K512" t="s">
        <v>18</v>
      </c>
      <c r="L512" t="s">
        <v>40</v>
      </c>
      <c r="M512" t="s">
        <v>47</v>
      </c>
      <c r="N512" t="s">
        <v>86</v>
      </c>
      <c r="O512" t="s">
        <v>87</v>
      </c>
      <c r="P512" t="s">
        <v>36</v>
      </c>
      <c r="Q512">
        <f>Table1[[#This Row],[Course_Fee_AED]]-Table1[[#This Row],[Amount_Paid_AED]]</f>
        <v>5288</v>
      </c>
      <c r="R512">
        <f>Table1[[#This Row],[Course_Fee_AED]]-Table1[[#This Row],[pending Revenue]]</f>
        <v>2643</v>
      </c>
    </row>
    <row r="513" spans="1:18" x14ac:dyDescent="0.25">
      <c r="A513" t="s">
        <v>590</v>
      </c>
      <c r="B513" s="2">
        <v>45441</v>
      </c>
      <c r="C513" t="s">
        <v>113</v>
      </c>
      <c r="D513" t="s">
        <v>93</v>
      </c>
      <c r="E513" t="s">
        <v>26</v>
      </c>
      <c r="F513" s="5">
        <v>3</v>
      </c>
      <c r="G513" s="5">
        <v>1</v>
      </c>
      <c r="H513" s="5">
        <v>4425</v>
      </c>
      <c r="I513" s="5">
        <v>1</v>
      </c>
      <c r="J513" s="5">
        <v>1475</v>
      </c>
      <c r="K513" t="s">
        <v>18</v>
      </c>
      <c r="L513" t="s">
        <v>40</v>
      </c>
      <c r="M513" t="s">
        <v>20</v>
      </c>
      <c r="N513" t="s">
        <v>154</v>
      </c>
      <c r="O513" t="s">
        <v>58</v>
      </c>
      <c r="P513" t="s">
        <v>36</v>
      </c>
      <c r="Q513">
        <f>Table1[[#This Row],[Course_Fee_AED]]-Table1[[#This Row],[Amount_Paid_AED]]</f>
        <v>2950</v>
      </c>
      <c r="R513">
        <f>Table1[[#This Row],[Course_Fee_AED]]-Table1[[#This Row],[pending Revenue]]</f>
        <v>1475</v>
      </c>
    </row>
    <row r="514" spans="1:18" x14ac:dyDescent="0.25">
      <c r="A514" t="s">
        <v>591</v>
      </c>
      <c r="B514" s="2">
        <v>45386</v>
      </c>
      <c r="C514" t="s">
        <v>51</v>
      </c>
      <c r="D514" t="s">
        <v>52</v>
      </c>
      <c r="E514" t="s">
        <v>17</v>
      </c>
      <c r="F514" s="5">
        <v>6</v>
      </c>
      <c r="G514" s="5">
        <v>1</v>
      </c>
      <c r="H514" s="5">
        <v>5099</v>
      </c>
      <c r="I514" s="5">
        <v>1</v>
      </c>
      <c r="J514" s="5">
        <v>1699</v>
      </c>
      <c r="K514" t="s">
        <v>18</v>
      </c>
      <c r="L514" t="s">
        <v>40</v>
      </c>
      <c r="M514" t="s">
        <v>41</v>
      </c>
      <c r="N514" t="s">
        <v>42</v>
      </c>
      <c r="O514" t="s">
        <v>49</v>
      </c>
      <c r="P514" t="s">
        <v>36</v>
      </c>
      <c r="Q514">
        <f>Table1[[#This Row],[Course_Fee_AED]]-Table1[[#This Row],[Amount_Paid_AED]]</f>
        <v>3400</v>
      </c>
      <c r="R514">
        <f>Table1[[#This Row],[Course_Fee_AED]]-Table1[[#This Row],[pending Revenue]]</f>
        <v>1699</v>
      </c>
    </row>
    <row r="515" spans="1:18" x14ac:dyDescent="0.25">
      <c r="A515" t="s">
        <v>592</v>
      </c>
      <c r="B515" s="2">
        <v>45657</v>
      </c>
      <c r="C515" t="s">
        <v>82</v>
      </c>
      <c r="D515" t="s">
        <v>83</v>
      </c>
      <c r="E515" t="s">
        <v>17</v>
      </c>
      <c r="F515" s="5">
        <v>6</v>
      </c>
      <c r="G515" s="5">
        <v>1</v>
      </c>
      <c r="H515" s="5">
        <v>12029</v>
      </c>
      <c r="I515" s="5">
        <v>2</v>
      </c>
      <c r="J515" s="5">
        <v>8018</v>
      </c>
      <c r="K515" t="s">
        <v>18</v>
      </c>
      <c r="L515" t="s">
        <v>57</v>
      </c>
      <c r="M515" t="s">
        <v>41</v>
      </c>
      <c r="N515" t="s">
        <v>21</v>
      </c>
      <c r="O515" t="s">
        <v>58</v>
      </c>
      <c r="P515" t="s">
        <v>18</v>
      </c>
      <c r="Q515">
        <f>Table1[[#This Row],[Course_Fee_AED]]-Table1[[#This Row],[Amount_Paid_AED]]</f>
        <v>4011</v>
      </c>
      <c r="R515">
        <f>Table1[[#This Row],[Course_Fee_AED]]-Table1[[#This Row],[pending Revenue]]</f>
        <v>8018</v>
      </c>
    </row>
    <row r="516" spans="1:18" x14ac:dyDescent="0.25">
      <c r="A516" t="s">
        <v>593</v>
      </c>
      <c r="B516" s="2">
        <v>45443</v>
      </c>
      <c r="C516" t="s">
        <v>100</v>
      </c>
      <c r="D516" t="s">
        <v>101</v>
      </c>
      <c r="E516" t="s">
        <v>26</v>
      </c>
      <c r="F516" s="5">
        <v>3</v>
      </c>
      <c r="G516" s="5">
        <v>1</v>
      </c>
      <c r="H516" s="5">
        <v>4129</v>
      </c>
      <c r="I516" s="5">
        <v>2</v>
      </c>
      <c r="J516" s="5">
        <v>2752</v>
      </c>
      <c r="K516" t="s">
        <v>18</v>
      </c>
      <c r="L516" t="s">
        <v>57</v>
      </c>
      <c r="M516" t="s">
        <v>47</v>
      </c>
      <c r="N516" t="s">
        <v>42</v>
      </c>
      <c r="O516" t="s">
        <v>29</v>
      </c>
      <c r="P516" t="s">
        <v>36</v>
      </c>
      <c r="Q516">
        <f>Table1[[#This Row],[Course_Fee_AED]]-Table1[[#This Row],[Amount_Paid_AED]]</f>
        <v>1377</v>
      </c>
      <c r="R516">
        <f>Table1[[#This Row],[Course_Fee_AED]]-Table1[[#This Row],[pending Revenue]]</f>
        <v>2752</v>
      </c>
    </row>
    <row r="517" spans="1:18" x14ac:dyDescent="0.25">
      <c r="A517" t="s">
        <v>594</v>
      </c>
      <c r="B517" s="2">
        <v>45600</v>
      </c>
      <c r="C517" t="s">
        <v>55</v>
      </c>
      <c r="D517" t="s">
        <v>56</v>
      </c>
      <c r="E517" t="s">
        <v>17</v>
      </c>
      <c r="F517" s="5">
        <v>6</v>
      </c>
      <c r="G517" s="5">
        <v>1</v>
      </c>
      <c r="H517" s="5">
        <v>7384</v>
      </c>
      <c r="I517" s="5">
        <v>1</v>
      </c>
      <c r="J517" s="5">
        <v>2461</v>
      </c>
      <c r="K517" t="s">
        <v>18</v>
      </c>
      <c r="L517" t="s">
        <v>57</v>
      </c>
      <c r="M517" t="s">
        <v>47</v>
      </c>
      <c r="N517" t="s">
        <v>42</v>
      </c>
      <c r="O517" t="s">
        <v>64</v>
      </c>
      <c r="P517" t="s">
        <v>18</v>
      </c>
      <c r="Q517">
        <f>Table1[[#This Row],[Course_Fee_AED]]-Table1[[#This Row],[Amount_Paid_AED]]</f>
        <v>4923</v>
      </c>
      <c r="R517">
        <f>Table1[[#This Row],[Course_Fee_AED]]-Table1[[#This Row],[pending Revenue]]</f>
        <v>2461</v>
      </c>
    </row>
    <row r="518" spans="1:18" x14ac:dyDescent="0.25">
      <c r="A518" t="s">
        <v>595</v>
      </c>
      <c r="B518" s="2">
        <v>45567</v>
      </c>
      <c r="C518" t="s">
        <v>15</v>
      </c>
      <c r="D518" t="s">
        <v>16</v>
      </c>
      <c r="E518" t="s">
        <v>26</v>
      </c>
      <c r="F518" s="5">
        <v>3</v>
      </c>
      <c r="G518" s="5">
        <v>1</v>
      </c>
      <c r="H518" s="5">
        <v>7791</v>
      </c>
      <c r="I518" s="5">
        <v>3</v>
      </c>
      <c r="J518" s="5">
        <v>7791</v>
      </c>
      <c r="K518" t="s">
        <v>33</v>
      </c>
      <c r="L518" t="s">
        <v>19</v>
      </c>
      <c r="M518" t="s">
        <v>63</v>
      </c>
      <c r="N518" t="s">
        <v>79</v>
      </c>
      <c r="O518" t="s">
        <v>43</v>
      </c>
      <c r="P518" t="s">
        <v>36</v>
      </c>
      <c r="Q518">
        <f>Table1[[#This Row],[Course_Fee_AED]]-Table1[[#This Row],[Amount_Paid_AED]]</f>
        <v>0</v>
      </c>
      <c r="R518">
        <f>Table1[[#This Row],[Course_Fee_AED]]-Table1[[#This Row],[pending Revenue]]</f>
        <v>7791</v>
      </c>
    </row>
    <row r="519" spans="1:18" x14ac:dyDescent="0.25">
      <c r="A519" t="s">
        <v>596</v>
      </c>
      <c r="B519" s="2">
        <v>45408</v>
      </c>
      <c r="C519" t="s">
        <v>24</v>
      </c>
      <c r="D519" t="s">
        <v>25</v>
      </c>
      <c r="E519" t="s">
        <v>26</v>
      </c>
      <c r="F519" s="5">
        <v>3</v>
      </c>
      <c r="G519" s="5">
        <v>1</v>
      </c>
      <c r="H519" s="5">
        <v>6311</v>
      </c>
      <c r="I519" s="5">
        <v>3</v>
      </c>
      <c r="J519" s="5">
        <v>6309</v>
      </c>
      <c r="K519" t="s">
        <v>18</v>
      </c>
      <c r="L519" t="s">
        <v>40</v>
      </c>
      <c r="M519" t="s">
        <v>20</v>
      </c>
      <c r="N519" t="s">
        <v>95</v>
      </c>
      <c r="O519" t="s">
        <v>43</v>
      </c>
      <c r="P519" t="s">
        <v>18</v>
      </c>
      <c r="Q519">
        <f>Table1[[#This Row],[Course_Fee_AED]]-Table1[[#This Row],[Amount_Paid_AED]]</f>
        <v>2</v>
      </c>
      <c r="R519">
        <f>Table1[[#This Row],[Course_Fee_AED]]-Table1[[#This Row],[pending Revenue]]</f>
        <v>6309</v>
      </c>
    </row>
    <row r="520" spans="1:18" x14ac:dyDescent="0.25">
      <c r="A520" t="s">
        <v>597</v>
      </c>
      <c r="B520" s="2">
        <v>45570</v>
      </c>
      <c r="C520" t="s">
        <v>45</v>
      </c>
      <c r="D520" t="s">
        <v>46</v>
      </c>
      <c r="E520" t="s">
        <v>17</v>
      </c>
      <c r="F520" s="5">
        <v>6</v>
      </c>
      <c r="G520" s="5">
        <v>1</v>
      </c>
      <c r="H520" s="5">
        <v>6888</v>
      </c>
      <c r="I520" s="5">
        <v>3</v>
      </c>
      <c r="J520" s="5">
        <v>6888</v>
      </c>
      <c r="K520" t="s">
        <v>33</v>
      </c>
      <c r="L520" t="s">
        <v>19</v>
      </c>
      <c r="M520" t="s">
        <v>47</v>
      </c>
      <c r="N520" t="s">
        <v>21</v>
      </c>
      <c r="O520" t="s">
        <v>35</v>
      </c>
      <c r="P520" t="s">
        <v>18</v>
      </c>
      <c r="Q520">
        <f>Table1[[#This Row],[Course_Fee_AED]]-Table1[[#This Row],[Amount_Paid_AED]]</f>
        <v>0</v>
      </c>
      <c r="R520">
        <f>Table1[[#This Row],[Course_Fee_AED]]-Table1[[#This Row],[pending Revenue]]</f>
        <v>6888</v>
      </c>
    </row>
    <row r="521" spans="1:18" x14ac:dyDescent="0.25">
      <c r="A521" t="s">
        <v>598</v>
      </c>
      <c r="B521" s="2">
        <v>45650</v>
      </c>
      <c r="C521" t="s">
        <v>45</v>
      </c>
      <c r="D521" t="s">
        <v>46</v>
      </c>
      <c r="E521" t="s">
        <v>17</v>
      </c>
      <c r="F521" s="5">
        <v>6</v>
      </c>
      <c r="G521" s="5">
        <v>1</v>
      </c>
      <c r="H521" s="5">
        <v>6255</v>
      </c>
      <c r="I521" s="5">
        <v>1</v>
      </c>
      <c r="J521" s="5">
        <v>2085</v>
      </c>
      <c r="K521" t="s">
        <v>18</v>
      </c>
      <c r="L521" t="s">
        <v>57</v>
      </c>
      <c r="M521" t="s">
        <v>20</v>
      </c>
      <c r="N521" t="s">
        <v>79</v>
      </c>
      <c r="O521" t="s">
        <v>49</v>
      </c>
      <c r="P521" t="s">
        <v>18</v>
      </c>
      <c r="Q521">
        <f>Table1[[#This Row],[Course_Fee_AED]]-Table1[[#This Row],[Amount_Paid_AED]]</f>
        <v>4170</v>
      </c>
      <c r="R521">
        <f>Table1[[#This Row],[Course_Fee_AED]]-Table1[[#This Row],[pending Revenue]]</f>
        <v>2085</v>
      </c>
    </row>
    <row r="522" spans="1:18" x14ac:dyDescent="0.25">
      <c r="A522" t="s">
        <v>599</v>
      </c>
      <c r="B522" s="2">
        <v>45439</v>
      </c>
      <c r="C522" t="s">
        <v>66</v>
      </c>
      <c r="D522" t="s">
        <v>56</v>
      </c>
      <c r="E522" t="s">
        <v>17</v>
      </c>
      <c r="F522" s="5">
        <v>6</v>
      </c>
      <c r="G522" s="5">
        <v>1</v>
      </c>
      <c r="H522" s="5">
        <v>10152</v>
      </c>
      <c r="I522" s="5">
        <v>1</v>
      </c>
      <c r="J522" s="5">
        <v>3384</v>
      </c>
      <c r="K522" t="s">
        <v>18</v>
      </c>
      <c r="L522" t="s">
        <v>57</v>
      </c>
      <c r="M522" t="s">
        <v>41</v>
      </c>
      <c r="N522" t="s">
        <v>79</v>
      </c>
      <c r="O522" t="s">
        <v>35</v>
      </c>
      <c r="P522" t="s">
        <v>36</v>
      </c>
      <c r="Q522">
        <f>Table1[[#This Row],[Course_Fee_AED]]-Table1[[#This Row],[Amount_Paid_AED]]</f>
        <v>6768</v>
      </c>
      <c r="R522">
        <f>Table1[[#This Row],[Course_Fee_AED]]-Table1[[#This Row],[pending Revenue]]</f>
        <v>3384</v>
      </c>
    </row>
    <row r="523" spans="1:18" x14ac:dyDescent="0.25">
      <c r="A523" t="s">
        <v>600</v>
      </c>
      <c r="B523" s="2">
        <v>45297</v>
      </c>
      <c r="C523" t="s">
        <v>66</v>
      </c>
      <c r="D523" t="s">
        <v>56</v>
      </c>
      <c r="E523" t="s">
        <v>26</v>
      </c>
      <c r="F523" s="5">
        <v>3</v>
      </c>
      <c r="G523" s="5">
        <v>1</v>
      </c>
      <c r="H523" s="5">
        <v>8060</v>
      </c>
      <c r="I523" s="5">
        <v>3</v>
      </c>
      <c r="J523" s="5">
        <v>8058</v>
      </c>
      <c r="K523" t="s">
        <v>18</v>
      </c>
      <c r="L523" t="s">
        <v>57</v>
      </c>
      <c r="M523" t="s">
        <v>20</v>
      </c>
      <c r="N523" t="s">
        <v>21</v>
      </c>
      <c r="O523" t="s">
        <v>22</v>
      </c>
      <c r="P523" t="s">
        <v>36</v>
      </c>
      <c r="Q523">
        <f>Table1[[#This Row],[Course_Fee_AED]]-Table1[[#This Row],[Amount_Paid_AED]]</f>
        <v>2</v>
      </c>
      <c r="R523">
        <f>Table1[[#This Row],[Course_Fee_AED]]-Table1[[#This Row],[pending Revenue]]</f>
        <v>8058</v>
      </c>
    </row>
    <row r="524" spans="1:18" x14ac:dyDescent="0.25">
      <c r="A524" t="s">
        <v>601</v>
      </c>
      <c r="B524" s="2">
        <v>45582</v>
      </c>
      <c r="C524" t="s">
        <v>45</v>
      </c>
      <c r="D524" t="s">
        <v>46</v>
      </c>
      <c r="E524" t="s">
        <v>26</v>
      </c>
      <c r="F524" s="5">
        <v>3</v>
      </c>
      <c r="G524" s="5">
        <v>1</v>
      </c>
      <c r="H524" s="5">
        <v>6703</v>
      </c>
      <c r="I524" s="5">
        <v>3</v>
      </c>
      <c r="J524" s="5">
        <v>6702</v>
      </c>
      <c r="K524" t="s">
        <v>18</v>
      </c>
      <c r="L524" t="s">
        <v>57</v>
      </c>
      <c r="M524" t="s">
        <v>60</v>
      </c>
      <c r="N524" t="s">
        <v>86</v>
      </c>
      <c r="O524" t="s">
        <v>58</v>
      </c>
      <c r="P524" t="s">
        <v>36</v>
      </c>
      <c r="Q524">
        <f>Table1[[#This Row],[Course_Fee_AED]]-Table1[[#This Row],[Amount_Paid_AED]]</f>
        <v>1</v>
      </c>
      <c r="R524">
        <f>Table1[[#This Row],[Course_Fee_AED]]-Table1[[#This Row],[pending Revenue]]</f>
        <v>6702</v>
      </c>
    </row>
    <row r="525" spans="1:18" x14ac:dyDescent="0.25">
      <c r="A525" t="s">
        <v>602</v>
      </c>
      <c r="B525" s="2">
        <v>45402</v>
      </c>
      <c r="C525" t="s">
        <v>55</v>
      </c>
      <c r="D525" t="s">
        <v>56</v>
      </c>
      <c r="E525" t="s">
        <v>17</v>
      </c>
      <c r="F525" s="5">
        <v>6</v>
      </c>
      <c r="G525" s="5">
        <v>1</v>
      </c>
      <c r="H525" s="5">
        <v>7527</v>
      </c>
      <c r="I525" s="5">
        <v>1</v>
      </c>
      <c r="J525" s="5">
        <v>2509</v>
      </c>
      <c r="K525" t="s">
        <v>18</v>
      </c>
      <c r="L525" t="s">
        <v>57</v>
      </c>
      <c r="M525" t="s">
        <v>41</v>
      </c>
      <c r="N525" t="s">
        <v>70</v>
      </c>
      <c r="O525" t="s">
        <v>87</v>
      </c>
      <c r="P525" t="s">
        <v>36</v>
      </c>
      <c r="Q525">
        <f>Table1[[#This Row],[Course_Fee_AED]]-Table1[[#This Row],[Amount_Paid_AED]]</f>
        <v>5018</v>
      </c>
      <c r="R525">
        <f>Table1[[#This Row],[Course_Fee_AED]]-Table1[[#This Row],[pending Revenue]]</f>
        <v>2509</v>
      </c>
    </row>
    <row r="526" spans="1:18" x14ac:dyDescent="0.25">
      <c r="A526" t="s">
        <v>603</v>
      </c>
      <c r="B526" s="2">
        <v>45331</v>
      </c>
      <c r="C526" t="s">
        <v>24</v>
      </c>
      <c r="D526" t="s">
        <v>25</v>
      </c>
      <c r="E526" t="s">
        <v>17</v>
      </c>
      <c r="F526" s="5">
        <v>6</v>
      </c>
      <c r="G526" s="5">
        <v>1</v>
      </c>
      <c r="H526" s="5">
        <v>6687</v>
      </c>
      <c r="I526" s="5">
        <v>3</v>
      </c>
      <c r="J526" s="5">
        <v>6687</v>
      </c>
      <c r="K526" t="s">
        <v>33</v>
      </c>
      <c r="L526" t="s">
        <v>40</v>
      </c>
      <c r="M526" t="s">
        <v>20</v>
      </c>
      <c r="N526" t="s">
        <v>61</v>
      </c>
      <c r="O526" t="s">
        <v>43</v>
      </c>
      <c r="P526" t="s">
        <v>36</v>
      </c>
      <c r="Q526">
        <f>Table1[[#This Row],[Course_Fee_AED]]-Table1[[#This Row],[Amount_Paid_AED]]</f>
        <v>0</v>
      </c>
      <c r="R526">
        <f>Table1[[#This Row],[Course_Fee_AED]]-Table1[[#This Row],[pending Revenue]]</f>
        <v>6687</v>
      </c>
    </row>
    <row r="527" spans="1:18" x14ac:dyDescent="0.25">
      <c r="A527" t="s">
        <v>604</v>
      </c>
      <c r="B527" s="2">
        <v>45309</v>
      </c>
      <c r="C527" t="s">
        <v>45</v>
      </c>
      <c r="D527" t="s">
        <v>46</v>
      </c>
      <c r="E527" t="s">
        <v>26</v>
      </c>
      <c r="F527" s="5">
        <v>3</v>
      </c>
      <c r="G527" s="5">
        <v>1</v>
      </c>
      <c r="H527" s="5">
        <v>4463</v>
      </c>
      <c r="I527" s="5">
        <v>1</v>
      </c>
      <c r="J527" s="5">
        <v>1487</v>
      </c>
      <c r="K527" t="s">
        <v>18</v>
      </c>
      <c r="L527" t="s">
        <v>57</v>
      </c>
      <c r="M527" t="s">
        <v>27</v>
      </c>
      <c r="N527" t="s">
        <v>95</v>
      </c>
      <c r="O527" t="s">
        <v>43</v>
      </c>
      <c r="P527" t="s">
        <v>36</v>
      </c>
      <c r="Q527">
        <f>Table1[[#This Row],[Course_Fee_AED]]-Table1[[#This Row],[Amount_Paid_AED]]</f>
        <v>2976</v>
      </c>
      <c r="R527">
        <f>Table1[[#This Row],[Course_Fee_AED]]-Table1[[#This Row],[pending Revenue]]</f>
        <v>1487</v>
      </c>
    </row>
    <row r="528" spans="1:18" x14ac:dyDescent="0.25">
      <c r="A528" t="s">
        <v>605</v>
      </c>
      <c r="B528" s="2">
        <v>45490</v>
      </c>
      <c r="C528" t="s">
        <v>15</v>
      </c>
      <c r="D528" t="s">
        <v>16</v>
      </c>
      <c r="E528" t="s">
        <v>17</v>
      </c>
      <c r="F528" s="5">
        <v>6</v>
      </c>
      <c r="G528" s="5">
        <v>1</v>
      </c>
      <c r="H528" s="5">
        <v>4454</v>
      </c>
      <c r="I528" s="5">
        <v>1</v>
      </c>
      <c r="J528" s="5">
        <v>1484</v>
      </c>
      <c r="K528" t="s">
        <v>18</v>
      </c>
      <c r="L528" t="s">
        <v>19</v>
      </c>
      <c r="M528" t="s">
        <v>47</v>
      </c>
      <c r="N528" t="s">
        <v>154</v>
      </c>
      <c r="O528" t="s">
        <v>71</v>
      </c>
      <c r="P528" t="s">
        <v>36</v>
      </c>
      <c r="Q528">
        <f>Table1[[#This Row],[Course_Fee_AED]]-Table1[[#This Row],[Amount_Paid_AED]]</f>
        <v>2970</v>
      </c>
      <c r="R528">
        <f>Table1[[#This Row],[Course_Fee_AED]]-Table1[[#This Row],[pending Revenue]]</f>
        <v>1484</v>
      </c>
    </row>
    <row r="529" spans="1:18" x14ac:dyDescent="0.25">
      <c r="A529" t="s">
        <v>606</v>
      </c>
      <c r="B529" s="2">
        <v>45642</v>
      </c>
      <c r="C529" t="s">
        <v>75</v>
      </c>
      <c r="D529" t="s">
        <v>76</v>
      </c>
      <c r="E529" t="s">
        <v>26</v>
      </c>
      <c r="F529" s="5">
        <v>3</v>
      </c>
      <c r="G529" s="5">
        <v>1</v>
      </c>
      <c r="H529" s="5">
        <v>9827</v>
      </c>
      <c r="I529" s="5">
        <v>3</v>
      </c>
      <c r="J529" s="5">
        <v>9825</v>
      </c>
      <c r="K529" t="s">
        <v>18</v>
      </c>
      <c r="L529" t="s">
        <v>40</v>
      </c>
      <c r="M529" t="s">
        <v>47</v>
      </c>
      <c r="N529" t="s">
        <v>61</v>
      </c>
      <c r="O529" t="s">
        <v>64</v>
      </c>
      <c r="P529" t="s">
        <v>36</v>
      </c>
      <c r="Q529">
        <f>Table1[[#This Row],[Course_Fee_AED]]-Table1[[#This Row],[Amount_Paid_AED]]</f>
        <v>2</v>
      </c>
      <c r="R529">
        <f>Table1[[#This Row],[Course_Fee_AED]]-Table1[[#This Row],[pending Revenue]]</f>
        <v>9825</v>
      </c>
    </row>
    <row r="530" spans="1:18" x14ac:dyDescent="0.25">
      <c r="A530" t="s">
        <v>607</v>
      </c>
      <c r="B530" s="2">
        <v>45621</v>
      </c>
      <c r="C530" t="s">
        <v>15</v>
      </c>
      <c r="D530" t="s">
        <v>16</v>
      </c>
      <c r="E530" t="s">
        <v>26</v>
      </c>
      <c r="F530" s="5">
        <v>3</v>
      </c>
      <c r="G530" s="5">
        <v>1</v>
      </c>
      <c r="H530" s="5">
        <v>4525</v>
      </c>
      <c r="I530" s="5">
        <v>1</v>
      </c>
      <c r="J530" s="5">
        <v>1508</v>
      </c>
      <c r="K530" t="s">
        <v>18</v>
      </c>
      <c r="L530" t="s">
        <v>57</v>
      </c>
      <c r="M530" t="s">
        <v>60</v>
      </c>
      <c r="N530" t="s">
        <v>48</v>
      </c>
      <c r="O530" t="s">
        <v>58</v>
      </c>
      <c r="P530" t="s">
        <v>18</v>
      </c>
      <c r="Q530">
        <f>Table1[[#This Row],[Course_Fee_AED]]-Table1[[#This Row],[Amount_Paid_AED]]</f>
        <v>3017</v>
      </c>
      <c r="R530">
        <f>Table1[[#This Row],[Course_Fee_AED]]-Table1[[#This Row],[pending Revenue]]</f>
        <v>1508</v>
      </c>
    </row>
    <row r="531" spans="1:18" x14ac:dyDescent="0.25">
      <c r="A531" t="s">
        <v>608</v>
      </c>
      <c r="B531" s="2">
        <v>45469</v>
      </c>
      <c r="C531" t="s">
        <v>31</v>
      </c>
      <c r="D531" t="s">
        <v>32</v>
      </c>
      <c r="E531" t="s">
        <v>26</v>
      </c>
      <c r="F531" s="5">
        <v>3</v>
      </c>
      <c r="G531" s="5">
        <v>1</v>
      </c>
      <c r="H531" s="5">
        <v>6830</v>
      </c>
      <c r="I531" s="5">
        <v>2</v>
      </c>
      <c r="J531" s="5">
        <v>4552</v>
      </c>
      <c r="K531" t="s">
        <v>18</v>
      </c>
      <c r="L531" t="s">
        <v>19</v>
      </c>
      <c r="M531" t="s">
        <v>27</v>
      </c>
      <c r="N531" t="s">
        <v>154</v>
      </c>
      <c r="O531" t="s">
        <v>87</v>
      </c>
      <c r="P531" t="s">
        <v>36</v>
      </c>
      <c r="Q531">
        <f>Table1[[#This Row],[Course_Fee_AED]]-Table1[[#This Row],[Amount_Paid_AED]]</f>
        <v>2278</v>
      </c>
      <c r="R531">
        <f>Table1[[#This Row],[Course_Fee_AED]]-Table1[[#This Row],[pending Revenue]]</f>
        <v>4552</v>
      </c>
    </row>
    <row r="532" spans="1:18" x14ac:dyDescent="0.25">
      <c r="A532" t="s">
        <v>609</v>
      </c>
      <c r="B532" s="2">
        <v>45376</v>
      </c>
      <c r="C532" t="s">
        <v>92</v>
      </c>
      <c r="D532" t="s">
        <v>93</v>
      </c>
      <c r="E532" t="s">
        <v>17</v>
      </c>
      <c r="F532" s="5">
        <v>6</v>
      </c>
      <c r="G532" s="5">
        <v>1</v>
      </c>
      <c r="H532" s="5">
        <v>5283</v>
      </c>
      <c r="I532" s="5">
        <v>1</v>
      </c>
      <c r="J532" s="5">
        <v>1761</v>
      </c>
      <c r="K532" t="s">
        <v>18</v>
      </c>
      <c r="L532" t="s">
        <v>19</v>
      </c>
      <c r="M532" t="s">
        <v>47</v>
      </c>
      <c r="N532" t="s">
        <v>28</v>
      </c>
      <c r="O532" t="s">
        <v>68</v>
      </c>
      <c r="P532" t="s">
        <v>18</v>
      </c>
      <c r="Q532">
        <f>Table1[[#This Row],[Course_Fee_AED]]-Table1[[#This Row],[Amount_Paid_AED]]</f>
        <v>3522</v>
      </c>
      <c r="R532">
        <f>Table1[[#This Row],[Course_Fee_AED]]-Table1[[#This Row],[pending Revenue]]</f>
        <v>1761</v>
      </c>
    </row>
    <row r="533" spans="1:18" x14ac:dyDescent="0.25">
      <c r="A533" t="s">
        <v>610</v>
      </c>
      <c r="B533" s="2">
        <v>45315</v>
      </c>
      <c r="C533" t="s">
        <v>106</v>
      </c>
      <c r="D533" t="s">
        <v>107</v>
      </c>
      <c r="E533" t="s">
        <v>26</v>
      </c>
      <c r="F533" s="5">
        <v>3</v>
      </c>
      <c r="G533" s="5">
        <v>1</v>
      </c>
      <c r="H533" s="5">
        <v>7502</v>
      </c>
      <c r="I533" s="5">
        <v>1</v>
      </c>
      <c r="J533" s="5">
        <v>2500</v>
      </c>
      <c r="K533" t="s">
        <v>18</v>
      </c>
      <c r="L533" t="s">
        <v>19</v>
      </c>
      <c r="M533" t="s">
        <v>41</v>
      </c>
      <c r="N533" t="s">
        <v>53</v>
      </c>
      <c r="O533" t="s">
        <v>35</v>
      </c>
      <c r="P533" t="s">
        <v>36</v>
      </c>
      <c r="Q533">
        <f>Table1[[#This Row],[Course_Fee_AED]]-Table1[[#This Row],[Amount_Paid_AED]]</f>
        <v>5002</v>
      </c>
      <c r="R533">
        <f>Table1[[#This Row],[Course_Fee_AED]]-Table1[[#This Row],[pending Revenue]]</f>
        <v>2500</v>
      </c>
    </row>
    <row r="534" spans="1:18" x14ac:dyDescent="0.25">
      <c r="A534" t="s">
        <v>611</v>
      </c>
      <c r="B534" s="2">
        <v>45631</v>
      </c>
      <c r="C534" t="s">
        <v>51</v>
      </c>
      <c r="D534" t="s">
        <v>52</v>
      </c>
      <c r="E534" t="s">
        <v>17</v>
      </c>
      <c r="F534" s="5">
        <v>6</v>
      </c>
      <c r="G534" s="5">
        <v>1</v>
      </c>
      <c r="H534" s="5">
        <v>5382</v>
      </c>
      <c r="I534" s="5">
        <v>1</v>
      </c>
      <c r="J534" s="5">
        <v>1794</v>
      </c>
      <c r="K534" t="s">
        <v>18</v>
      </c>
      <c r="L534" t="s">
        <v>57</v>
      </c>
      <c r="M534" t="s">
        <v>27</v>
      </c>
      <c r="N534" t="s">
        <v>73</v>
      </c>
      <c r="O534" t="s">
        <v>35</v>
      </c>
      <c r="P534" t="s">
        <v>36</v>
      </c>
      <c r="Q534">
        <f>Table1[[#This Row],[Course_Fee_AED]]-Table1[[#This Row],[Amount_Paid_AED]]</f>
        <v>3588</v>
      </c>
      <c r="R534">
        <f>Table1[[#This Row],[Course_Fee_AED]]-Table1[[#This Row],[pending Revenue]]</f>
        <v>1794</v>
      </c>
    </row>
    <row r="535" spans="1:18" x14ac:dyDescent="0.25">
      <c r="A535" t="s">
        <v>612</v>
      </c>
      <c r="B535" s="2">
        <v>45638</v>
      </c>
      <c r="C535" t="s">
        <v>38</v>
      </c>
      <c r="D535" t="s">
        <v>39</v>
      </c>
      <c r="E535" t="s">
        <v>17</v>
      </c>
      <c r="F535" s="5">
        <v>6</v>
      </c>
      <c r="G535" s="5">
        <v>1</v>
      </c>
      <c r="H535" s="5">
        <v>6103</v>
      </c>
      <c r="I535" s="5">
        <v>1</v>
      </c>
      <c r="J535" s="5">
        <v>2034</v>
      </c>
      <c r="K535" t="s">
        <v>18</v>
      </c>
      <c r="L535" t="s">
        <v>19</v>
      </c>
      <c r="M535" t="s">
        <v>63</v>
      </c>
      <c r="N535" t="s">
        <v>42</v>
      </c>
      <c r="O535" t="s">
        <v>35</v>
      </c>
      <c r="P535" t="s">
        <v>36</v>
      </c>
      <c r="Q535">
        <f>Table1[[#This Row],[Course_Fee_AED]]-Table1[[#This Row],[Amount_Paid_AED]]</f>
        <v>4069</v>
      </c>
      <c r="R535">
        <f>Table1[[#This Row],[Course_Fee_AED]]-Table1[[#This Row],[pending Revenue]]</f>
        <v>2034</v>
      </c>
    </row>
    <row r="536" spans="1:18" x14ac:dyDescent="0.25">
      <c r="A536" t="s">
        <v>613</v>
      </c>
      <c r="B536" s="2">
        <v>45630</v>
      </c>
      <c r="C536" t="s">
        <v>45</v>
      </c>
      <c r="D536" t="s">
        <v>46</v>
      </c>
      <c r="E536" t="s">
        <v>26</v>
      </c>
      <c r="F536" s="5">
        <v>3</v>
      </c>
      <c r="G536" s="5">
        <v>1</v>
      </c>
      <c r="H536" s="5">
        <v>6944</v>
      </c>
      <c r="I536" s="5">
        <v>1</v>
      </c>
      <c r="J536" s="5">
        <v>2314</v>
      </c>
      <c r="K536" t="s">
        <v>18</v>
      </c>
      <c r="L536" t="s">
        <v>19</v>
      </c>
      <c r="M536" t="s">
        <v>41</v>
      </c>
      <c r="N536" t="s">
        <v>70</v>
      </c>
      <c r="O536" t="s">
        <v>49</v>
      </c>
      <c r="P536" t="s">
        <v>18</v>
      </c>
      <c r="Q536">
        <f>Table1[[#This Row],[Course_Fee_AED]]-Table1[[#This Row],[Amount_Paid_AED]]</f>
        <v>4630</v>
      </c>
      <c r="R536">
        <f>Table1[[#This Row],[Course_Fee_AED]]-Table1[[#This Row],[pending Revenue]]</f>
        <v>2314</v>
      </c>
    </row>
    <row r="537" spans="1:18" x14ac:dyDescent="0.25">
      <c r="A537" t="s">
        <v>614</v>
      </c>
      <c r="B537" s="2">
        <v>45556</v>
      </c>
      <c r="C537" t="s">
        <v>38</v>
      </c>
      <c r="D537" t="s">
        <v>39</v>
      </c>
      <c r="E537" t="s">
        <v>26</v>
      </c>
      <c r="F537" s="5">
        <v>3</v>
      </c>
      <c r="G537" s="5">
        <v>1</v>
      </c>
      <c r="H537" s="5">
        <v>4802</v>
      </c>
      <c r="I537" s="5">
        <v>3</v>
      </c>
      <c r="J537" s="5">
        <v>4800</v>
      </c>
      <c r="K537" t="s">
        <v>18</v>
      </c>
      <c r="L537" t="s">
        <v>19</v>
      </c>
      <c r="M537" t="s">
        <v>27</v>
      </c>
      <c r="N537" t="s">
        <v>53</v>
      </c>
      <c r="O537" t="s">
        <v>64</v>
      </c>
      <c r="P537" t="s">
        <v>36</v>
      </c>
      <c r="Q537">
        <f>Table1[[#This Row],[Course_Fee_AED]]-Table1[[#This Row],[Amount_Paid_AED]]</f>
        <v>2</v>
      </c>
      <c r="R537">
        <f>Table1[[#This Row],[Course_Fee_AED]]-Table1[[#This Row],[pending Revenue]]</f>
        <v>4800</v>
      </c>
    </row>
    <row r="538" spans="1:18" x14ac:dyDescent="0.25">
      <c r="A538" t="s">
        <v>615</v>
      </c>
      <c r="B538" s="2">
        <v>45326</v>
      </c>
      <c r="C538" t="s">
        <v>82</v>
      </c>
      <c r="D538" t="s">
        <v>83</v>
      </c>
      <c r="E538" t="s">
        <v>26</v>
      </c>
      <c r="F538" s="5">
        <v>3</v>
      </c>
      <c r="G538" s="5">
        <v>1</v>
      </c>
      <c r="H538" s="5">
        <v>13873</v>
      </c>
      <c r="I538" s="5">
        <v>1</v>
      </c>
      <c r="J538" s="5">
        <v>4624</v>
      </c>
      <c r="K538" t="s">
        <v>18</v>
      </c>
      <c r="L538" t="s">
        <v>57</v>
      </c>
      <c r="M538" t="s">
        <v>41</v>
      </c>
      <c r="N538" t="s">
        <v>70</v>
      </c>
      <c r="O538" t="s">
        <v>35</v>
      </c>
      <c r="P538" t="s">
        <v>18</v>
      </c>
      <c r="Q538">
        <f>Table1[[#This Row],[Course_Fee_AED]]-Table1[[#This Row],[Amount_Paid_AED]]</f>
        <v>9249</v>
      </c>
      <c r="R538">
        <f>Table1[[#This Row],[Course_Fee_AED]]-Table1[[#This Row],[pending Revenue]]</f>
        <v>4624</v>
      </c>
    </row>
    <row r="539" spans="1:18" x14ac:dyDescent="0.25">
      <c r="A539" t="s">
        <v>616</v>
      </c>
      <c r="B539" s="2">
        <v>45560</v>
      </c>
      <c r="C539" t="s">
        <v>55</v>
      </c>
      <c r="D539" t="s">
        <v>56</v>
      </c>
      <c r="E539" t="s">
        <v>26</v>
      </c>
      <c r="F539" s="5">
        <v>3</v>
      </c>
      <c r="G539" s="5">
        <v>1</v>
      </c>
      <c r="H539" s="5">
        <v>11629</v>
      </c>
      <c r="I539" s="5">
        <v>3</v>
      </c>
      <c r="J539" s="5">
        <v>11628</v>
      </c>
      <c r="K539" t="s">
        <v>18</v>
      </c>
      <c r="L539" t="s">
        <v>57</v>
      </c>
      <c r="M539" t="s">
        <v>20</v>
      </c>
      <c r="N539" t="s">
        <v>34</v>
      </c>
      <c r="O539" t="s">
        <v>29</v>
      </c>
      <c r="P539" t="s">
        <v>36</v>
      </c>
      <c r="Q539">
        <f>Table1[[#This Row],[Course_Fee_AED]]-Table1[[#This Row],[Amount_Paid_AED]]</f>
        <v>1</v>
      </c>
      <c r="R539">
        <f>Table1[[#This Row],[Course_Fee_AED]]-Table1[[#This Row],[pending Revenue]]</f>
        <v>11628</v>
      </c>
    </row>
    <row r="540" spans="1:18" x14ac:dyDescent="0.25">
      <c r="A540" t="s">
        <v>617</v>
      </c>
      <c r="B540" s="2">
        <v>45548</v>
      </c>
      <c r="C540" t="s">
        <v>31</v>
      </c>
      <c r="D540" t="s">
        <v>32</v>
      </c>
      <c r="E540" t="s">
        <v>26</v>
      </c>
      <c r="F540" s="5">
        <v>3</v>
      </c>
      <c r="G540" s="5">
        <v>1</v>
      </c>
      <c r="H540" s="5">
        <v>5284</v>
      </c>
      <c r="I540" s="5">
        <v>2</v>
      </c>
      <c r="J540" s="5">
        <v>3522</v>
      </c>
      <c r="K540" t="s">
        <v>18</v>
      </c>
      <c r="L540" t="s">
        <v>57</v>
      </c>
      <c r="M540" t="s">
        <v>60</v>
      </c>
      <c r="N540" t="s">
        <v>61</v>
      </c>
      <c r="O540" t="s">
        <v>64</v>
      </c>
      <c r="P540" t="s">
        <v>36</v>
      </c>
      <c r="Q540">
        <f>Table1[[#This Row],[Course_Fee_AED]]-Table1[[#This Row],[Amount_Paid_AED]]</f>
        <v>1762</v>
      </c>
      <c r="R540">
        <f>Table1[[#This Row],[Course_Fee_AED]]-Table1[[#This Row],[pending Revenue]]</f>
        <v>3522</v>
      </c>
    </row>
    <row r="541" spans="1:18" x14ac:dyDescent="0.25">
      <c r="A541" t="s">
        <v>618</v>
      </c>
      <c r="B541" s="2">
        <v>45540</v>
      </c>
      <c r="C541" t="s">
        <v>15</v>
      </c>
      <c r="D541" t="s">
        <v>16</v>
      </c>
      <c r="E541" t="s">
        <v>17</v>
      </c>
      <c r="F541" s="5">
        <v>6</v>
      </c>
      <c r="G541" s="5">
        <v>1</v>
      </c>
      <c r="H541" s="5">
        <v>4651</v>
      </c>
      <c r="I541" s="5">
        <v>1</v>
      </c>
      <c r="J541" s="5">
        <v>1550</v>
      </c>
      <c r="K541" t="s">
        <v>18</v>
      </c>
      <c r="L541" t="s">
        <v>19</v>
      </c>
      <c r="M541" t="s">
        <v>60</v>
      </c>
      <c r="N541" t="s">
        <v>42</v>
      </c>
      <c r="O541" t="s">
        <v>43</v>
      </c>
      <c r="P541" t="s">
        <v>18</v>
      </c>
      <c r="Q541">
        <f>Table1[[#This Row],[Course_Fee_AED]]-Table1[[#This Row],[Amount_Paid_AED]]</f>
        <v>3101</v>
      </c>
      <c r="R541">
        <f>Table1[[#This Row],[Course_Fee_AED]]-Table1[[#This Row],[pending Revenue]]</f>
        <v>1550</v>
      </c>
    </row>
    <row r="542" spans="1:18" x14ac:dyDescent="0.25">
      <c r="A542" t="s">
        <v>619</v>
      </c>
      <c r="B542" s="2">
        <v>45512</v>
      </c>
      <c r="C542" t="s">
        <v>15</v>
      </c>
      <c r="D542" t="s">
        <v>16</v>
      </c>
      <c r="E542" t="s">
        <v>26</v>
      </c>
      <c r="F542" s="5">
        <v>3</v>
      </c>
      <c r="G542" s="5">
        <v>1</v>
      </c>
      <c r="H542" s="5">
        <v>6423</v>
      </c>
      <c r="I542" s="5">
        <v>3</v>
      </c>
      <c r="J542" s="5">
        <v>6423</v>
      </c>
      <c r="K542" t="s">
        <v>33</v>
      </c>
      <c r="L542" t="s">
        <v>40</v>
      </c>
      <c r="M542" t="s">
        <v>41</v>
      </c>
      <c r="N542" t="s">
        <v>48</v>
      </c>
      <c r="O542" t="s">
        <v>68</v>
      </c>
      <c r="P542" t="s">
        <v>36</v>
      </c>
      <c r="Q542">
        <f>Table1[[#This Row],[Course_Fee_AED]]-Table1[[#This Row],[Amount_Paid_AED]]</f>
        <v>0</v>
      </c>
      <c r="R542">
        <f>Table1[[#This Row],[Course_Fee_AED]]-Table1[[#This Row],[pending Revenue]]</f>
        <v>6423</v>
      </c>
    </row>
    <row r="543" spans="1:18" x14ac:dyDescent="0.25">
      <c r="A543" t="s">
        <v>620</v>
      </c>
      <c r="B543" s="2">
        <v>45504</v>
      </c>
      <c r="C543" t="s">
        <v>82</v>
      </c>
      <c r="D543" t="s">
        <v>83</v>
      </c>
      <c r="E543" t="s">
        <v>26</v>
      </c>
      <c r="F543" s="5">
        <v>3</v>
      </c>
      <c r="G543" s="5">
        <v>1</v>
      </c>
      <c r="H543" s="5">
        <v>9073</v>
      </c>
      <c r="I543" s="5">
        <v>1</v>
      </c>
      <c r="J543" s="5">
        <v>3024</v>
      </c>
      <c r="K543" t="s">
        <v>18</v>
      </c>
      <c r="L543" t="s">
        <v>19</v>
      </c>
      <c r="M543" t="s">
        <v>63</v>
      </c>
      <c r="N543" t="s">
        <v>34</v>
      </c>
      <c r="O543" t="s">
        <v>64</v>
      </c>
      <c r="P543" t="s">
        <v>18</v>
      </c>
      <c r="Q543">
        <f>Table1[[#This Row],[Course_Fee_AED]]-Table1[[#This Row],[Amount_Paid_AED]]</f>
        <v>6049</v>
      </c>
      <c r="R543">
        <f>Table1[[#This Row],[Course_Fee_AED]]-Table1[[#This Row],[pending Revenue]]</f>
        <v>3024</v>
      </c>
    </row>
    <row r="544" spans="1:18" x14ac:dyDescent="0.25">
      <c r="A544" t="s">
        <v>621</v>
      </c>
      <c r="B544" s="2">
        <v>45511</v>
      </c>
      <c r="C544" t="s">
        <v>51</v>
      </c>
      <c r="D544" t="s">
        <v>52</v>
      </c>
      <c r="E544" t="s">
        <v>17</v>
      </c>
      <c r="F544" s="5">
        <v>6</v>
      </c>
      <c r="G544" s="5">
        <v>1</v>
      </c>
      <c r="H544" s="5">
        <v>4267</v>
      </c>
      <c r="I544" s="5">
        <v>3</v>
      </c>
      <c r="J544" s="5">
        <v>4266</v>
      </c>
      <c r="K544" t="s">
        <v>18</v>
      </c>
      <c r="L544" t="s">
        <v>57</v>
      </c>
      <c r="M544" t="s">
        <v>41</v>
      </c>
      <c r="N544" t="s">
        <v>28</v>
      </c>
      <c r="O544" t="s">
        <v>22</v>
      </c>
      <c r="P544" t="s">
        <v>18</v>
      </c>
      <c r="Q544">
        <f>Table1[[#This Row],[Course_Fee_AED]]-Table1[[#This Row],[Amount_Paid_AED]]</f>
        <v>1</v>
      </c>
      <c r="R544">
        <f>Table1[[#This Row],[Course_Fee_AED]]-Table1[[#This Row],[pending Revenue]]</f>
        <v>4266</v>
      </c>
    </row>
    <row r="545" spans="1:18" x14ac:dyDescent="0.25">
      <c r="A545" t="s">
        <v>622</v>
      </c>
      <c r="B545" s="2">
        <v>45448</v>
      </c>
      <c r="C545" t="s">
        <v>75</v>
      </c>
      <c r="D545" t="s">
        <v>76</v>
      </c>
      <c r="E545" t="s">
        <v>17</v>
      </c>
      <c r="F545" s="5">
        <v>6</v>
      </c>
      <c r="G545" s="5">
        <v>1</v>
      </c>
      <c r="H545" s="5">
        <v>12110</v>
      </c>
      <c r="I545" s="5">
        <v>2</v>
      </c>
      <c r="J545" s="5">
        <v>8072</v>
      </c>
      <c r="K545" t="s">
        <v>18</v>
      </c>
      <c r="L545" t="s">
        <v>19</v>
      </c>
      <c r="M545" t="s">
        <v>60</v>
      </c>
      <c r="N545" t="s">
        <v>116</v>
      </c>
      <c r="O545" t="s">
        <v>87</v>
      </c>
      <c r="P545" t="s">
        <v>36</v>
      </c>
      <c r="Q545">
        <f>Table1[[#This Row],[Course_Fee_AED]]-Table1[[#This Row],[Amount_Paid_AED]]</f>
        <v>4038</v>
      </c>
      <c r="R545">
        <f>Table1[[#This Row],[Course_Fee_AED]]-Table1[[#This Row],[pending Revenue]]</f>
        <v>8072</v>
      </c>
    </row>
    <row r="546" spans="1:18" x14ac:dyDescent="0.25">
      <c r="A546" t="s">
        <v>623</v>
      </c>
      <c r="B546" s="2">
        <v>45551</v>
      </c>
      <c r="C546" t="s">
        <v>24</v>
      </c>
      <c r="D546" t="s">
        <v>25</v>
      </c>
      <c r="E546" t="s">
        <v>26</v>
      </c>
      <c r="F546" s="5">
        <v>3</v>
      </c>
      <c r="G546" s="5">
        <v>1</v>
      </c>
      <c r="H546" s="5">
        <v>6943</v>
      </c>
      <c r="I546" s="5">
        <v>2</v>
      </c>
      <c r="J546" s="5">
        <v>4628</v>
      </c>
      <c r="K546" t="s">
        <v>18</v>
      </c>
      <c r="L546" t="s">
        <v>57</v>
      </c>
      <c r="M546" t="s">
        <v>63</v>
      </c>
      <c r="N546" t="s">
        <v>28</v>
      </c>
      <c r="O546" t="s">
        <v>68</v>
      </c>
      <c r="P546" t="s">
        <v>36</v>
      </c>
      <c r="Q546">
        <f>Table1[[#This Row],[Course_Fee_AED]]-Table1[[#This Row],[Amount_Paid_AED]]</f>
        <v>2315</v>
      </c>
      <c r="R546">
        <f>Table1[[#This Row],[Course_Fee_AED]]-Table1[[#This Row],[pending Revenue]]</f>
        <v>4628</v>
      </c>
    </row>
    <row r="547" spans="1:18" x14ac:dyDescent="0.25">
      <c r="A547" t="s">
        <v>624</v>
      </c>
      <c r="B547" s="2">
        <v>45557</v>
      </c>
      <c r="C547" t="s">
        <v>113</v>
      </c>
      <c r="D547" t="s">
        <v>93</v>
      </c>
      <c r="E547" t="s">
        <v>17</v>
      </c>
      <c r="F547" s="5">
        <v>6</v>
      </c>
      <c r="G547" s="5">
        <v>1</v>
      </c>
      <c r="H547" s="5">
        <v>4214</v>
      </c>
      <c r="I547" s="5">
        <v>3</v>
      </c>
      <c r="J547" s="5">
        <v>4212</v>
      </c>
      <c r="K547" t="s">
        <v>18</v>
      </c>
      <c r="L547" t="s">
        <v>19</v>
      </c>
      <c r="M547" t="s">
        <v>47</v>
      </c>
      <c r="N547" t="s">
        <v>86</v>
      </c>
      <c r="O547" t="s">
        <v>71</v>
      </c>
      <c r="P547" t="s">
        <v>18</v>
      </c>
      <c r="Q547">
        <f>Table1[[#This Row],[Course_Fee_AED]]-Table1[[#This Row],[Amount_Paid_AED]]</f>
        <v>2</v>
      </c>
      <c r="R547">
        <f>Table1[[#This Row],[Course_Fee_AED]]-Table1[[#This Row],[pending Revenue]]</f>
        <v>4212</v>
      </c>
    </row>
    <row r="548" spans="1:18" x14ac:dyDescent="0.25">
      <c r="A548" t="s">
        <v>625</v>
      </c>
      <c r="B548" s="2">
        <v>45492</v>
      </c>
      <c r="C548" t="s">
        <v>31</v>
      </c>
      <c r="D548" t="s">
        <v>32</v>
      </c>
      <c r="E548" t="s">
        <v>26</v>
      </c>
      <c r="F548" s="5">
        <v>3</v>
      </c>
      <c r="G548" s="5">
        <v>1</v>
      </c>
      <c r="H548" s="5">
        <v>6684</v>
      </c>
      <c r="I548" s="5">
        <v>1</v>
      </c>
      <c r="J548" s="5">
        <v>2228</v>
      </c>
      <c r="K548" t="s">
        <v>18</v>
      </c>
      <c r="L548" t="s">
        <v>40</v>
      </c>
      <c r="M548" t="s">
        <v>63</v>
      </c>
      <c r="N548" t="s">
        <v>70</v>
      </c>
      <c r="O548" t="s">
        <v>49</v>
      </c>
      <c r="P548" t="s">
        <v>18</v>
      </c>
      <c r="Q548">
        <f>Table1[[#This Row],[Course_Fee_AED]]-Table1[[#This Row],[Amount_Paid_AED]]</f>
        <v>4456</v>
      </c>
      <c r="R548">
        <f>Table1[[#This Row],[Course_Fee_AED]]-Table1[[#This Row],[pending Revenue]]</f>
        <v>2228</v>
      </c>
    </row>
    <row r="549" spans="1:18" x14ac:dyDescent="0.25">
      <c r="A549" t="s">
        <v>626</v>
      </c>
      <c r="B549" s="2">
        <v>45399</v>
      </c>
      <c r="C549" t="s">
        <v>113</v>
      </c>
      <c r="D549" t="s">
        <v>93</v>
      </c>
      <c r="E549" t="s">
        <v>26</v>
      </c>
      <c r="F549" s="5">
        <v>3</v>
      </c>
      <c r="G549" s="5">
        <v>1</v>
      </c>
      <c r="H549" s="5">
        <v>4388</v>
      </c>
      <c r="I549" s="5">
        <v>1</v>
      </c>
      <c r="J549" s="5">
        <v>1462</v>
      </c>
      <c r="K549" t="s">
        <v>18</v>
      </c>
      <c r="L549" t="s">
        <v>19</v>
      </c>
      <c r="M549" t="s">
        <v>41</v>
      </c>
      <c r="N549" t="s">
        <v>21</v>
      </c>
      <c r="O549" t="s">
        <v>29</v>
      </c>
      <c r="P549" t="s">
        <v>18</v>
      </c>
      <c r="Q549">
        <f>Table1[[#This Row],[Course_Fee_AED]]-Table1[[#This Row],[Amount_Paid_AED]]</f>
        <v>2926</v>
      </c>
      <c r="R549">
        <f>Table1[[#This Row],[Course_Fee_AED]]-Table1[[#This Row],[pending Revenue]]</f>
        <v>1462</v>
      </c>
    </row>
    <row r="550" spans="1:18" x14ac:dyDescent="0.25">
      <c r="A550" t="s">
        <v>627</v>
      </c>
      <c r="B550" s="2">
        <v>45491</v>
      </c>
      <c r="C550" t="s">
        <v>38</v>
      </c>
      <c r="D550" t="s">
        <v>39</v>
      </c>
      <c r="E550" t="s">
        <v>17</v>
      </c>
      <c r="F550" s="5">
        <v>6</v>
      </c>
      <c r="G550" s="5">
        <v>1</v>
      </c>
      <c r="H550" s="5">
        <v>6577</v>
      </c>
      <c r="I550" s="5">
        <v>2</v>
      </c>
      <c r="J550" s="5">
        <v>4384</v>
      </c>
      <c r="K550" t="s">
        <v>18</v>
      </c>
      <c r="L550" t="s">
        <v>19</v>
      </c>
      <c r="M550" t="s">
        <v>27</v>
      </c>
      <c r="N550" t="s">
        <v>42</v>
      </c>
      <c r="O550" t="s">
        <v>35</v>
      </c>
      <c r="P550" t="s">
        <v>36</v>
      </c>
      <c r="Q550">
        <f>Table1[[#This Row],[Course_Fee_AED]]-Table1[[#This Row],[Amount_Paid_AED]]</f>
        <v>2193</v>
      </c>
      <c r="R550">
        <f>Table1[[#This Row],[Course_Fee_AED]]-Table1[[#This Row],[pending Revenue]]</f>
        <v>4384</v>
      </c>
    </row>
    <row r="551" spans="1:18" x14ac:dyDescent="0.25">
      <c r="A551" t="s">
        <v>628</v>
      </c>
      <c r="B551" s="2">
        <v>45357</v>
      </c>
      <c r="C551" t="s">
        <v>45</v>
      </c>
      <c r="D551" t="s">
        <v>46</v>
      </c>
      <c r="E551" t="s">
        <v>17</v>
      </c>
      <c r="F551" s="5">
        <v>6</v>
      </c>
      <c r="G551" s="5">
        <v>1</v>
      </c>
      <c r="H551" s="5">
        <v>5630</v>
      </c>
      <c r="I551" s="5">
        <v>3</v>
      </c>
      <c r="J551" s="5">
        <v>5628</v>
      </c>
      <c r="K551" t="s">
        <v>18</v>
      </c>
      <c r="L551" t="s">
        <v>57</v>
      </c>
      <c r="M551" t="s">
        <v>20</v>
      </c>
      <c r="N551" t="s">
        <v>95</v>
      </c>
      <c r="O551" t="s">
        <v>49</v>
      </c>
      <c r="P551" t="s">
        <v>18</v>
      </c>
      <c r="Q551">
        <f>Table1[[#This Row],[Course_Fee_AED]]-Table1[[#This Row],[Amount_Paid_AED]]</f>
        <v>2</v>
      </c>
      <c r="R551">
        <f>Table1[[#This Row],[Course_Fee_AED]]-Table1[[#This Row],[pending Revenue]]</f>
        <v>5628</v>
      </c>
    </row>
    <row r="552" spans="1:18" x14ac:dyDescent="0.25">
      <c r="A552" t="s">
        <v>629</v>
      </c>
      <c r="B552" s="2">
        <v>45554</v>
      </c>
      <c r="C552" t="s">
        <v>92</v>
      </c>
      <c r="D552" t="s">
        <v>93</v>
      </c>
      <c r="E552" t="s">
        <v>26</v>
      </c>
      <c r="F552" s="5">
        <v>3</v>
      </c>
      <c r="G552" s="5">
        <v>1</v>
      </c>
      <c r="H552" s="5">
        <v>7995</v>
      </c>
      <c r="I552" s="5">
        <v>2</v>
      </c>
      <c r="J552" s="5">
        <v>5330</v>
      </c>
      <c r="K552" t="s">
        <v>18</v>
      </c>
      <c r="L552" t="s">
        <v>19</v>
      </c>
      <c r="M552" t="s">
        <v>20</v>
      </c>
      <c r="N552" t="s">
        <v>116</v>
      </c>
      <c r="O552" t="s">
        <v>49</v>
      </c>
      <c r="P552" t="s">
        <v>36</v>
      </c>
      <c r="Q552">
        <f>Table1[[#This Row],[Course_Fee_AED]]-Table1[[#This Row],[Amount_Paid_AED]]</f>
        <v>2665</v>
      </c>
      <c r="R552">
        <f>Table1[[#This Row],[Course_Fee_AED]]-Table1[[#This Row],[pending Revenue]]</f>
        <v>5330</v>
      </c>
    </row>
    <row r="553" spans="1:18" x14ac:dyDescent="0.25">
      <c r="A553" t="s">
        <v>630</v>
      </c>
      <c r="B553" s="2">
        <v>45648</v>
      </c>
      <c r="C553" t="s">
        <v>100</v>
      </c>
      <c r="D553" t="s">
        <v>101</v>
      </c>
      <c r="E553" t="s">
        <v>26</v>
      </c>
      <c r="F553" s="5">
        <v>3</v>
      </c>
      <c r="G553" s="5">
        <v>1</v>
      </c>
      <c r="H553" s="5">
        <v>4897</v>
      </c>
      <c r="I553" s="5">
        <v>2</v>
      </c>
      <c r="J553" s="5">
        <v>3264</v>
      </c>
      <c r="K553" t="s">
        <v>18</v>
      </c>
      <c r="L553" t="s">
        <v>40</v>
      </c>
      <c r="M553" t="s">
        <v>41</v>
      </c>
      <c r="N553" t="s">
        <v>70</v>
      </c>
      <c r="O553" t="s">
        <v>49</v>
      </c>
      <c r="P553" t="s">
        <v>36</v>
      </c>
      <c r="Q553">
        <f>Table1[[#This Row],[Course_Fee_AED]]-Table1[[#This Row],[Amount_Paid_AED]]</f>
        <v>1633</v>
      </c>
      <c r="R553">
        <f>Table1[[#This Row],[Course_Fee_AED]]-Table1[[#This Row],[pending Revenue]]</f>
        <v>3264</v>
      </c>
    </row>
    <row r="554" spans="1:18" x14ac:dyDescent="0.25">
      <c r="A554" t="s">
        <v>631</v>
      </c>
      <c r="B554" s="2">
        <v>45410</v>
      </c>
      <c r="C554" t="s">
        <v>82</v>
      </c>
      <c r="D554" t="s">
        <v>83</v>
      </c>
      <c r="E554" t="s">
        <v>26</v>
      </c>
      <c r="F554" s="5">
        <v>3</v>
      </c>
      <c r="G554" s="5">
        <v>1</v>
      </c>
      <c r="H554" s="5">
        <v>12856</v>
      </c>
      <c r="I554" s="5">
        <v>2</v>
      </c>
      <c r="J554" s="5">
        <v>8570</v>
      </c>
      <c r="K554" t="s">
        <v>18</v>
      </c>
      <c r="L554" t="s">
        <v>19</v>
      </c>
      <c r="M554" t="s">
        <v>41</v>
      </c>
      <c r="N554" t="s">
        <v>28</v>
      </c>
      <c r="O554" t="s">
        <v>58</v>
      </c>
      <c r="P554" t="s">
        <v>18</v>
      </c>
      <c r="Q554">
        <f>Table1[[#This Row],[Course_Fee_AED]]-Table1[[#This Row],[Amount_Paid_AED]]</f>
        <v>4286</v>
      </c>
      <c r="R554">
        <f>Table1[[#This Row],[Course_Fee_AED]]-Table1[[#This Row],[pending Revenue]]</f>
        <v>8570</v>
      </c>
    </row>
    <row r="555" spans="1:18" x14ac:dyDescent="0.25">
      <c r="A555" t="s">
        <v>632</v>
      </c>
      <c r="B555" s="2">
        <v>45450</v>
      </c>
      <c r="C555" t="s">
        <v>38</v>
      </c>
      <c r="D555" t="s">
        <v>39</v>
      </c>
      <c r="E555" t="s">
        <v>26</v>
      </c>
      <c r="F555" s="5">
        <v>3</v>
      </c>
      <c r="G555" s="5">
        <v>1</v>
      </c>
      <c r="H555" s="5">
        <v>6005</v>
      </c>
      <c r="I555" s="5">
        <v>3</v>
      </c>
      <c r="J555" s="5">
        <v>6003</v>
      </c>
      <c r="K555" t="s">
        <v>18</v>
      </c>
      <c r="L555" t="s">
        <v>19</v>
      </c>
      <c r="M555" t="s">
        <v>41</v>
      </c>
      <c r="N555" t="s">
        <v>79</v>
      </c>
      <c r="O555" t="s">
        <v>43</v>
      </c>
      <c r="P555" t="s">
        <v>18</v>
      </c>
      <c r="Q555">
        <f>Table1[[#This Row],[Course_Fee_AED]]-Table1[[#This Row],[Amount_Paid_AED]]</f>
        <v>2</v>
      </c>
      <c r="R555">
        <f>Table1[[#This Row],[Course_Fee_AED]]-Table1[[#This Row],[pending Revenue]]</f>
        <v>6003</v>
      </c>
    </row>
    <row r="556" spans="1:18" x14ac:dyDescent="0.25">
      <c r="A556" t="s">
        <v>633</v>
      </c>
      <c r="B556" s="2">
        <v>45524</v>
      </c>
      <c r="C556" t="s">
        <v>75</v>
      </c>
      <c r="D556" t="s">
        <v>76</v>
      </c>
      <c r="E556" t="s">
        <v>17</v>
      </c>
      <c r="F556" s="5">
        <v>6</v>
      </c>
      <c r="G556" s="5">
        <v>1</v>
      </c>
      <c r="H556" s="5">
        <v>11686</v>
      </c>
      <c r="I556" s="5">
        <v>1</v>
      </c>
      <c r="J556" s="5">
        <v>3895</v>
      </c>
      <c r="K556" t="s">
        <v>18</v>
      </c>
      <c r="L556" t="s">
        <v>19</v>
      </c>
      <c r="M556" t="s">
        <v>63</v>
      </c>
      <c r="N556" t="s">
        <v>86</v>
      </c>
      <c r="O556" t="s">
        <v>43</v>
      </c>
      <c r="P556" t="s">
        <v>18</v>
      </c>
      <c r="Q556">
        <f>Table1[[#This Row],[Course_Fee_AED]]-Table1[[#This Row],[Amount_Paid_AED]]</f>
        <v>7791</v>
      </c>
      <c r="R556">
        <f>Table1[[#This Row],[Course_Fee_AED]]-Table1[[#This Row],[pending Revenue]]</f>
        <v>3895</v>
      </c>
    </row>
    <row r="557" spans="1:18" x14ac:dyDescent="0.25">
      <c r="A557" t="s">
        <v>634</v>
      </c>
      <c r="B557" s="2">
        <v>45398</v>
      </c>
      <c r="C557" t="s">
        <v>66</v>
      </c>
      <c r="D557" t="s">
        <v>56</v>
      </c>
      <c r="E557" t="s">
        <v>17</v>
      </c>
      <c r="F557" s="5">
        <v>6</v>
      </c>
      <c r="G557" s="5">
        <v>1</v>
      </c>
      <c r="H557" s="5">
        <v>8283</v>
      </c>
      <c r="I557" s="5">
        <v>1</v>
      </c>
      <c r="J557" s="5">
        <v>2761</v>
      </c>
      <c r="K557" t="s">
        <v>18</v>
      </c>
      <c r="L557" t="s">
        <v>57</v>
      </c>
      <c r="M557" t="s">
        <v>60</v>
      </c>
      <c r="N557" t="s">
        <v>154</v>
      </c>
      <c r="O557" t="s">
        <v>49</v>
      </c>
      <c r="P557" t="s">
        <v>18</v>
      </c>
      <c r="Q557">
        <f>Table1[[#This Row],[Course_Fee_AED]]-Table1[[#This Row],[Amount_Paid_AED]]</f>
        <v>5522</v>
      </c>
      <c r="R557">
        <f>Table1[[#This Row],[Course_Fee_AED]]-Table1[[#This Row],[pending Revenue]]</f>
        <v>2761</v>
      </c>
    </row>
    <row r="558" spans="1:18" x14ac:dyDescent="0.25">
      <c r="A558" t="s">
        <v>635</v>
      </c>
      <c r="B558" s="2">
        <v>45314</v>
      </c>
      <c r="C558" t="s">
        <v>15</v>
      </c>
      <c r="D558" t="s">
        <v>16</v>
      </c>
      <c r="E558" t="s">
        <v>17</v>
      </c>
      <c r="F558" s="5">
        <v>6</v>
      </c>
      <c r="G558" s="5">
        <v>1</v>
      </c>
      <c r="H558" s="5">
        <v>6302</v>
      </c>
      <c r="I558" s="5">
        <v>1</v>
      </c>
      <c r="J558" s="5">
        <v>2100</v>
      </c>
      <c r="K558" t="s">
        <v>18</v>
      </c>
      <c r="L558" t="s">
        <v>40</v>
      </c>
      <c r="M558" t="s">
        <v>60</v>
      </c>
      <c r="N558" t="s">
        <v>42</v>
      </c>
      <c r="O558" t="s">
        <v>68</v>
      </c>
      <c r="P558" t="s">
        <v>36</v>
      </c>
      <c r="Q558">
        <f>Table1[[#This Row],[Course_Fee_AED]]-Table1[[#This Row],[Amount_Paid_AED]]</f>
        <v>4202</v>
      </c>
      <c r="R558">
        <f>Table1[[#This Row],[Course_Fee_AED]]-Table1[[#This Row],[pending Revenue]]</f>
        <v>2100</v>
      </c>
    </row>
    <row r="559" spans="1:18" x14ac:dyDescent="0.25">
      <c r="A559" t="s">
        <v>636</v>
      </c>
      <c r="B559" s="2">
        <v>45627</v>
      </c>
      <c r="C559" t="s">
        <v>113</v>
      </c>
      <c r="D559" t="s">
        <v>93</v>
      </c>
      <c r="E559" t="s">
        <v>26</v>
      </c>
      <c r="F559" s="5">
        <v>3</v>
      </c>
      <c r="G559" s="5">
        <v>1</v>
      </c>
      <c r="H559" s="5">
        <v>3687</v>
      </c>
      <c r="I559" s="5">
        <v>1</v>
      </c>
      <c r="J559" s="5">
        <v>1229</v>
      </c>
      <c r="K559" t="s">
        <v>18</v>
      </c>
      <c r="L559" t="s">
        <v>57</v>
      </c>
      <c r="M559" t="s">
        <v>41</v>
      </c>
      <c r="N559" t="s">
        <v>48</v>
      </c>
      <c r="O559" t="s">
        <v>29</v>
      </c>
      <c r="P559" t="s">
        <v>18</v>
      </c>
      <c r="Q559">
        <f>Table1[[#This Row],[Course_Fee_AED]]-Table1[[#This Row],[Amount_Paid_AED]]</f>
        <v>2458</v>
      </c>
      <c r="R559">
        <f>Table1[[#This Row],[Course_Fee_AED]]-Table1[[#This Row],[pending Revenue]]</f>
        <v>1229</v>
      </c>
    </row>
    <row r="560" spans="1:18" x14ac:dyDescent="0.25">
      <c r="A560" t="s">
        <v>637</v>
      </c>
      <c r="B560" s="2">
        <v>45584</v>
      </c>
      <c r="C560" t="s">
        <v>31</v>
      </c>
      <c r="D560" t="s">
        <v>32</v>
      </c>
      <c r="E560" t="s">
        <v>26</v>
      </c>
      <c r="F560" s="5">
        <v>3</v>
      </c>
      <c r="G560" s="5">
        <v>1</v>
      </c>
      <c r="H560" s="5">
        <v>5028</v>
      </c>
      <c r="I560" s="5">
        <v>1</v>
      </c>
      <c r="J560" s="5">
        <v>1676</v>
      </c>
      <c r="K560" t="s">
        <v>18</v>
      </c>
      <c r="L560" t="s">
        <v>57</v>
      </c>
      <c r="M560" t="s">
        <v>63</v>
      </c>
      <c r="N560" t="s">
        <v>90</v>
      </c>
      <c r="O560" t="s">
        <v>68</v>
      </c>
      <c r="P560" t="s">
        <v>36</v>
      </c>
      <c r="Q560">
        <f>Table1[[#This Row],[Course_Fee_AED]]-Table1[[#This Row],[Amount_Paid_AED]]</f>
        <v>3352</v>
      </c>
      <c r="R560">
        <f>Table1[[#This Row],[Course_Fee_AED]]-Table1[[#This Row],[pending Revenue]]</f>
        <v>1676</v>
      </c>
    </row>
    <row r="561" spans="1:18" x14ac:dyDescent="0.25">
      <c r="A561" t="s">
        <v>638</v>
      </c>
      <c r="B561" s="2">
        <v>45575</v>
      </c>
      <c r="C561" t="s">
        <v>92</v>
      </c>
      <c r="D561" t="s">
        <v>93</v>
      </c>
      <c r="E561" t="s">
        <v>26</v>
      </c>
      <c r="F561" s="5">
        <v>3</v>
      </c>
      <c r="G561" s="5">
        <v>1</v>
      </c>
      <c r="H561" s="5">
        <v>4834</v>
      </c>
      <c r="I561" s="5">
        <v>3</v>
      </c>
      <c r="J561" s="5">
        <v>4833</v>
      </c>
      <c r="K561" t="s">
        <v>18</v>
      </c>
      <c r="L561" t="s">
        <v>40</v>
      </c>
      <c r="M561" t="s">
        <v>47</v>
      </c>
      <c r="N561" t="s">
        <v>79</v>
      </c>
      <c r="O561" t="s">
        <v>35</v>
      </c>
      <c r="P561" t="s">
        <v>18</v>
      </c>
      <c r="Q561">
        <f>Table1[[#This Row],[Course_Fee_AED]]-Table1[[#This Row],[Amount_Paid_AED]]</f>
        <v>1</v>
      </c>
      <c r="R561">
        <f>Table1[[#This Row],[Course_Fee_AED]]-Table1[[#This Row],[pending Revenue]]</f>
        <v>4833</v>
      </c>
    </row>
    <row r="562" spans="1:18" x14ac:dyDescent="0.25">
      <c r="A562" t="s">
        <v>639</v>
      </c>
      <c r="B562" s="2">
        <v>45548</v>
      </c>
      <c r="C562" t="s">
        <v>31</v>
      </c>
      <c r="D562" t="s">
        <v>32</v>
      </c>
      <c r="E562" t="s">
        <v>26</v>
      </c>
      <c r="F562" s="5">
        <v>3</v>
      </c>
      <c r="G562" s="5">
        <v>1</v>
      </c>
      <c r="H562" s="5">
        <v>7583</v>
      </c>
      <c r="I562" s="5">
        <v>3</v>
      </c>
      <c r="J562" s="5">
        <v>7581</v>
      </c>
      <c r="K562" t="s">
        <v>18</v>
      </c>
      <c r="L562" t="s">
        <v>19</v>
      </c>
      <c r="M562" t="s">
        <v>41</v>
      </c>
      <c r="N562" t="s">
        <v>34</v>
      </c>
      <c r="O562" t="s">
        <v>22</v>
      </c>
      <c r="P562" t="s">
        <v>36</v>
      </c>
      <c r="Q562">
        <f>Table1[[#This Row],[Course_Fee_AED]]-Table1[[#This Row],[Amount_Paid_AED]]</f>
        <v>2</v>
      </c>
      <c r="R562">
        <f>Table1[[#This Row],[Course_Fee_AED]]-Table1[[#This Row],[pending Revenue]]</f>
        <v>7581</v>
      </c>
    </row>
    <row r="563" spans="1:18" x14ac:dyDescent="0.25">
      <c r="A563" t="s">
        <v>640</v>
      </c>
      <c r="B563" s="2">
        <v>45532</v>
      </c>
      <c r="C563" t="s">
        <v>92</v>
      </c>
      <c r="D563" t="s">
        <v>93</v>
      </c>
      <c r="E563" t="s">
        <v>26</v>
      </c>
      <c r="F563" s="5">
        <v>3</v>
      </c>
      <c r="G563" s="5">
        <v>1</v>
      </c>
      <c r="H563" s="5">
        <v>6340</v>
      </c>
      <c r="I563" s="5">
        <v>2</v>
      </c>
      <c r="J563" s="5">
        <v>4226</v>
      </c>
      <c r="K563" t="s">
        <v>18</v>
      </c>
      <c r="L563" t="s">
        <v>40</v>
      </c>
      <c r="M563" t="s">
        <v>20</v>
      </c>
      <c r="N563" t="s">
        <v>42</v>
      </c>
      <c r="O563" t="s">
        <v>58</v>
      </c>
      <c r="P563" t="s">
        <v>18</v>
      </c>
      <c r="Q563">
        <f>Table1[[#This Row],[Course_Fee_AED]]-Table1[[#This Row],[Amount_Paid_AED]]</f>
        <v>2114</v>
      </c>
      <c r="R563">
        <f>Table1[[#This Row],[Course_Fee_AED]]-Table1[[#This Row],[pending Revenue]]</f>
        <v>4226</v>
      </c>
    </row>
    <row r="564" spans="1:18" x14ac:dyDescent="0.25">
      <c r="A564" t="s">
        <v>641</v>
      </c>
      <c r="B564" s="2">
        <v>45325</v>
      </c>
      <c r="C564" t="s">
        <v>75</v>
      </c>
      <c r="D564" t="s">
        <v>76</v>
      </c>
      <c r="E564" t="s">
        <v>17</v>
      </c>
      <c r="F564" s="5">
        <v>6</v>
      </c>
      <c r="G564" s="5">
        <v>1</v>
      </c>
      <c r="H564" s="5">
        <v>14754</v>
      </c>
      <c r="I564" s="5">
        <v>3</v>
      </c>
      <c r="J564" s="5">
        <v>14754</v>
      </c>
      <c r="K564" t="s">
        <v>33</v>
      </c>
      <c r="L564" t="s">
        <v>19</v>
      </c>
      <c r="M564" t="s">
        <v>63</v>
      </c>
      <c r="N564" t="s">
        <v>73</v>
      </c>
      <c r="O564" t="s">
        <v>64</v>
      </c>
      <c r="P564" t="s">
        <v>36</v>
      </c>
      <c r="Q564">
        <f>Table1[[#This Row],[Course_Fee_AED]]-Table1[[#This Row],[Amount_Paid_AED]]</f>
        <v>0</v>
      </c>
      <c r="R564">
        <f>Table1[[#This Row],[Course_Fee_AED]]-Table1[[#This Row],[pending Revenue]]</f>
        <v>14754</v>
      </c>
    </row>
    <row r="565" spans="1:18" x14ac:dyDescent="0.25">
      <c r="A565" t="s">
        <v>642</v>
      </c>
      <c r="B565" s="2">
        <v>45554</v>
      </c>
      <c r="C565" t="s">
        <v>24</v>
      </c>
      <c r="D565" t="s">
        <v>25</v>
      </c>
      <c r="E565" t="s">
        <v>17</v>
      </c>
      <c r="F565" s="5">
        <v>6</v>
      </c>
      <c r="G565" s="5">
        <v>1</v>
      </c>
      <c r="H565" s="5">
        <v>5733</v>
      </c>
      <c r="I565" s="5">
        <v>3</v>
      </c>
      <c r="J565" s="5">
        <v>5733</v>
      </c>
      <c r="K565" t="s">
        <v>33</v>
      </c>
      <c r="L565" t="s">
        <v>19</v>
      </c>
      <c r="M565" t="s">
        <v>60</v>
      </c>
      <c r="N565" t="s">
        <v>53</v>
      </c>
      <c r="O565" t="s">
        <v>64</v>
      </c>
      <c r="P565" t="s">
        <v>18</v>
      </c>
      <c r="Q565">
        <f>Table1[[#This Row],[Course_Fee_AED]]-Table1[[#This Row],[Amount_Paid_AED]]</f>
        <v>0</v>
      </c>
      <c r="R565">
        <f>Table1[[#This Row],[Course_Fee_AED]]-Table1[[#This Row],[pending Revenue]]</f>
        <v>5733</v>
      </c>
    </row>
    <row r="566" spans="1:18" x14ac:dyDescent="0.25">
      <c r="A566" t="s">
        <v>643</v>
      </c>
      <c r="B566" s="2">
        <v>45508</v>
      </c>
      <c r="C566" t="s">
        <v>31</v>
      </c>
      <c r="D566" t="s">
        <v>32</v>
      </c>
      <c r="E566" t="s">
        <v>17</v>
      </c>
      <c r="F566" s="5">
        <v>6</v>
      </c>
      <c r="G566" s="5">
        <v>1</v>
      </c>
      <c r="H566" s="5">
        <v>5500</v>
      </c>
      <c r="I566" s="5">
        <v>1</v>
      </c>
      <c r="J566" s="5">
        <v>1833</v>
      </c>
      <c r="K566" t="s">
        <v>18</v>
      </c>
      <c r="L566" t="s">
        <v>19</v>
      </c>
      <c r="M566" t="s">
        <v>20</v>
      </c>
      <c r="N566" t="s">
        <v>86</v>
      </c>
      <c r="O566" t="s">
        <v>64</v>
      </c>
      <c r="P566" t="s">
        <v>18</v>
      </c>
      <c r="Q566">
        <f>Table1[[#This Row],[Course_Fee_AED]]-Table1[[#This Row],[Amount_Paid_AED]]</f>
        <v>3667</v>
      </c>
      <c r="R566">
        <f>Table1[[#This Row],[Course_Fee_AED]]-Table1[[#This Row],[pending Revenue]]</f>
        <v>1833</v>
      </c>
    </row>
    <row r="567" spans="1:18" x14ac:dyDescent="0.25">
      <c r="A567" t="s">
        <v>644</v>
      </c>
      <c r="B567" s="2">
        <v>45373</v>
      </c>
      <c r="C567" t="s">
        <v>24</v>
      </c>
      <c r="D567" t="s">
        <v>25</v>
      </c>
      <c r="E567" t="s">
        <v>17</v>
      </c>
      <c r="F567" s="5">
        <v>6</v>
      </c>
      <c r="G567" s="5">
        <v>1</v>
      </c>
      <c r="H567" s="5">
        <v>4752</v>
      </c>
      <c r="I567" s="5">
        <v>3</v>
      </c>
      <c r="J567" s="5">
        <v>4752</v>
      </c>
      <c r="K567" t="s">
        <v>33</v>
      </c>
      <c r="L567" t="s">
        <v>40</v>
      </c>
      <c r="M567" t="s">
        <v>20</v>
      </c>
      <c r="N567" t="s">
        <v>61</v>
      </c>
      <c r="O567" t="s">
        <v>68</v>
      </c>
      <c r="P567" t="s">
        <v>36</v>
      </c>
      <c r="Q567">
        <f>Table1[[#This Row],[Course_Fee_AED]]-Table1[[#This Row],[Amount_Paid_AED]]</f>
        <v>0</v>
      </c>
      <c r="R567">
        <f>Table1[[#This Row],[Course_Fee_AED]]-Table1[[#This Row],[pending Revenue]]</f>
        <v>4752</v>
      </c>
    </row>
    <row r="568" spans="1:18" x14ac:dyDescent="0.25">
      <c r="A568" t="s">
        <v>645</v>
      </c>
      <c r="B568" s="2">
        <v>45590</v>
      </c>
      <c r="C568" t="s">
        <v>82</v>
      </c>
      <c r="D568" t="s">
        <v>83</v>
      </c>
      <c r="E568" t="s">
        <v>26</v>
      </c>
      <c r="F568" s="5">
        <v>3</v>
      </c>
      <c r="G568" s="5">
        <v>1</v>
      </c>
      <c r="H568" s="5">
        <v>9233</v>
      </c>
      <c r="I568" s="5">
        <v>1</v>
      </c>
      <c r="J568" s="5">
        <v>3077</v>
      </c>
      <c r="K568" t="s">
        <v>18</v>
      </c>
      <c r="L568" t="s">
        <v>57</v>
      </c>
      <c r="M568" t="s">
        <v>47</v>
      </c>
      <c r="N568" t="s">
        <v>34</v>
      </c>
      <c r="O568" t="s">
        <v>71</v>
      </c>
      <c r="P568" t="s">
        <v>18</v>
      </c>
      <c r="Q568">
        <f>Table1[[#This Row],[Course_Fee_AED]]-Table1[[#This Row],[Amount_Paid_AED]]</f>
        <v>6156</v>
      </c>
      <c r="R568">
        <f>Table1[[#This Row],[Course_Fee_AED]]-Table1[[#This Row],[pending Revenue]]</f>
        <v>3077</v>
      </c>
    </row>
    <row r="569" spans="1:18" x14ac:dyDescent="0.25">
      <c r="A569" t="s">
        <v>646</v>
      </c>
      <c r="B569" s="2">
        <v>45605</v>
      </c>
      <c r="C569" t="s">
        <v>113</v>
      </c>
      <c r="D569" t="s">
        <v>93</v>
      </c>
      <c r="E569" t="s">
        <v>26</v>
      </c>
      <c r="F569" s="5">
        <v>3</v>
      </c>
      <c r="G569" s="5">
        <v>1</v>
      </c>
      <c r="H569" s="5">
        <v>3006</v>
      </c>
      <c r="I569" s="5">
        <v>1</v>
      </c>
      <c r="J569" s="5">
        <v>1002</v>
      </c>
      <c r="K569" t="s">
        <v>18</v>
      </c>
      <c r="L569" t="s">
        <v>40</v>
      </c>
      <c r="M569" t="s">
        <v>41</v>
      </c>
      <c r="N569" t="s">
        <v>116</v>
      </c>
      <c r="O569" t="s">
        <v>49</v>
      </c>
      <c r="P569" t="s">
        <v>18</v>
      </c>
      <c r="Q569">
        <f>Table1[[#This Row],[Course_Fee_AED]]-Table1[[#This Row],[Amount_Paid_AED]]</f>
        <v>2004</v>
      </c>
      <c r="R569">
        <f>Table1[[#This Row],[Course_Fee_AED]]-Table1[[#This Row],[pending Revenue]]</f>
        <v>1002</v>
      </c>
    </row>
    <row r="570" spans="1:18" x14ac:dyDescent="0.25">
      <c r="A570" t="s">
        <v>647</v>
      </c>
      <c r="B570" s="2">
        <v>45617</v>
      </c>
      <c r="C570" t="s">
        <v>38</v>
      </c>
      <c r="D570" t="s">
        <v>39</v>
      </c>
      <c r="E570" t="s">
        <v>26</v>
      </c>
      <c r="F570" s="5">
        <v>3</v>
      </c>
      <c r="G570" s="5">
        <v>1</v>
      </c>
      <c r="H570" s="5">
        <v>6852</v>
      </c>
      <c r="I570" s="5">
        <v>2</v>
      </c>
      <c r="J570" s="5">
        <v>4568</v>
      </c>
      <c r="K570" t="s">
        <v>18</v>
      </c>
      <c r="L570" t="s">
        <v>19</v>
      </c>
      <c r="M570" t="s">
        <v>27</v>
      </c>
      <c r="N570" t="s">
        <v>86</v>
      </c>
      <c r="O570" t="s">
        <v>35</v>
      </c>
      <c r="P570" t="s">
        <v>18</v>
      </c>
      <c r="Q570">
        <f>Table1[[#This Row],[Course_Fee_AED]]-Table1[[#This Row],[Amount_Paid_AED]]</f>
        <v>2284</v>
      </c>
      <c r="R570">
        <f>Table1[[#This Row],[Course_Fee_AED]]-Table1[[#This Row],[pending Revenue]]</f>
        <v>4568</v>
      </c>
    </row>
    <row r="571" spans="1:18" x14ac:dyDescent="0.25">
      <c r="A571" t="s">
        <v>648</v>
      </c>
      <c r="B571" s="2">
        <v>45526</v>
      </c>
      <c r="C571" t="s">
        <v>82</v>
      </c>
      <c r="D571" t="s">
        <v>83</v>
      </c>
      <c r="E571" t="s">
        <v>17</v>
      </c>
      <c r="F571" s="5">
        <v>6</v>
      </c>
      <c r="G571" s="5">
        <v>1</v>
      </c>
      <c r="H571" s="5">
        <v>11994</v>
      </c>
      <c r="I571" s="5">
        <v>2</v>
      </c>
      <c r="J571" s="5">
        <v>7996</v>
      </c>
      <c r="K571" t="s">
        <v>18</v>
      </c>
      <c r="L571" t="s">
        <v>19</v>
      </c>
      <c r="M571" t="s">
        <v>63</v>
      </c>
      <c r="N571" t="s">
        <v>116</v>
      </c>
      <c r="O571" t="s">
        <v>49</v>
      </c>
      <c r="P571" t="s">
        <v>36</v>
      </c>
      <c r="Q571">
        <f>Table1[[#This Row],[Course_Fee_AED]]-Table1[[#This Row],[Amount_Paid_AED]]</f>
        <v>3998</v>
      </c>
      <c r="R571">
        <f>Table1[[#This Row],[Course_Fee_AED]]-Table1[[#This Row],[pending Revenue]]</f>
        <v>7996</v>
      </c>
    </row>
    <row r="572" spans="1:18" x14ac:dyDescent="0.25">
      <c r="A572" t="s">
        <v>649</v>
      </c>
      <c r="B572" s="2">
        <v>45595</v>
      </c>
      <c r="C572" t="s">
        <v>15</v>
      </c>
      <c r="D572" t="s">
        <v>16</v>
      </c>
      <c r="E572" t="s">
        <v>17</v>
      </c>
      <c r="F572" s="5">
        <v>6</v>
      </c>
      <c r="G572" s="5">
        <v>1</v>
      </c>
      <c r="H572" s="5">
        <v>6359</v>
      </c>
      <c r="I572" s="5">
        <v>3</v>
      </c>
      <c r="J572" s="5">
        <v>6357</v>
      </c>
      <c r="K572" t="s">
        <v>18</v>
      </c>
      <c r="L572" t="s">
        <v>57</v>
      </c>
      <c r="M572" t="s">
        <v>47</v>
      </c>
      <c r="N572" t="s">
        <v>73</v>
      </c>
      <c r="O572" t="s">
        <v>64</v>
      </c>
      <c r="P572" t="s">
        <v>36</v>
      </c>
      <c r="Q572">
        <f>Table1[[#This Row],[Course_Fee_AED]]-Table1[[#This Row],[Amount_Paid_AED]]</f>
        <v>2</v>
      </c>
      <c r="R572">
        <f>Table1[[#This Row],[Course_Fee_AED]]-Table1[[#This Row],[pending Revenue]]</f>
        <v>6357</v>
      </c>
    </row>
    <row r="573" spans="1:18" x14ac:dyDescent="0.25">
      <c r="A573" t="s">
        <v>650</v>
      </c>
      <c r="B573" s="2">
        <v>45559</v>
      </c>
      <c r="C573" t="s">
        <v>31</v>
      </c>
      <c r="D573" t="s">
        <v>32</v>
      </c>
      <c r="E573" t="s">
        <v>26</v>
      </c>
      <c r="F573" s="5">
        <v>3</v>
      </c>
      <c r="G573" s="5">
        <v>1</v>
      </c>
      <c r="H573" s="5">
        <v>6205</v>
      </c>
      <c r="I573" s="5">
        <v>1</v>
      </c>
      <c r="J573" s="5">
        <v>2068</v>
      </c>
      <c r="K573" t="s">
        <v>18</v>
      </c>
      <c r="L573" t="s">
        <v>40</v>
      </c>
      <c r="M573" t="s">
        <v>60</v>
      </c>
      <c r="N573" t="s">
        <v>95</v>
      </c>
      <c r="O573" t="s">
        <v>35</v>
      </c>
      <c r="P573" t="s">
        <v>36</v>
      </c>
      <c r="Q573">
        <f>Table1[[#This Row],[Course_Fee_AED]]-Table1[[#This Row],[Amount_Paid_AED]]</f>
        <v>4137</v>
      </c>
      <c r="R573">
        <f>Table1[[#This Row],[Course_Fee_AED]]-Table1[[#This Row],[pending Revenue]]</f>
        <v>2068</v>
      </c>
    </row>
    <row r="574" spans="1:18" x14ac:dyDescent="0.25">
      <c r="A574" t="s">
        <v>651</v>
      </c>
      <c r="B574" s="2">
        <v>45460</v>
      </c>
      <c r="C574" t="s">
        <v>24</v>
      </c>
      <c r="D574" t="s">
        <v>25</v>
      </c>
      <c r="E574" t="s">
        <v>17</v>
      </c>
      <c r="F574" s="5">
        <v>6</v>
      </c>
      <c r="G574" s="5">
        <v>1</v>
      </c>
      <c r="H574" s="5">
        <v>6661</v>
      </c>
      <c r="I574" s="5">
        <v>3</v>
      </c>
      <c r="J574" s="5">
        <v>6660</v>
      </c>
      <c r="K574" t="s">
        <v>18</v>
      </c>
      <c r="L574" t="s">
        <v>57</v>
      </c>
      <c r="M574" t="s">
        <v>27</v>
      </c>
      <c r="N574" t="s">
        <v>95</v>
      </c>
      <c r="O574" t="s">
        <v>58</v>
      </c>
      <c r="P574" t="s">
        <v>18</v>
      </c>
      <c r="Q574">
        <f>Table1[[#This Row],[Course_Fee_AED]]-Table1[[#This Row],[Amount_Paid_AED]]</f>
        <v>1</v>
      </c>
      <c r="R574">
        <f>Table1[[#This Row],[Course_Fee_AED]]-Table1[[#This Row],[pending Revenue]]</f>
        <v>6660</v>
      </c>
    </row>
    <row r="575" spans="1:18" x14ac:dyDescent="0.25">
      <c r="A575" t="s">
        <v>652</v>
      </c>
      <c r="B575" s="2">
        <v>45388</v>
      </c>
      <c r="C575" t="s">
        <v>38</v>
      </c>
      <c r="D575" t="s">
        <v>39</v>
      </c>
      <c r="E575" t="s">
        <v>17</v>
      </c>
      <c r="F575" s="5">
        <v>6</v>
      </c>
      <c r="G575" s="5">
        <v>1</v>
      </c>
      <c r="H575" s="5">
        <v>6042</v>
      </c>
      <c r="I575" s="5">
        <v>1</v>
      </c>
      <c r="J575" s="5">
        <v>2014</v>
      </c>
      <c r="K575" t="s">
        <v>18</v>
      </c>
      <c r="L575" t="s">
        <v>19</v>
      </c>
      <c r="M575" t="s">
        <v>60</v>
      </c>
      <c r="N575" t="s">
        <v>154</v>
      </c>
      <c r="O575" t="s">
        <v>43</v>
      </c>
      <c r="P575" t="s">
        <v>36</v>
      </c>
      <c r="Q575">
        <f>Table1[[#This Row],[Course_Fee_AED]]-Table1[[#This Row],[Amount_Paid_AED]]</f>
        <v>4028</v>
      </c>
      <c r="R575">
        <f>Table1[[#This Row],[Course_Fee_AED]]-Table1[[#This Row],[pending Revenue]]</f>
        <v>2014</v>
      </c>
    </row>
    <row r="576" spans="1:18" x14ac:dyDescent="0.25">
      <c r="A576" t="s">
        <v>653</v>
      </c>
      <c r="B576" s="2">
        <v>45587</v>
      </c>
      <c r="C576" t="s">
        <v>100</v>
      </c>
      <c r="D576" t="s">
        <v>101</v>
      </c>
      <c r="E576" t="s">
        <v>26</v>
      </c>
      <c r="F576" s="5">
        <v>3</v>
      </c>
      <c r="G576" s="5">
        <v>1</v>
      </c>
      <c r="H576" s="5">
        <v>3753</v>
      </c>
      <c r="I576" s="5">
        <v>1</v>
      </c>
      <c r="J576" s="5">
        <v>1251</v>
      </c>
      <c r="K576" t="s">
        <v>18</v>
      </c>
      <c r="L576" t="s">
        <v>57</v>
      </c>
      <c r="M576" t="s">
        <v>60</v>
      </c>
      <c r="N576" t="s">
        <v>116</v>
      </c>
      <c r="O576" t="s">
        <v>29</v>
      </c>
      <c r="P576" t="s">
        <v>36</v>
      </c>
      <c r="Q576">
        <f>Table1[[#This Row],[Course_Fee_AED]]-Table1[[#This Row],[Amount_Paid_AED]]</f>
        <v>2502</v>
      </c>
      <c r="R576">
        <f>Table1[[#This Row],[Course_Fee_AED]]-Table1[[#This Row],[pending Revenue]]</f>
        <v>1251</v>
      </c>
    </row>
    <row r="577" spans="1:18" x14ac:dyDescent="0.25">
      <c r="A577" t="s">
        <v>654</v>
      </c>
      <c r="B577" s="2">
        <v>45592</v>
      </c>
      <c r="C577" t="s">
        <v>92</v>
      </c>
      <c r="D577" t="s">
        <v>93</v>
      </c>
      <c r="E577" t="s">
        <v>26</v>
      </c>
      <c r="F577" s="5">
        <v>3</v>
      </c>
      <c r="G577" s="5">
        <v>1</v>
      </c>
      <c r="H577" s="5">
        <v>7349</v>
      </c>
      <c r="I577" s="5">
        <v>1</v>
      </c>
      <c r="J577" s="5">
        <v>2449</v>
      </c>
      <c r="K577" t="s">
        <v>18</v>
      </c>
      <c r="L577" t="s">
        <v>57</v>
      </c>
      <c r="M577" t="s">
        <v>41</v>
      </c>
      <c r="N577" t="s">
        <v>79</v>
      </c>
      <c r="O577" t="s">
        <v>43</v>
      </c>
      <c r="P577" t="s">
        <v>36</v>
      </c>
      <c r="Q577">
        <f>Table1[[#This Row],[Course_Fee_AED]]-Table1[[#This Row],[Amount_Paid_AED]]</f>
        <v>4900</v>
      </c>
      <c r="R577">
        <f>Table1[[#This Row],[Course_Fee_AED]]-Table1[[#This Row],[pending Revenue]]</f>
        <v>2449</v>
      </c>
    </row>
    <row r="578" spans="1:18" x14ac:dyDescent="0.25">
      <c r="A578" t="s">
        <v>655</v>
      </c>
      <c r="B578" s="2">
        <v>45590</v>
      </c>
      <c r="C578" t="s">
        <v>75</v>
      </c>
      <c r="D578" t="s">
        <v>76</v>
      </c>
      <c r="E578" t="s">
        <v>26</v>
      </c>
      <c r="F578" s="5">
        <v>3</v>
      </c>
      <c r="G578" s="5">
        <v>1</v>
      </c>
      <c r="H578" s="5">
        <v>14883</v>
      </c>
      <c r="I578" s="5">
        <v>3</v>
      </c>
      <c r="J578" s="5">
        <v>14883</v>
      </c>
      <c r="K578" t="s">
        <v>33</v>
      </c>
      <c r="L578" t="s">
        <v>40</v>
      </c>
      <c r="M578" t="s">
        <v>41</v>
      </c>
      <c r="N578" t="s">
        <v>28</v>
      </c>
      <c r="O578" t="s">
        <v>49</v>
      </c>
      <c r="P578" t="s">
        <v>18</v>
      </c>
      <c r="Q578">
        <f>Table1[[#This Row],[Course_Fee_AED]]-Table1[[#This Row],[Amount_Paid_AED]]</f>
        <v>0</v>
      </c>
      <c r="R578">
        <f>Table1[[#This Row],[Course_Fee_AED]]-Table1[[#This Row],[pending Revenue]]</f>
        <v>14883</v>
      </c>
    </row>
    <row r="579" spans="1:18" x14ac:dyDescent="0.25">
      <c r="A579" t="s">
        <v>656</v>
      </c>
      <c r="B579" s="2">
        <v>45422</v>
      </c>
      <c r="C579" t="s">
        <v>45</v>
      </c>
      <c r="D579" t="s">
        <v>46</v>
      </c>
      <c r="E579" t="s">
        <v>17</v>
      </c>
      <c r="F579" s="5">
        <v>6</v>
      </c>
      <c r="G579" s="5">
        <v>1</v>
      </c>
      <c r="H579" s="5">
        <v>4098</v>
      </c>
      <c r="I579" s="5">
        <v>3</v>
      </c>
      <c r="J579" s="5">
        <v>4098</v>
      </c>
      <c r="K579" t="s">
        <v>33</v>
      </c>
      <c r="L579" t="s">
        <v>40</v>
      </c>
      <c r="M579" t="s">
        <v>60</v>
      </c>
      <c r="N579" t="s">
        <v>61</v>
      </c>
      <c r="O579" t="s">
        <v>58</v>
      </c>
      <c r="P579" t="s">
        <v>36</v>
      </c>
      <c r="Q579">
        <f>Table1[[#This Row],[Course_Fee_AED]]-Table1[[#This Row],[Amount_Paid_AED]]</f>
        <v>0</v>
      </c>
      <c r="R579">
        <f>Table1[[#This Row],[Course_Fee_AED]]-Table1[[#This Row],[pending Revenue]]</f>
        <v>4098</v>
      </c>
    </row>
    <row r="580" spans="1:18" x14ac:dyDescent="0.25">
      <c r="A580" t="s">
        <v>657</v>
      </c>
      <c r="B580" s="2">
        <v>45618</v>
      </c>
      <c r="C580" t="s">
        <v>24</v>
      </c>
      <c r="D580" t="s">
        <v>25</v>
      </c>
      <c r="E580" t="s">
        <v>26</v>
      </c>
      <c r="F580" s="5">
        <v>3</v>
      </c>
      <c r="G580" s="5">
        <v>1</v>
      </c>
      <c r="H580" s="5">
        <v>5452</v>
      </c>
      <c r="I580" s="5">
        <v>2</v>
      </c>
      <c r="J580" s="5">
        <v>3634</v>
      </c>
      <c r="K580" t="s">
        <v>18</v>
      </c>
      <c r="L580" t="s">
        <v>57</v>
      </c>
      <c r="M580" t="s">
        <v>63</v>
      </c>
      <c r="N580" t="s">
        <v>53</v>
      </c>
      <c r="O580" t="s">
        <v>43</v>
      </c>
      <c r="P580" t="s">
        <v>18</v>
      </c>
      <c r="Q580">
        <f>Table1[[#This Row],[Course_Fee_AED]]-Table1[[#This Row],[Amount_Paid_AED]]</f>
        <v>1818</v>
      </c>
      <c r="R580">
        <f>Table1[[#This Row],[Course_Fee_AED]]-Table1[[#This Row],[pending Revenue]]</f>
        <v>3634</v>
      </c>
    </row>
    <row r="581" spans="1:18" x14ac:dyDescent="0.25">
      <c r="A581" t="s">
        <v>658</v>
      </c>
      <c r="B581" s="2">
        <v>45453</v>
      </c>
      <c r="C581" t="s">
        <v>24</v>
      </c>
      <c r="D581" t="s">
        <v>25</v>
      </c>
      <c r="E581" t="s">
        <v>17</v>
      </c>
      <c r="F581" s="5">
        <v>6</v>
      </c>
      <c r="G581" s="5">
        <v>1</v>
      </c>
      <c r="H581" s="5">
        <v>5115</v>
      </c>
      <c r="I581" s="5">
        <v>2</v>
      </c>
      <c r="J581" s="5">
        <v>3410</v>
      </c>
      <c r="K581" t="s">
        <v>18</v>
      </c>
      <c r="L581" t="s">
        <v>19</v>
      </c>
      <c r="M581" t="s">
        <v>47</v>
      </c>
      <c r="N581" t="s">
        <v>95</v>
      </c>
      <c r="O581" t="s">
        <v>64</v>
      </c>
      <c r="P581" t="s">
        <v>18</v>
      </c>
      <c r="Q581">
        <f>Table1[[#This Row],[Course_Fee_AED]]-Table1[[#This Row],[Amount_Paid_AED]]</f>
        <v>1705</v>
      </c>
      <c r="R581">
        <f>Table1[[#This Row],[Course_Fee_AED]]-Table1[[#This Row],[pending Revenue]]</f>
        <v>3410</v>
      </c>
    </row>
    <row r="582" spans="1:18" x14ac:dyDescent="0.25">
      <c r="A582" t="s">
        <v>659</v>
      </c>
      <c r="B582" s="2">
        <v>45465</v>
      </c>
      <c r="C582" t="s">
        <v>82</v>
      </c>
      <c r="D582" t="s">
        <v>83</v>
      </c>
      <c r="E582" t="s">
        <v>17</v>
      </c>
      <c r="F582" s="5">
        <v>6</v>
      </c>
      <c r="G582" s="5">
        <v>1</v>
      </c>
      <c r="H582" s="5">
        <v>13002</v>
      </c>
      <c r="I582" s="5">
        <v>3</v>
      </c>
      <c r="J582" s="5">
        <v>13002</v>
      </c>
      <c r="K582" t="s">
        <v>33</v>
      </c>
      <c r="L582" t="s">
        <v>57</v>
      </c>
      <c r="M582" t="s">
        <v>47</v>
      </c>
      <c r="N582" t="s">
        <v>86</v>
      </c>
      <c r="O582" t="s">
        <v>49</v>
      </c>
      <c r="P582" t="s">
        <v>36</v>
      </c>
      <c r="Q582">
        <f>Table1[[#This Row],[Course_Fee_AED]]-Table1[[#This Row],[Amount_Paid_AED]]</f>
        <v>0</v>
      </c>
      <c r="R582">
        <f>Table1[[#This Row],[Course_Fee_AED]]-Table1[[#This Row],[pending Revenue]]</f>
        <v>13002</v>
      </c>
    </row>
    <row r="583" spans="1:18" x14ac:dyDescent="0.25">
      <c r="A583" t="s">
        <v>660</v>
      </c>
      <c r="B583" s="2">
        <v>45440</v>
      </c>
      <c r="C583" t="s">
        <v>92</v>
      </c>
      <c r="D583" t="s">
        <v>93</v>
      </c>
      <c r="E583" t="s">
        <v>17</v>
      </c>
      <c r="F583" s="5">
        <v>6</v>
      </c>
      <c r="G583" s="5">
        <v>1</v>
      </c>
      <c r="H583" s="5">
        <v>6145</v>
      </c>
      <c r="I583" s="5">
        <v>2</v>
      </c>
      <c r="J583" s="5">
        <v>4096</v>
      </c>
      <c r="K583" t="s">
        <v>18</v>
      </c>
      <c r="L583" t="s">
        <v>19</v>
      </c>
      <c r="M583" t="s">
        <v>60</v>
      </c>
      <c r="N583" t="s">
        <v>48</v>
      </c>
      <c r="O583" t="s">
        <v>58</v>
      </c>
      <c r="P583" t="s">
        <v>18</v>
      </c>
      <c r="Q583">
        <f>Table1[[#This Row],[Course_Fee_AED]]-Table1[[#This Row],[Amount_Paid_AED]]</f>
        <v>2049</v>
      </c>
      <c r="R583">
        <f>Table1[[#This Row],[Course_Fee_AED]]-Table1[[#This Row],[pending Revenue]]</f>
        <v>4096</v>
      </c>
    </row>
    <row r="584" spans="1:18" x14ac:dyDescent="0.25">
      <c r="A584" t="s">
        <v>661</v>
      </c>
      <c r="B584" s="2">
        <v>45392</v>
      </c>
      <c r="C584" t="s">
        <v>75</v>
      </c>
      <c r="D584" t="s">
        <v>76</v>
      </c>
      <c r="E584" t="s">
        <v>26</v>
      </c>
      <c r="F584" s="5">
        <v>3</v>
      </c>
      <c r="G584" s="5">
        <v>1</v>
      </c>
      <c r="H584" s="5">
        <v>8588</v>
      </c>
      <c r="I584" s="5">
        <v>2</v>
      </c>
      <c r="J584" s="5">
        <v>5724</v>
      </c>
      <c r="K584" t="s">
        <v>18</v>
      </c>
      <c r="L584" t="s">
        <v>19</v>
      </c>
      <c r="M584" t="s">
        <v>27</v>
      </c>
      <c r="N584" t="s">
        <v>154</v>
      </c>
      <c r="O584" t="s">
        <v>68</v>
      </c>
      <c r="P584" t="s">
        <v>18</v>
      </c>
      <c r="Q584">
        <f>Table1[[#This Row],[Course_Fee_AED]]-Table1[[#This Row],[Amount_Paid_AED]]</f>
        <v>2864</v>
      </c>
      <c r="R584">
        <f>Table1[[#This Row],[Course_Fee_AED]]-Table1[[#This Row],[pending Revenue]]</f>
        <v>5724</v>
      </c>
    </row>
    <row r="585" spans="1:18" x14ac:dyDescent="0.25">
      <c r="A585" t="s">
        <v>662</v>
      </c>
      <c r="B585" s="2">
        <v>45329</v>
      </c>
      <c r="C585" t="s">
        <v>66</v>
      </c>
      <c r="D585" t="s">
        <v>56</v>
      </c>
      <c r="E585" t="s">
        <v>26</v>
      </c>
      <c r="F585" s="5">
        <v>3</v>
      </c>
      <c r="G585" s="5">
        <v>1</v>
      </c>
      <c r="H585" s="5">
        <v>8863</v>
      </c>
      <c r="I585" s="5">
        <v>2</v>
      </c>
      <c r="J585" s="5">
        <v>5908</v>
      </c>
      <c r="K585" t="s">
        <v>18</v>
      </c>
      <c r="L585" t="s">
        <v>40</v>
      </c>
      <c r="M585" t="s">
        <v>27</v>
      </c>
      <c r="N585" t="s">
        <v>53</v>
      </c>
      <c r="O585" t="s">
        <v>29</v>
      </c>
      <c r="P585" t="s">
        <v>18</v>
      </c>
      <c r="Q585">
        <f>Table1[[#This Row],[Course_Fee_AED]]-Table1[[#This Row],[Amount_Paid_AED]]</f>
        <v>2955</v>
      </c>
      <c r="R585">
        <f>Table1[[#This Row],[Course_Fee_AED]]-Table1[[#This Row],[pending Revenue]]</f>
        <v>5908</v>
      </c>
    </row>
    <row r="586" spans="1:18" x14ac:dyDescent="0.25">
      <c r="A586" t="s">
        <v>663</v>
      </c>
      <c r="B586" s="2">
        <v>45475</v>
      </c>
      <c r="C586" t="s">
        <v>45</v>
      </c>
      <c r="D586" t="s">
        <v>46</v>
      </c>
      <c r="E586" t="s">
        <v>26</v>
      </c>
      <c r="F586" s="5">
        <v>3</v>
      </c>
      <c r="G586" s="5">
        <v>1</v>
      </c>
      <c r="H586" s="5">
        <v>5860</v>
      </c>
      <c r="I586" s="5">
        <v>1</v>
      </c>
      <c r="J586" s="5">
        <v>1953</v>
      </c>
      <c r="K586" t="s">
        <v>18</v>
      </c>
      <c r="L586" t="s">
        <v>19</v>
      </c>
      <c r="M586" t="s">
        <v>20</v>
      </c>
      <c r="N586" t="s">
        <v>116</v>
      </c>
      <c r="O586" t="s">
        <v>35</v>
      </c>
      <c r="P586" t="s">
        <v>18</v>
      </c>
      <c r="Q586">
        <f>Table1[[#This Row],[Course_Fee_AED]]-Table1[[#This Row],[Amount_Paid_AED]]</f>
        <v>3907</v>
      </c>
      <c r="R586">
        <f>Table1[[#This Row],[Course_Fee_AED]]-Table1[[#This Row],[pending Revenue]]</f>
        <v>1953</v>
      </c>
    </row>
    <row r="587" spans="1:18" x14ac:dyDescent="0.25">
      <c r="A587" t="s">
        <v>664</v>
      </c>
      <c r="B587" s="2">
        <v>45325</v>
      </c>
      <c r="C587" t="s">
        <v>82</v>
      </c>
      <c r="D587" t="s">
        <v>83</v>
      </c>
      <c r="E587" t="s">
        <v>17</v>
      </c>
      <c r="F587" s="5">
        <v>6</v>
      </c>
      <c r="G587" s="5">
        <v>1</v>
      </c>
      <c r="H587" s="5">
        <v>10318</v>
      </c>
      <c r="I587" s="5">
        <v>2</v>
      </c>
      <c r="J587" s="5">
        <v>6878</v>
      </c>
      <c r="K587" t="s">
        <v>18</v>
      </c>
      <c r="L587" t="s">
        <v>40</v>
      </c>
      <c r="M587" t="s">
        <v>27</v>
      </c>
      <c r="N587" t="s">
        <v>61</v>
      </c>
      <c r="O587" t="s">
        <v>35</v>
      </c>
      <c r="P587" t="s">
        <v>18</v>
      </c>
      <c r="Q587">
        <f>Table1[[#This Row],[Course_Fee_AED]]-Table1[[#This Row],[Amount_Paid_AED]]</f>
        <v>3440</v>
      </c>
      <c r="R587">
        <f>Table1[[#This Row],[Course_Fee_AED]]-Table1[[#This Row],[pending Revenue]]</f>
        <v>6878</v>
      </c>
    </row>
    <row r="588" spans="1:18" x14ac:dyDescent="0.25">
      <c r="A588" t="s">
        <v>665</v>
      </c>
      <c r="B588" s="2">
        <v>45324</v>
      </c>
      <c r="C588" t="s">
        <v>82</v>
      </c>
      <c r="D588" t="s">
        <v>83</v>
      </c>
      <c r="E588" t="s">
        <v>26</v>
      </c>
      <c r="F588" s="5">
        <v>3</v>
      </c>
      <c r="G588" s="5">
        <v>1</v>
      </c>
      <c r="H588" s="5">
        <v>11812</v>
      </c>
      <c r="I588" s="5">
        <v>3</v>
      </c>
      <c r="J588" s="5">
        <v>11811</v>
      </c>
      <c r="K588" t="s">
        <v>18</v>
      </c>
      <c r="L588" t="s">
        <v>57</v>
      </c>
      <c r="M588" t="s">
        <v>20</v>
      </c>
      <c r="N588" t="s">
        <v>86</v>
      </c>
      <c r="O588" t="s">
        <v>87</v>
      </c>
      <c r="P588" t="s">
        <v>18</v>
      </c>
      <c r="Q588">
        <f>Table1[[#This Row],[Course_Fee_AED]]-Table1[[#This Row],[Amount_Paid_AED]]</f>
        <v>1</v>
      </c>
      <c r="R588">
        <f>Table1[[#This Row],[Course_Fee_AED]]-Table1[[#This Row],[pending Revenue]]</f>
        <v>11811</v>
      </c>
    </row>
    <row r="589" spans="1:18" x14ac:dyDescent="0.25">
      <c r="A589" t="s">
        <v>666</v>
      </c>
      <c r="B589" s="2">
        <v>45295</v>
      </c>
      <c r="C589" t="s">
        <v>100</v>
      </c>
      <c r="D589" t="s">
        <v>101</v>
      </c>
      <c r="E589" t="s">
        <v>26</v>
      </c>
      <c r="F589" s="5">
        <v>3</v>
      </c>
      <c r="G589" s="5">
        <v>1</v>
      </c>
      <c r="H589" s="5">
        <v>4706</v>
      </c>
      <c r="I589" s="5">
        <v>3</v>
      </c>
      <c r="J589" s="5">
        <v>4704</v>
      </c>
      <c r="K589" t="s">
        <v>18</v>
      </c>
      <c r="L589" t="s">
        <v>40</v>
      </c>
      <c r="M589" t="s">
        <v>63</v>
      </c>
      <c r="N589" t="s">
        <v>48</v>
      </c>
      <c r="O589" t="s">
        <v>43</v>
      </c>
      <c r="P589" t="s">
        <v>18</v>
      </c>
      <c r="Q589">
        <f>Table1[[#This Row],[Course_Fee_AED]]-Table1[[#This Row],[Amount_Paid_AED]]</f>
        <v>2</v>
      </c>
      <c r="R589">
        <f>Table1[[#This Row],[Course_Fee_AED]]-Table1[[#This Row],[pending Revenue]]</f>
        <v>4704</v>
      </c>
    </row>
    <row r="590" spans="1:18" x14ac:dyDescent="0.25">
      <c r="A590" t="s">
        <v>667</v>
      </c>
      <c r="B590" s="2">
        <v>45376</v>
      </c>
      <c r="C590" t="s">
        <v>113</v>
      </c>
      <c r="D590" t="s">
        <v>93</v>
      </c>
      <c r="E590" t="s">
        <v>17</v>
      </c>
      <c r="F590" s="5">
        <v>6</v>
      </c>
      <c r="G590" s="5">
        <v>1</v>
      </c>
      <c r="H590" s="5">
        <v>3889</v>
      </c>
      <c r="I590" s="5">
        <v>3</v>
      </c>
      <c r="J590" s="5">
        <v>3888</v>
      </c>
      <c r="K590" t="s">
        <v>18</v>
      </c>
      <c r="L590" t="s">
        <v>40</v>
      </c>
      <c r="M590" t="s">
        <v>63</v>
      </c>
      <c r="N590" t="s">
        <v>21</v>
      </c>
      <c r="O590" t="s">
        <v>58</v>
      </c>
      <c r="P590" t="s">
        <v>18</v>
      </c>
      <c r="Q590">
        <f>Table1[[#This Row],[Course_Fee_AED]]-Table1[[#This Row],[Amount_Paid_AED]]</f>
        <v>1</v>
      </c>
      <c r="R590">
        <f>Table1[[#This Row],[Course_Fee_AED]]-Table1[[#This Row],[pending Revenue]]</f>
        <v>3888</v>
      </c>
    </row>
    <row r="591" spans="1:18" x14ac:dyDescent="0.25">
      <c r="A591" t="s">
        <v>668</v>
      </c>
      <c r="B591" s="2">
        <v>45589</v>
      </c>
      <c r="C591" t="s">
        <v>82</v>
      </c>
      <c r="D591" t="s">
        <v>83</v>
      </c>
      <c r="E591" t="s">
        <v>17</v>
      </c>
      <c r="F591" s="5">
        <v>6</v>
      </c>
      <c r="G591" s="5">
        <v>1</v>
      </c>
      <c r="H591" s="5">
        <v>12592</v>
      </c>
      <c r="I591" s="5">
        <v>1</v>
      </c>
      <c r="J591" s="5">
        <v>4197</v>
      </c>
      <c r="K591" t="s">
        <v>18</v>
      </c>
      <c r="L591" t="s">
        <v>40</v>
      </c>
      <c r="M591" t="s">
        <v>60</v>
      </c>
      <c r="N591" t="s">
        <v>28</v>
      </c>
      <c r="O591" t="s">
        <v>35</v>
      </c>
      <c r="P591" t="s">
        <v>18</v>
      </c>
      <c r="Q591">
        <f>Table1[[#This Row],[Course_Fee_AED]]-Table1[[#This Row],[Amount_Paid_AED]]</f>
        <v>8395</v>
      </c>
      <c r="R591">
        <f>Table1[[#This Row],[Course_Fee_AED]]-Table1[[#This Row],[pending Revenue]]</f>
        <v>4197</v>
      </c>
    </row>
    <row r="592" spans="1:18" x14ac:dyDescent="0.25">
      <c r="A592" t="s">
        <v>669</v>
      </c>
      <c r="B592" s="2">
        <v>45414</v>
      </c>
      <c r="C592" t="s">
        <v>38</v>
      </c>
      <c r="D592" t="s">
        <v>39</v>
      </c>
      <c r="E592" t="s">
        <v>17</v>
      </c>
      <c r="F592" s="5">
        <v>6</v>
      </c>
      <c r="G592" s="5">
        <v>1</v>
      </c>
      <c r="H592" s="5">
        <v>6266</v>
      </c>
      <c r="I592" s="5">
        <v>2</v>
      </c>
      <c r="J592" s="5">
        <v>4176</v>
      </c>
      <c r="K592" t="s">
        <v>18</v>
      </c>
      <c r="L592" t="s">
        <v>40</v>
      </c>
      <c r="M592" t="s">
        <v>63</v>
      </c>
      <c r="N592" t="s">
        <v>61</v>
      </c>
      <c r="O592" t="s">
        <v>68</v>
      </c>
      <c r="P592" t="s">
        <v>18</v>
      </c>
      <c r="Q592">
        <f>Table1[[#This Row],[Course_Fee_AED]]-Table1[[#This Row],[Amount_Paid_AED]]</f>
        <v>2090</v>
      </c>
      <c r="R592">
        <f>Table1[[#This Row],[Course_Fee_AED]]-Table1[[#This Row],[pending Revenue]]</f>
        <v>4176</v>
      </c>
    </row>
    <row r="593" spans="1:18" x14ac:dyDescent="0.25">
      <c r="A593" t="s">
        <v>670</v>
      </c>
      <c r="B593" s="2">
        <v>45629</v>
      </c>
      <c r="C593" t="s">
        <v>51</v>
      </c>
      <c r="D593" t="s">
        <v>52</v>
      </c>
      <c r="E593" t="s">
        <v>17</v>
      </c>
      <c r="F593" s="5">
        <v>6</v>
      </c>
      <c r="G593" s="5">
        <v>1</v>
      </c>
      <c r="H593" s="5">
        <v>4294</v>
      </c>
      <c r="I593" s="5">
        <v>3</v>
      </c>
      <c r="J593" s="5">
        <v>4293</v>
      </c>
      <c r="K593" t="s">
        <v>18</v>
      </c>
      <c r="L593" t="s">
        <v>19</v>
      </c>
      <c r="M593" t="s">
        <v>47</v>
      </c>
      <c r="N593" t="s">
        <v>53</v>
      </c>
      <c r="O593" t="s">
        <v>71</v>
      </c>
      <c r="P593" t="s">
        <v>18</v>
      </c>
      <c r="Q593">
        <f>Table1[[#This Row],[Course_Fee_AED]]-Table1[[#This Row],[Amount_Paid_AED]]</f>
        <v>1</v>
      </c>
      <c r="R593">
        <f>Table1[[#This Row],[Course_Fee_AED]]-Table1[[#This Row],[pending Revenue]]</f>
        <v>4293</v>
      </c>
    </row>
    <row r="594" spans="1:18" x14ac:dyDescent="0.25">
      <c r="A594" t="s">
        <v>671</v>
      </c>
      <c r="B594" s="2">
        <v>45618</v>
      </c>
      <c r="C594" t="s">
        <v>92</v>
      </c>
      <c r="D594" t="s">
        <v>93</v>
      </c>
      <c r="E594" t="s">
        <v>17</v>
      </c>
      <c r="F594" s="5">
        <v>6</v>
      </c>
      <c r="G594" s="5">
        <v>1</v>
      </c>
      <c r="H594" s="5">
        <v>6045</v>
      </c>
      <c r="I594" s="5">
        <v>2</v>
      </c>
      <c r="J594" s="5">
        <v>4030</v>
      </c>
      <c r="K594" t="s">
        <v>18</v>
      </c>
      <c r="L594" t="s">
        <v>40</v>
      </c>
      <c r="M594" t="s">
        <v>47</v>
      </c>
      <c r="N594" t="s">
        <v>154</v>
      </c>
      <c r="O594" t="s">
        <v>35</v>
      </c>
      <c r="P594" t="s">
        <v>18</v>
      </c>
      <c r="Q594">
        <f>Table1[[#This Row],[Course_Fee_AED]]-Table1[[#This Row],[Amount_Paid_AED]]</f>
        <v>2015</v>
      </c>
      <c r="R594">
        <f>Table1[[#This Row],[Course_Fee_AED]]-Table1[[#This Row],[pending Revenue]]</f>
        <v>4030</v>
      </c>
    </row>
    <row r="595" spans="1:18" x14ac:dyDescent="0.25">
      <c r="A595" t="s">
        <v>672</v>
      </c>
      <c r="B595" s="2">
        <v>45392</v>
      </c>
      <c r="C595" t="s">
        <v>75</v>
      </c>
      <c r="D595" t="s">
        <v>76</v>
      </c>
      <c r="E595" t="s">
        <v>17</v>
      </c>
      <c r="F595" s="5">
        <v>6</v>
      </c>
      <c r="G595" s="5">
        <v>1</v>
      </c>
      <c r="H595" s="5">
        <v>11772</v>
      </c>
      <c r="I595" s="5">
        <v>2</v>
      </c>
      <c r="J595" s="5">
        <v>7848</v>
      </c>
      <c r="K595" t="s">
        <v>18</v>
      </c>
      <c r="L595" t="s">
        <v>40</v>
      </c>
      <c r="M595" t="s">
        <v>20</v>
      </c>
      <c r="N595" t="s">
        <v>34</v>
      </c>
      <c r="O595" t="s">
        <v>71</v>
      </c>
      <c r="P595" t="s">
        <v>18</v>
      </c>
      <c r="Q595">
        <f>Table1[[#This Row],[Course_Fee_AED]]-Table1[[#This Row],[Amount_Paid_AED]]</f>
        <v>3924</v>
      </c>
      <c r="R595">
        <f>Table1[[#This Row],[Course_Fee_AED]]-Table1[[#This Row],[pending Revenue]]</f>
        <v>7848</v>
      </c>
    </row>
    <row r="596" spans="1:18" x14ac:dyDescent="0.25">
      <c r="A596" t="s">
        <v>673</v>
      </c>
      <c r="B596" s="2">
        <v>45299</v>
      </c>
      <c r="C596" t="s">
        <v>24</v>
      </c>
      <c r="D596" t="s">
        <v>25</v>
      </c>
      <c r="E596" t="s">
        <v>26</v>
      </c>
      <c r="F596" s="5">
        <v>3</v>
      </c>
      <c r="G596" s="5">
        <v>1</v>
      </c>
      <c r="H596" s="5">
        <v>6805</v>
      </c>
      <c r="I596" s="5">
        <v>1</v>
      </c>
      <c r="J596" s="5">
        <v>2268</v>
      </c>
      <c r="K596" t="s">
        <v>18</v>
      </c>
      <c r="L596" t="s">
        <v>19</v>
      </c>
      <c r="M596" t="s">
        <v>20</v>
      </c>
      <c r="N596" t="s">
        <v>70</v>
      </c>
      <c r="O596" t="s">
        <v>22</v>
      </c>
      <c r="P596" t="s">
        <v>36</v>
      </c>
      <c r="Q596">
        <f>Table1[[#This Row],[Course_Fee_AED]]-Table1[[#This Row],[Amount_Paid_AED]]</f>
        <v>4537</v>
      </c>
      <c r="R596">
        <f>Table1[[#This Row],[Course_Fee_AED]]-Table1[[#This Row],[pending Revenue]]</f>
        <v>2268</v>
      </c>
    </row>
    <row r="597" spans="1:18" x14ac:dyDescent="0.25">
      <c r="A597" t="s">
        <v>674</v>
      </c>
      <c r="B597" s="2">
        <v>45535</v>
      </c>
      <c r="C597" t="s">
        <v>75</v>
      </c>
      <c r="D597" t="s">
        <v>76</v>
      </c>
      <c r="E597" t="s">
        <v>26</v>
      </c>
      <c r="F597" s="5">
        <v>3</v>
      </c>
      <c r="G597" s="5">
        <v>1</v>
      </c>
      <c r="H597" s="5">
        <v>14148</v>
      </c>
      <c r="I597" s="5">
        <v>3</v>
      </c>
      <c r="J597" s="5">
        <v>14148</v>
      </c>
      <c r="K597" t="s">
        <v>33</v>
      </c>
      <c r="L597" t="s">
        <v>19</v>
      </c>
      <c r="M597" t="s">
        <v>47</v>
      </c>
      <c r="N597" t="s">
        <v>28</v>
      </c>
      <c r="O597" t="s">
        <v>49</v>
      </c>
      <c r="P597" t="s">
        <v>18</v>
      </c>
      <c r="Q597">
        <f>Table1[[#This Row],[Course_Fee_AED]]-Table1[[#This Row],[Amount_Paid_AED]]</f>
        <v>0</v>
      </c>
      <c r="R597">
        <f>Table1[[#This Row],[Course_Fee_AED]]-Table1[[#This Row],[pending Revenue]]</f>
        <v>14148</v>
      </c>
    </row>
    <row r="598" spans="1:18" x14ac:dyDescent="0.25">
      <c r="A598" t="s">
        <v>675</v>
      </c>
      <c r="B598" s="2">
        <v>45402</v>
      </c>
      <c r="C598" t="s">
        <v>24</v>
      </c>
      <c r="D598" t="s">
        <v>25</v>
      </c>
      <c r="E598" t="s">
        <v>17</v>
      </c>
      <c r="F598" s="5">
        <v>6</v>
      </c>
      <c r="G598" s="5">
        <v>1</v>
      </c>
      <c r="H598" s="5">
        <v>5609</v>
      </c>
      <c r="I598" s="5">
        <v>2</v>
      </c>
      <c r="J598" s="5">
        <v>3738</v>
      </c>
      <c r="K598" t="s">
        <v>18</v>
      </c>
      <c r="L598" t="s">
        <v>40</v>
      </c>
      <c r="M598" t="s">
        <v>63</v>
      </c>
      <c r="N598" t="s">
        <v>116</v>
      </c>
      <c r="O598" t="s">
        <v>43</v>
      </c>
      <c r="P598" t="s">
        <v>36</v>
      </c>
      <c r="Q598">
        <f>Table1[[#This Row],[Course_Fee_AED]]-Table1[[#This Row],[Amount_Paid_AED]]</f>
        <v>1871</v>
      </c>
      <c r="R598">
        <f>Table1[[#This Row],[Course_Fee_AED]]-Table1[[#This Row],[pending Revenue]]</f>
        <v>3738</v>
      </c>
    </row>
    <row r="599" spans="1:18" x14ac:dyDescent="0.25">
      <c r="A599" t="s">
        <v>676</v>
      </c>
      <c r="B599" s="2">
        <v>45343</v>
      </c>
      <c r="C599" t="s">
        <v>45</v>
      </c>
      <c r="D599" t="s">
        <v>46</v>
      </c>
      <c r="E599" t="s">
        <v>17</v>
      </c>
      <c r="F599" s="5">
        <v>6</v>
      </c>
      <c r="G599" s="5">
        <v>1</v>
      </c>
      <c r="H599" s="5">
        <v>6309</v>
      </c>
      <c r="I599" s="5">
        <v>2</v>
      </c>
      <c r="J599" s="5">
        <v>4206</v>
      </c>
      <c r="K599" t="s">
        <v>18</v>
      </c>
      <c r="L599" t="s">
        <v>40</v>
      </c>
      <c r="M599" t="s">
        <v>47</v>
      </c>
      <c r="N599" t="s">
        <v>90</v>
      </c>
      <c r="O599" t="s">
        <v>49</v>
      </c>
      <c r="P599" t="s">
        <v>18</v>
      </c>
      <c r="Q599">
        <f>Table1[[#This Row],[Course_Fee_AED]]-Table1[[#This Row],[Amount_Paid_AED]]</f>
        <v>2103</v>
      </c>
      <c r="R599">
        <f>Table1[[#This Row],[Course_Fee_AED]]-Table1[[#This Row],[pending Revenue]]</f>
        <v>4206</v>
      </c>
    </row>
    <row r="600" spans="1:18" x14ac:dyDescent="0.25">
      <c r="A600" t="s">
        <v>677</v>
      </c>
      <c r="B600" s="2">
        <v>45542</v>
      </c>
      <c r="C600" t="s">
        <v>31</v>
      </c>
      <c r="D600" t="s">
        <v>32</v>
      </c>
      <c r="E600" t="s">
        <v>17</v>
      </c>
      <c r="F600" s="5">
        <v>6</v>
      </c>
      <c r="G600" s="5">
        <v>1</v>
      </c>
      <c r="H600" s="5">
        <v>6762</v>
      </c>
      <c r="I600" s="5">
        <v>3</v>
      </c>
      <c r="J600" s="5">
        <v>6762</v>
      </c>
      <c r="K600" t="s">
        <v>33</v>
      </c>
      <c r="L600" t="s">
        <v>40</v>
      </c>
      <c r="M600" t="s">
        <v>20</v>
      </c>
      <c r="N600" t="s">
        <v>53</v>
      </c>
      <c r="O600" t="s">
        <v>64</v>
      </c>
      <c r="P600" t="s">
        <v>18</v>
      </c>
      <c r="Q600">
        <f>Table1[[#This Row],[Course_Fee_AED]]-Table1[[#This Row],[Amount_Paid_AED]]</f>
        <v>0</v>
      </c>
      <c r="R600">
        <f>Table1[[#This Row],[Course_Fee_AED]]-Table1[[#This Row],[pending Revenue]]</f>
        <v>6762</v>
      </c>
    </row>
    <row r="601" spans="1:18" x14ac:dyDescent="0.25">
      <c r="A601" t="s">
        <v>678</v>
      </c>
      <c r="B601" s="2">
        <v>45465</v>
      </c>
      <c r="C601" t="s">
        <v>38</v>
      </c>
      <c r="D601" t="s">
        <v>39</v>
      </c>
      <c r="E601" t="s">
        <v>26</v>
      </c>
      <c r="F601" s="5">
        <v>3</v>
      </c>
      <c r="G601" s="5">
        <v>1</v>
      </c>
      <c r="H601" s="5">
        <v>7125</v>
      </c>
      <c r="I601" s="5">
        <v>2</v>
      </c>
      <c r="J601" s="5">
        <v>4750</v>
      </c>
      <c r="K601" t="s">
        <v>18</v>
      </c>
      <c r="L601" t="s">
        <v>40</v>
      </c>
      <c r="M601" t="s">
        <v>47</v>
      </c>
      <c r="N601" t="s">
        <v>70</v>
      </c>
      <c r="O601" t="s">
        <v>87</v>
      </c>
      <c r="P601" t="s">
        <v>36</v>
      </c>
      <c r="Q601">
        <f>Table1[[#This Row],[Course_Fee_AED]]-Table1[[#This Row],[Amount_Paid_AED]]</f>
        <v>2375</v>
      </c>
      <c r="R601">
        <f>Table1[[#This Row],[Course_Fee_AED]]-Table1[[#This Row],[pending Revenue]]</f>
        <v>4750</v>
      </c>
    </row>
    <row r="602" spans="1:18" x14ac:dyDescent="0.25">
      <c r="A602" t="s">
        <v>679</v>
      </c>
      <c r="B602" s="2">
        <v>45579</v>
      </c>
      <c r="C602" t="s">
        <v>82</v>
      </c>
      <c r="D602" t="s">
        <v>83</v>
      </c>
      <c r="E602" t="s">
        <v>17</v>
      </c>
      <c r="F602" s="5">
        <v>6</v>
      </c>
      <c r="G602" s="5">
        <v>1</v>
      </c>
      <c r="H602" s="5">
        <v>14373</v>
      </c>
      <c r="I602" s="5">
        <v>3</v>
      </c>
      <c r="J602" s="5">
        <v>14373</v>
      </c>
      <c r="K602" t="s">
        <v>33</v>
      </c>
      <c r="L602" t="s">
        <v>40</v>
      </c>
      <c r="M602" t="s">
        <v>20</v>
      </c>
      <c r="N602" t="s">
        <v>42</v>
      </c>
      <c r="O602" t="s">
        <v>64</v>
      </c>
      <c r="P602" t="s">
        <v>36</v>
      </c>
      <c r="Q602">
        <f>Table1[[#This Row],[Course_Fee_AED]]-Table1[[#This Row],[Amount_Paid_AED]]</f>
        <v>0</v>
      </c>
      <c r="R602">
        <f>Table1[[#This Row],[Course_Fee_AED]]-Table1[[#This Row],[pending Revenue]]</f>
        <v>14373</v>
      </c>
    </row>
    <row r="603" spans="1:18" x14ac:dyDescent="0.25">
      <c r="A603" t="s">
        <v>680</v>
      </c>
      <c r="B603" s="2">
        <v>45586</v>
      </c>
      <c r="C603" t="s">
        <v>24</v>
      </c>
      <c r="D603" t="s">
        <v>25</v>
      </c>
      <c r="E603" t="s">
        <v>26</v>
      </c>
      <c r="F603" s="5">
        <v>3</v>
      </c>
      <c r="G603" s="5">
        <v>1</v>
      </c>
      <c r="H603" s="5">
        <v>5100</v>
      </c>
      <c r="I603" s="5">
        <v>3</v>
      </c>
      <c r="J603" s="5">
        <v>5100</v>
      </c>
      <c r="K603" t="s">
        <v>33</v>
      </c>
      <c r="L603" t="s">
        <v>40</v>
      </c>
      <c r="M603" t="s">
        <v>27</v>
      </c>
      <c r="N603" t="s">
        <v>70</v>
      </c>
      <c r="O603" t="s">
        <v>68</v>
      </c>
      <c r="P603" t="s">
        <v>18</v>
      </c>
      <c r="Q603">
        <f>Table1[[#This Row],[Course_Fee_AED]]-Table1[[#This Row],[Amount_Paid_AED]]</f>
        <v>0</v>
      </c>
      <c r="R603">
        <f>Table1[[#This Row],[Course_Fee_AED]]-Table1[[#This Row],[pending Revenue]]</f>
        <v>5100</v>
      </c>
    </row>
    <row r="604" spans="1:18" x14ac:dyDescent="0.25">
      <c r="A604" t="s">
        <v>681</v>
      </c>
      <c r="B604" s="2">
        <v>45562</v>
      </c>
      <c r="C604" t="s">
        <v>75</v>
      </c>
      <c r="D604" t="s">
        <v>76</v>
      </c>
      <c r="E604" t="s">
        <v>26</v>
      </c>
      <c r="F604" s="5">
        <v>3</v>
      </c>
      <c r="G604" s="5">
        <v>1</v>
      </c>
      <c r="H604" s="5">
        <v>13115</v>
      </c>
      <c r="I604" s="5">
        <v>2</v>
      </c>
      <c r="J604" s="5">
        <v>8742</v>
      </c>
      <c r="K604" t="s">
        <v>18</v>
      </c>
      <c r="L604" t="s">
        <v>40</v>
      </c>
      <c r="M604" t="s">
        <v>60</v>
      </c>
      <c r="N604" t="s">
        <v>21</v>
      </c>
      <c r="O604" t="s">
        <v>68</v>
      </c>
      <c r="P604" t="s">
        <v>36</v>
      </c>
      <c r="Q604">
        <f>Table1[[#This Row],[Course_Fee_AED]]-Table1[[#This Row],[Amount_Paid_AED]]</f>
        <v>4373</v>
      </c>
      <c r="R604">
        <f>Table1[[#This Row],[Course_Fee_AED]]-Table1[[#This Row],[pending Revenue]]</f>
        <v>8742</v>
      </c>
    </row>
    <row r="605" spans="1:18" x14ac:dyDescent="0.25">
      <c r="A605" t="s">
        <v>682</v>
      </c>
      <c r="B605" s="2">
        <v>45503</v>
      </c>
      <c r="C605" t="s">
        <v>15</v>
      </c>
      <c r="D605" t="s">
        <v>16</v>
      </c>
      <c r="E605" t="s">
        <v>17</v>
      </c>
      <c r="F605" s="5">
        <v>6</v>
      </c>
      <c r="G605" s="5">
        <v>1</v>
      </c>
      <c r="H605" s="5">
        <v>7270</v>
      </c>
      <c r="I605" s="5">
        <v>1</v>
      </c>
      <c r="J605" s="5">
        <v>2423</v>
      </c>
      <c r="K605" t="s">
        <v>18</v>
      </c>
      <c r="L605" t="s">
        <v>19</v>
      </c>
      <c r="M605" t="s">
        <v>60</v>
      </c>
      <c r="N605" t="s">
        <v>70</v>
      </c>
      <c r="O605" t="s">
        <v>64</v>
      </c>
      <c r="P605" t="s">
        <v>36</v>
      </c>
      <c r="Q605">
        <f>Table1[[#This Row],[Course_Fee_AED]]-Table1[[#This Row],[Amount_Paid_AED]]</f>
        <v>4847</v>
      </c>
      <c r="R605">
        <f>Table1[[#This Row],[Course_Fee_AED]]-Table1[[#This Row],[pending Revenue]]</f>
        <v>2423</v>
      </c>
    </row>
    <row r="606" spans="1:18" x14ac:dyDescent="0.25">
      <c r="A606" t="s">
        <v>683</v>
      </c>
      <c r="B606" s="2">
        <v>45582</v>
      </c>
      <c r="C606" t="s">
        <v>31</v>
      </c>
      <c r="D606" t="s">
        <v>32</v>
      </c>
      <c r="E606" t="s">
        <v>17</v>
      </c>
      <c r="F606" s="5">
        <v>6</v>
      </c>
      <c r="G606" s="5">
        <v>1</v>
      </c>
      <c r="H606" s="5">
        <v>7704</v>
      </c>
      <c r="I606" s="5">
        <v>2</v>
      </c>
      <c r="J606" s="5">
        <v>5136</v>
      </c>
      <c r="K606" t="s">
        <v>18</v>
      </c>
      <c r="L606" t="s">
        <v>40</v>
      </c>
      <c r="M606" t="s">
        <v>60</v>
      </c>
      <c r="N606" t="s">
        <v>34</v>
      </c>
      <c r="O606" t="s">
        <v>58</v>
      </c>
      <c r="P606" t="s">
        <v>18</v>
      </c>
      <c r="Q606">
        <f>Table1[[#This Row],[Course_Fee_AED]]-Table1[[#This Row],[Amount_Paid_AED]]</f>
        <v>2568</v>
      </c>
      <c r="R606">
        <f>Table1[[#This Row],[Course_Fee_AED]]-Table1[[#This Row],[pending Revenue]]</f>
        <v>5136</v>
      </c>
    </row>
    <row r="607" spans="1:18" x14ac:dyDescent="0.25">
      <c r="A607" t="s">
        <v>684</v>
      </c>
      <c r="B607" s="2">
        <v>45482</v>
      </c>
      <c r="C607" t="s">
        <v>66</v>
      </c>
      <c r="D607" t="s">
        <v>56</v>
      </c>
      <c r="E607" t="s">
        <v>17</v>
      </c>
      <c r="F607" s="5">
        <v>6</v>
      </c>
      <c r="G607" s="5">
        <v>1</v>
      </c>
      <c r="H607" s="5">
        <v>9408</v>
      </c>
      <c r="I607" s="5">
        <v>3</v>
      </c>
      <c r="J607" s="5">
        <v>9408</v>
      </c>
      <c r="K607" t="s">
        <v>33</v>
      </c>
      <c r="L607" t="s">
        <v>57</v>
      </c>
      <c r="M607" t="s">
        <v>47</v>
      </c>
      <c r="N607" t="s">
        <v>42</v>
      </c>
      <c r="O607" t="s">
        <v>64</v>
      </c>
      <c r="P607" t="s">
        <v>18</v>
      </c>
      <c r="Q607">
        <f>Table1[[#This Row],[Course_Fee_AED]]-Table1[[#This Row],[Amount_Paid_AED]]</f>
        <v>0</v>
      </c>
      <c r="R607">
        <f>Table1[[#This Row],[Course_Fee_AED]]-Table1[[#This Row],[pending Revenue]]</f>
        <v>9408</v>
      </c>
    </row>
    <row r="608" spans="1:18" x14ac:dyDescent="0.25">
      <c r="A608" t="s">
        <v>685</v>
      </c>
      <c r="B608" s="2">
        <v>45601</v>
      </c>
      <c r="C608" t="s">
        <v>106</v>
      </c>
      <c r="D608" t="s">
        <v>107</v>
      </c>
      <c r="E608" t="s">
        <v>17</v>
      </c>
      <c r="F608" s="5">
        <v>6</v>
      </c>
      <c r="G608" s="5">
        <v>1</v>
      </c>
      <c r="H608" s="5">
        <v>8317</v>
      </c>
      <c r="I608" s="5">
        <v>1</v>
      </c>
      <c r="J608" s="5">
        <v>2772</v>
      </c>
      <c r="K608" t="s">
        <v>18</v>
      </c>
      <c r="L608" t="s">
        <v>40</v>
      </c>
      <c r="M608" t="s">
        <v>27</v>
      </c>
      <c r="N608" t="s">
        <v>95</v>
      </c>
      <c r="O608" t="s">
        <v>68</v>
      </c>
      <c r="P608" t="s">
        <v>18</v>
      </c>
      <c r="Q608">
        <f>Table1[[#This Row],[Course_Fee_AED]]-Table1[[#This Row],[Amount_Paid_AED]]</f>
        <v>5545</v>
      </c>
      <c r="R608">
        <f>Table1[[#This Row],[Course_Fee_AED]]-Table1[[#This Row],[pending Revenue]]</f>
        <v>2772</v>
      </c>
    </row>
    <row r="609" spans="1:18" x14ac:dyDescent="0.25">
      <c r="A609" t="s">
        <v>686</v>
      </c>
      <c r="B609" s="2">
        <v>45604</v>
      </c>
      <c r="C609" t="s">
        <v>92</v>
      </c>
      <c r="D609" t="s">
        <v>93</v>
      </c>
      <c r="E609" t="s">
        <v>17</v>
      </c>
      <c r="F609" s="5">
        <v>6</v>
      </c>
      <c r="G609" s="5">
        <v>1</v>
      </c>
      <c r="H609" s="5">
        <v>5392</v>
      </c>
      <c r="I609" s="5">
        <v>1</v>
      </c>
      <c r="J609" s="5">
        <v>1797</v>
      </c>
      <c r="K609" t="s">
        <v>18</v>
      </c>
      <c r="L609" t="s">
        <v>40</v>
      </c>
      <c r="M609" t="s">
        <v>20</v>
      </c>
      <c r="N609" t="s">
        <v>34</v>
      </c>
      <c r="O609" t="s">
        <v>35</v>
      </c>
      <c r="P609" t="s">
        <v>36</v>
      </c>
      <c r="Q609">
        <f>Table1[[#This Row],[Course_Fee_AED]]-Table1[[#This Row],[Amount_Paid_AED]]</f>
        <v>3595</v>
      </c>
      <c r="R609">
        <f>Table1[[#This Row],[Course_Fee_AED]]-Table1[[#This Row],[pending Revenue]]</f>
        <v>1797</v>
      </c>
    </row>
    <row r="610" spans="1:18" x14ac:dyDescent="0.25">
      <c r="A610" t="s">
        <v>687</v>
      </c>
      <c r="B610" s="2">
        <v>45454</v>
      </c>
      <c r="C610" t="s">
        <v>92</v>
      </c>
      <c r="D610" t="s">
        <v>93</v>
      </c>
      <c r="E610" t="s">
        <v>17</v>
      </c>
      <c r="F610" s="5">
        <v>6</v>
      </c>
      <c r="G610" s="5">
        <v>1</v>
      </c>
      <c r="H610" s="5">
        <v>4794</v>
      </c>
      <c r="I610" s="5">
        <v>2</v>
      </c>
      <c r="J610" s="5">
        <v>3196</v>
      </c>
      <c r="K610" t="s">
        <v>18</v>
      </c>
      <c r="L610" t="s">
        <v>57</v>
      </c>
      <c r="M610" t="s">
        <v>47</v>
      </c>
      <c r="N610" t="s">
        <v>34</v>
      </c>
      <c r="O610" t="s">
        <v>49</v>
      </c>
      <c r="P610" t="s">
        <v>36</v>
      </c>
      <c r="Q610">
        <f>Table1[[#This Row],[Course_Fee_AED]]-Table1[[#This Row],[Amount_Paid_AED]]</f>
        <v>1598</v>
      </c>
      <c r="R610">
        <f>Table1[[#This Row],[Course_Fee_AED]]-Table1[[#This Row],[pending Revenue]]</f>
        <v>3196</v>
      </c>
    </row>
    <row r="611" spans="1:18" x14ac:dyDescent="0.25">
      <c r="A611" t="s">
        <v>688</v>
      </c>
      <c r="B611" s="2">
        <v>45421</v>
      </c>
      <c r="C611" t="s">
        <v>38</v>
      </c>
      <c r="D611" t="s">
        <v>39</v>
      </c>
      <c r="E611" t="s">
        <v>26</v>
      </c>
      <c r="F611" s="5">
        <v>3</v>
      </c>
      <c r="G611" s="5">
        <v>1</v>
      </c>
      <c r="H611" s="5">
        <v>5691</v>
      </c>
      <c r="I611" s="5">
        <v>1</v>
      </c>
      <c r="J611" s="5">
        <v>1897</v>
      </c>
      <c r="K611" t="s">
        <v>18</v>
      </c>
      <c r="L611" t="s">
        <v>57</v>
      </c>
      <c r="M611" t="s">
        <v>63</v>
      </c>
      <c r="N611" t="s">
        <v>73</v>
      </c>
      <c r="O611" t="s">
        <v>58</v>
      </c>
      <c r="P611" t="s">
        <v>36</v>
      </c>
      <c r="Q611">
        <f>Table1[[#This Row],[Course_Fee_AED]]-Table1[[#This Row],[Amount_Paid_AED]]</f>
        <v>3794</v>
      </c>
      <c r="R611">
        <f>Table1[[#This Row],[Course_Fee_AED]]-Table1[[#This Row],[pending Revenue]]</f>
        <v>1897</v>
      </c>
    </row>
    <row r="612" spans="1:18" x14ac:dyDescent="0.25">
      <c r="A612" t="s">
        <v>689</v>
      </c>
      <c r="B612" s="2">
        <v>45372</v>
      </c>
      <c r="C612" t="s">
        <v>51</v>
      </c>
      <c r="D612" t="s">
        <v>52</v>
      </c>
      <c r="E612" t="s">
        <v>26</v>
      </c>
      <c r="F612" s="5">
        <v>3</v>
      </c>
      <c r="G612" s="5">
        <v>1</v>
      </c>
      <c r="H612" s="5">
        <v>4696</v>
      </c>
      <c r="I612" s="5">
        <v>2</v>
      </c>
      <c r="J612" s="5">
        <v>3130</v>
      </c>
      <c r="K612" t="s">
        <v>18</v>
      </c>
      <c r="L612" t="s">
        <v>57</v>
      </c>
      <c r="M612" t="s">
        <v>41</v>
      </c>
      <c r="N612" t="s">
        <v>154</v>
      </c>
      <c r="O612" t="s">
        <v>64</v>
      </c>
      <c r="P612" t="s">
        <v>18</v>
      </c>
      <c r="Q612">
        <f>Table1[[#This Row],[Course_Fee_AED]]-Table1[[#This Row],[Amount_Paid_AED]]</f>
        <v>1566</v>
      </c>
      <c r="R612">
        <f>Table1[[#This Row],[Course_Fee_AED]]-Table1[[#This Row],[pending Revenue]]</f>
        <v>3130</v>
      </c>
    </row>
    <row r="613" spans="1:18" x14ac:dyDescent="0.25">
      <c r="A613" t="s">
        <v>690</v>
      </c>
      <c r="B613" s="2">
        <v>45301</v>
      </c>
      <c r="C613" t="s">
        <v>45</v>
      </c>
      <c r="D613" t="s">
        <v>46</v>
      </c>
      <c r="E613" t="s">
        <v>26</v>
      </c>
      <c r="F613" s="5">
        <v>3</v>
      </c>
      <c r="G613" s="5">
        <v>1</v>
      </c>
      <c r="H613" s="5">
        <v>5359</v>
      </c>
      <c r="I613" s="5">
        <v>1</v>
      </c>
      <c r="J613" s="5">
        <v>1786</v>
      </c>
      <c r="K613" t="s">
        <v>18</v>
      </c>
      <c r="L613" t="s">
        <v>57</v>
      </c>
      <c r="M613" t="s">
        <v>20</v>
      </c>
      <c r="N613" t="s">
        <v>48</v>
      </c>
      <c r="O613" t="s">
        <v>35</v>
      </c>
      <c r="P613" t="s">
        <v>18</v>
      </c>
      <c r="Q613">
        <f>Table1[[#This Row],[Course_Fee_AED]]-Table1[[#This Row],[Amount_Paid_AED]]</f>
        <v>3573</v>
      </c>
      <c r="R613">
        <f>Table1[[#This Row],[Course_Fee_AED]]-Table1[[#This Row],[pending Revenue]]</f>
        <v>1786</v>
      </c>
    </row>
    <row r="614" spans="1:18" x14ac:dyDescent="0.25">
      <c r="A614" t="s">
        <v>691</v>
      </c>
      <c r="B614" s="2">
        <v>45386</v>
      </c>
      <c r="C614" t="s">
        <v>75</v>
      </c>
      <c r="D614" t="s">
        <v>76</v>
      </c>
      <c r="E614" t="s">
        <v>26</v>
      </c>
      <c r="F614" s="5">
        <v>3</v>
      </c>
      <c r="G614" s="5">
        <v>1</v>
      </c>
      <c r="H614" s="5">
        <v>7430</v>
      </c>
      <c r="I614" s="5">
        <v>3</v>
      </c>
      <c r="J614" s="5">
        <v>7428</v>
      </c>
      <c r="K614" t="s">
        <v>18</v>
      </c>
      <c r="L614" t="s">
        <v>57</v>
      </c>
      <c r="M614" t="s">
        <v>63</v>
      </c>
      <c r="N614" t="s">
        <v>116</v>
      </c>
      <c r="O614" t="s">
        <v>22</v>
      </c>
      <c r="P614" t="s">
        <v>18</v>
      </c>
      <c r="Q614">
        <f>Table1[[#This Row],[Course_Fee_AED]]-Table1[[#This Row],[Amount_Paid_AED]]</f>
        <v>2</v>
      </c>
      <c r="R614">
        <f>Table1[[#This Row],[Course_Fee_AED]]-Table1[[#This Row],[pending Revenue]]</f>
        <v>7428</v>
      </c>
    </row>
    <row r="615" spans="1:18" x14ac:dyDescent="0.25">
      <c r="A615" t="s">
        <v>692</v>
      </c>
      <c r="B615" s="2">
        <v>45327</v>
      </c>
      <c r="C615" t="s">
        <v>66</v>
      </c>
      <c r="D615" t="s">
        <v>56</v>
      </c>
      <c r="E615" t="s">
        <v>17</v>
      </c>
      <c r="F615" s="5">
        <v>6</v>
      </c>
      <c r="G615" s="5">
        <v>1</v>
      </c>
      <c r="H615" s="5">
        <v>9140</v>
      </c>
      <c r="I615" s="5">
        <v>3</v>
      </c>
      <c r="J615" s="5">
        <v>9138</v>
      </c>
      <c r="K615" t="s">
        <v>18</v>
      </c>
      <c r="L615" t="s">
        <v>40</v>
      </c>
      <c r="M615" t="s">
        <v>47</v>
      </c>
      <c r="N615" t="s">
        <v>95</v>
      </c>
      <c r="O615" t="s">
        <v>68</v>
      </c>
      <c r="P615" t="s">
        <v>36</v>
      </c>
      <c r="Q615">
        <f>Table1[[#This Row],[Course_Fee_AED]]-Table1[[#This Row],[Amount_Paid_AED]]</f>
        <v>2</v>
      </c>
      <c r="R615">
        <f>Table1[[#This Row],[Course_Fee_AED]]-Table1[[#This Row],[pending Revenue]]</f>
        <v>9138</v>
      </c>
    </row>
    <row r="616" spans="1:18" x14ac:dyDescent="0.25">
      <c r="A616" t="s">
        <v>693</v>
      </c>
      <c r="B616" s="2">
        <v>45486</v>
      </c>
      <c r="C616" t="s">
        <v>106</v>
      </c>
      <c r="D616" t="s">
        <v>107</v>
      </c>
      <c r="E616" t="s">
        <v>17</v>
      </c>
      <c r="F616" s="5">
        <v>6</v>
      </c>
      <c r="G616" s="5">
        <v>1</v>
      </c>
      <c r="H616" s="5">
        <v>8504</v>
      </c>
      <c r="I616" s="5">
        <v>3</v>
      </c>
      <c r="J616" s="5">
        <v>8502</v>
      </c>
      <c r="K616" t="s">
        <v>18</v>
      </c>
      <c r="L616" t="s">
        <v>19</v>
      </c>
      <c r="M616" t="s">
        <v>63</v>
      </c>
      <c r="N616" t="s">
        <v>28</v>
      </c>
      <c r="O616" t="s">
        <v>49</v>
      </c>
      <c r="P616" t="s">
        <v>18</v>
      </c>
      <c r="Q616">
        <f>Table1[[#This Row],[Course_Fee_AED]]-Table1[[#This Row],[Amount_Paid_AED]]</f>
        <v>2</v>
      </c>
      <c r="R616">
        <f>Table1[[#This Row],[Course_Fee_AED]]-Table1[[#This Row],[pending Revenue]]</f>
        <v>8502</v>
      </c>
    </row>
    <row r="617" spans="1:18" x14ac:dyDescent="0.25">
      <c r="A617" t="s">
        <v>694</v>
      </c>
      <c r="B617" s="2">
        <v>45621</v>
      </c>
      <c r="C617" t="s">
        <v>55</v>
      </c>
      <c r="D617" t="s">
        <v>56</v>
      </c>
      <c r="E617" t="s">
        <v>17</v>
      </c>
      <c r="F617" s="5">
        <v>6</v>
      </c>
      <c r="G617" s="5">
        <v>1</v>
      </c>
      <c r="H617" s="5">
        <v>8909</v>
      </c>
      <c r="I617" s="5">
        <v>2</v>
      </c>
      <c r="J617" s="5">
        <v>5938</v>
      </c>
      <c r="K617" t="s">
        <v>18</v>
      </c>
      <c r="L617" t="s">
        <v>40</v>
      </c>
      <c r="M617" t="s">
        <v>41</v>
      </c>
      <c r="N617" t="s">
        <v>48</v>
      </c>
      <c r="O617" t="s">
        <v>29</v>
      </c>
      <c r="P617" t="s">
        <v>18</v>
      </c>
      <c r="Q617">
        <f>Table1[[#This Row],[Course_Fee_AED]]-Table1[[#This Row],[Amount_Paid_AED]]</f>
        <v>2971</v>
      </c>
      <c r="R617">
        <f>Table1[[#This Row],[Course_Fee_AED]]-Table1[[#This Row],[pending Revenue]]</f>
        <v>5938</v>
      </c>
    </row>
    <row r="618" spans="1:18" x14ac:dyDescent="0.25">
      <c r="A618" t="s">
        <v>695</v>
      </c>
      <c r="B618" s="2">
        <v>45620</v>
      </c>
      <c r="C618" t="s">
        <v>92</v>
      </c>
      <c r="D618" t="s">
        <v>93</v>
      </c>
      <c r="E618" t="s">
        <v>17</v>
      </c>
      <c r="F618" s="5">
        <v>6</v>
      </c>
      <c r="G618" s="5">
        <v>1</v>
      </c>
      <c r="H618" s="5">
        <v>7605</v>
      </c>
      <c r="I618" s="5">
        <v>3</v>
      </c>
      <c r="J618" s="5">
        <v>7605</v>
      </c>
      <c r="K618" t="s">
        <v>33</v>
      </c>
      <c r="L618" t="s">
        <v>40</v>
      </c>
      <c r="M618" t="s">
        <v>41</v>
      </c>
      <c r="N618" t="s">
        <v>95</v>
      </c>
      <c r="O618" t="s">
        <v>29</v>
      </c>
      <c r="P618" t="s">
        <v>36</v>
      </c>
      <c r="Q618">
        <f>Table1[[#This Row],[Course_Fee_AED]]-Table1[[#This Row],[Amount_Paid_AED]]</f>
        <v>0</v>
      </c>
      <c r="R618">
        <f>Table1[[#This Row],[Course_Fee_AED]]-Table1[[#This Row],[pending Revenue]]</f>
        <v>7605</v>
      </c>
    </row>
    <row r="619" spans="1:18" x14ac:dyDescent="0.25">
      <c r="A619" t="s">
        <v>696</v>
      </c>
      <c r="B619" s="2">
        <v>45436</v>
      </c>
      <c r="C619" t="s">
        <v>92</v>
      </c>
      <c r="D619" t="s">
        <v>93</v>
      </c>
      <c r="E619" t="s">
        <v>17</v>
      </c>
      <c r="F619" s="5">
        <v>6</v>
      </c>
      <c r="G619" s="5">
        <v>1</v>
      </c>
      <c r="H619" s="5">
        <v>7294</v>
      </c>
      <c r="I619" s="5">
        <v>3</v>
      </c>
      <c r="J619" s="5">
        <v>7293</v>
      </c>
      <c r="K619" t="s">
        <v>18</v>
      </c>
      <c r="L619" t="s">
        <v>40</v>
      </c>
      <c r="M619" t="s">
        <v>27</v>
      </c>
      <c r="N619" t="s">
        <v>21</v>
      </c>
      <c r="O619" t="s">
        <v>58</v>
      </c>
      <c r="P619" t="s">
        <v>18</v>
      </c>
      <c r="Q619">
        <f>Table1[[#This Row],[Course_Fee_AED]]-Table1[[#This Row],[Amount_Paid_AED]]</f>
        <v>1</v>
      </c>
      <c r="R619">
        <f>Table1[[#This Row],[Course_Fee_AED]]-Table1[[#This Row],[pending Revenue]]</f>
        <v>7293</v>
      </c>
    </row>
    <row r="620" spans="1:18" x14ac:dyDescent="0.25">
      <c r="A620" t="s">
        <v>697</v>
      </c>
      <c r="B620" s="2">
        <v>45602</v>
      </c>
      <c r="C620" t="s">
        <v>75</v>
      </c>
      <c r="D620" t="s">
        <v>76</v>
      </c>
      <c r="E620" t="s">
        <v>17</v>
      </c>
      <c r="F620" s="5">
        <v>6</v>
      </c>
      <c r="G620" s="5">
        <v>1</v>
      </c>
      <c r="H620" s="5">
        <v>14420</v>
      </c>
      <c r="I620" s="5">
        <v>3</v>
      </c>
      <c r="J620" s="5">
        <v>14418</v>
      </c>
      <c r="K620" t="s">
        <v>18</v>
      </c>
      <c r="L620" t="s">
        <v>40</v>
      </c>
      <c r="M620" t="s">
        <v>63</v>
      </c>
      <c r="N620" t="s">
        <v>48</v>
      </c>
      <c r="O620" t="s">
        <v>64</v>
      </c>
      <c r="P620" t="s">
        <v>36</v>
      </c>
      <c r="Q620">
        <f>Table1[[#This Row],[Course_Fee_AED]]-Table1[[#This Row],[Amount_Paid_AED]]</f>
        <v>2</v>
      </c>
      <c r="R620">
        <f>Table1[[#This Row],[Course_Fee_AED]]-Table1[[#This Row],[pending Revenue]]</f>
        <v>14418</v>
      </c>
    </row>
    <row r="621" spans="1:18" x14ac:dyDescent="0.25">
      <c r="A621" t="s">
        <v>698</v>
      </c>
      <c r="B621" s="2">
        <v>45395</v>
      </c>
      <c r="C621" t="s">
        <v>15</v>
      </c>
      <c r="D621" t="s">
        <v>16</v>
      </c>
      <c r="E621" t="s">
        <v>17</v>
      </c>
      <c r="F621" s="5">
        <v>6</v>
      </c>
      <c r="G621" s="5">
        <v>1</v>
      </c>
      <c r="H621" s="5">
        <v>5377</v>
      </c>
      <c r="I621" s="5">
        <v>1</v>
      </c>
      <c r="J621" s="5">
        <v>1792</v>
      </c>
      <c r="K621" t="s">
        <v>18</v>
      </c>
      <c r="L621" t="s">
        <v>57</v>
      </c>
      <c r="M621" t="s">
        <v>47</v>
      </c>
      <c r="N621" t="s">
        <v>21</v>
      </c>
      <c r="O621" t="s">
        <v>49</v>
      </c>
      <c r="P621" t="s">
        <v>18</v>
      </c>
      <c r="Q621">
        <f>Table1[[#This Row],[Course_Fee_AED]]-Table1[[#This Row],[Amount_Paid_AED]]</f>
        <v>3585</v>
      </c>
      <c r="R621">
        <f>Table1[[#This Row],[Course_Fee_AED]]-Table1[[#This Row],[pending Revenue]]</f>
        <v>1792</v>
      </c>
    </row>
    <row r="622" spans="1:18" x14ac:dyDescent="0.25">
      <c r="A622" t="s">
        <v>699</v>
      </c>
      <c r="B622" s="2">
        <v>45513</v>
      </c>
      <c r="C622" t="s">
        <v>92</v>
      </c>
      <c r="D622" t="s">
        <v>93</v>
      </c>
      <c r="E622" t="s">
        <v>26</v>
      </c>
      <c r="F622" s="5">
        <v>3</v>
      </c>
      <c r="G622" s="5">
        <v>1</v>
      </c>
      <c r="H622" s="5">
        <v>5872</v>
      </c>
      <c r="I622" s="5">
        <v>2</v>
      </c>
      <c r="J622" s="5">
        <v>3914</v>
      </c>
      <c r="K622" t="s">
        <v>18</v>
      </c>
      <c r="L622" t="s">
        <v>40</v>
      </c>
      <c r="M622" t="s">
        <v>63</v>
      </c>
      <c r="N622" t="s">
        <v>70</v>
      </c>
      <c r="O622" t="s">
        <v>68</v>
      </c>
      <c r="P622" t="s">
        <v>36</v>
      </c>
      <c r="Q622">
        <f>Table1[[#This Row],[Course_Fee_AED]]-Table1[[#This Row],[Amount_Paid_AED]]</f>
        <v>1958</v>
      </c>
      <c r="R622">
        <f>Table1[[#This Row],[Course_Fee_AED]]-Table1[[#This Row],[pending Revenue]]</f>
        <v>3914</v>
      </c>
    </row>
    <row r="623" spans="1:18" x14ac:dyDescent="0.25">
      <c r="A623" t="s">
        <v>700</v>
      </c>
      <c r="B623" s="2">
        <v>45372</v>
      </c>
      <c r="C623" t="s">
        <v>31</v>
      </c>
      <c r="D623" t="s">
        <v>32</v>
      </c>
      <c r="E623" t="s">
        <v>26</v>
      </c>
      <c r="F623" s="5">
        <v>3</v>
      </c>
      <c r="G623" s="5">
        <v>1</v>
      </c>
      <c r="H623" s="5">
        <v>7534</v>
      </c>
      <c r="I623" s="5">
        <v>2</v>
      </c>
      <c r="J623" s="5">
        <v>5022</v>
      </c>
      <c r="K623" t="s">
        <v>18</v>
      </c>
      <c r="L623" t="s">
        <v>40</v>
      </c>
      <c r="M623" t="s">
        <v>20</v>
      </c>
      <c r="N623" t="s">
        <v>86</v>
      </c>
      <c r="O623" t="s">
        <v>22</v>
      </c>
      <c r="P623" t="s">
        <v>36</v>
      </c>
      <c r="Q623">
        <f>Table1[[#This Row],[Course_Fee_AED]]-Table1[[#This Row],[Amount_Paid_AED]]</f>
        <v>2512</v>
      </c>
      <c r="R623">
        <f>Table1[[#This Row],[Course_Fee_AED]]-Table1[[#This Row],[pending Revenue]]</f>
        <v>5022</v>
      </c>
    </row>
    <row r="624" spans="1:18" x14ac:dyDescent="0.25">
      <c r="A624" t="s">
        <v>701</v>
      </c>
      <c r="B624" s="2">
        <v>45489</v>
      </c>
      <c r="C624" t="s">
        <v>45</v>
      </c>
      <c r="D624" t="s">
        <v>46</v>
      </c>
      <c r="E624" t="s">
        <v>26</v>
      </c>
      <c r="F624" s="5">
        <v>3</v>
      </c>
      <c r="G624" s="5">
        <v>1</v>
      </c>
      <c r="H624" s="5">
        <v>6388</v>
      </c>
      <c r="I624" s="5">
        <v>1</v>
      </c>
      <c r="J624" s="5">
        <v>2129</v>
      </c>
      <c r="K624" t="s">
        <v>18</v>
      </c>
      <c r="L624" t="s">
        <v>19</v>
      </c>
      <c r="M624" t="s">
        <v>41</v>
      </c>
      <c r="N624" t="s">
        <v>116</v>
      </c>
      <c r="O624" t="s">
        <v>87</v>
      </c>
      <c r="P624" t="s">
        <v>18</v>
      </c>
      <c r="Q624">
        <f>Table1[[#This Row],[Course_Fee_AED]]-Table1[[#This Row],[Amount_Paid_AED]]</f>
        <v>4259</v>
      </c>
      <c r="R624">
        <f>Table1[[#This Row],[Course_Fee_AED]]-Table1[[#This Row],[pending Revenue]]</f>
        <v>2129</v>
      </c>
    </row>
    <row r="625" spans="1:18" x14ac:dyDescent="0.25">
      <c r="A625" t="s">
        <v>702</v>
      </c>
      <c r="B625" s="2">
        <v>45410</v>
      </c>
      <c r="C625" t="s">
        <v>113</v>
      </c>
      <c r="D625" t="s">
        <v>93</v>
      </c>
      <c r="E625" t="s">
        <v>26</v>
      </c>
      <c r="F625" s="5">
        <v>3</v>
      </c>
      <c r="G625" s="5">
        <v>1</v>
      </c>
      <c r="H625" s="5">
        <v>4326</v>
      </c>
      <c r="I625" s="5">
        <v>1</v>
      </c>
      <c r="J625" s="5">
        <v>1442</v>
      </c>
      <c r="K625" t="s">
        <v>18</v>
      </c>
      <c r="L625" t="s">
        <v>57</v>
      </c>
      <c r="M625" t="s">
        <v>47</v>
      </c>
      <c r="N625" t="s">
        <v>154</v>
      </c>
      <c r="O625" t="s">
        <v>43</v>
      </c>
      <c r="P625" t="s">
        <v>36</v>
      </c>
      <c r="Q625">
        <f>Table1[[#This Row],[Course_Fee_AED]]-Table1[[#This Row],[Amount_Paid_AED]]</f>
        <v>2884</v>
      </c>
      <c r="R625">
        <f>Table1[[#This Row],[Course_Fee_AED]]-Table1[[#This Row],[pending Revenue]]</f>
        <v>1442</v>
      </c>
    </row>
    <row r="626" spans="1:18" x14ac:dyDescent="0.25">
      <c r="A626" t="s">
        <v>703</v>
      </c>
      <c r="B626" s="2">
        <v>45409</v>
      </c>
      <c r="C626" t="s">
        <v>45</v>
      </c>
      <c r="D626" t="s">
        <v>46</v>
      </c>
      <c r="E626" t="s">
        <v>17</v>
      </c>
      <c r="F626" s="5">
        <v>6</v>
      </c>
      <c r="G626" s="5">
        <v>1</v>
      </c>
      <c r="H626" s="5">
        <v>4793</v>
      </c>
      <c r="I626" s="5">
        <v>2</v>
      </c>
      <c r="J626" s="5">
        <v>3194</v>
      </c>
      <c r="K626" t="s">
        <v>18</v>
      </c>
      <c r="L626" t="s">
        <v>19</v>
      </c>
      <c r="M626" t="s">
        <v>27</v>
      </c>
      <c r="N626" t="s">
        <v>95</v>
      </c>
      <c r="O626" t="s">
        <v>71</v>
      </c>
      <c r="P626" t="s">
        <v>36</v>
      </c>
      <c r="Q626">
        <f>Table1[[#This Row],[Course_Fee_AED]]-Table1[[#This Row],[Amount_Paid_AED]]</f>
        <v>1599</v>
      </c>
      <c r="R626">
        <f>Table1[[#This Row],[Course_Fee_AED]]-Table1[[#This Row],[pending Revenue]]</f>
        <v>3194</v>
      </c>
    </row>
    <row r="627" spans="1:18" x14ac:dyDescent="0.25">
      <c r="A627" t="s">
        <v>704</v>
      </c>
      <c r="B627" s="2">
        <v>45311</v>
      </c>
      <c r="C627" t="s">
        <v>92</v>
      </c>
      <c r="D627" t="s">
        <v>93</v>
      </c>
      <c r="E627" t="s">
        <v>26</v>
      </c>
      <c r="F627" s="5">
        <v>3</v>
      </c>
      <c r="G627" s="5">
        <v>1</v>
      </c>
      <c r="H627" s="5">
        <v>7474</v>
      </c>
      <c r="I627" s="5">
        <v>2</v>
      </c>
      <c r="J627" s="5">
        <v>4982</v>
      </c>
      <c r="K627" t="s">
        <v>18</v>
      </c>
      <c r="L627" t="s">
        <v>57</v>
      </c>
      <c r="M627" t="s">
        <v>20</v>
      </c>
      <c r="N627" t="s">
        <v>70</v>
      </c>
      <c r="O627" t="s">
        <v>22</v>
      </c>
      <c r="P627" t="s">
        <v>36</v>
      </c>
      <c r="Q627">
        <f>Table1[[#This Row],[Course_Fee_AED]]-Table1[[#This Row],[Amount_Paid_AED]]</f>
        <v>2492</v>
      </c>
      <c r="R627">
        <f>Table1[[#This Row],[Course_Fee_AED]]-Table1[[#This Row],[pending Revenue]]</f>
        <v>4982</v>
      </c>
    </row>
    <row r="628" spans="1:18" x14ac:dyDescent="0.25">
      <c r="A628" t="s">
        <v>705</v>
      </c>
      <c r="B628" s="2">
        <v>45420</v>
      </c>
      <c r="C628" t="s">
        <v>45</v>
      </c>
      <c r="D628" t="s">
        <v>46</v>
      </c>
      <c r="E628" t="s">
        <v>26</v>
      </c>
      <c r="F628" s="5">
        <v>3</v>
      </c>
      <c r="G628" s="5">
        <v>1</v>
      </c>
      <c r="H628" s="5">
        <v>6634</v>
      </c>
      <c r="I628" s="5">
        <v>1</v>
      </c>
      <c r="J628" s="5">
        <v>2211</v>
      </c>
      <c r="K628" t="s">
        <v>18</v>
      </c>
      <c r="L628" t="s">
        <v>57</v>
      </c>
      <c r="M628" t="s">
        <v>60</v>
      </c>
      <c r="N628" t="s">
        <v>21</v>
      </c>
      <c r="O628" t="s">
        <v>35</v>
      </c>
      <c r="P628" t="s">
        <v>36</v>
      </c>
      <c r="Q628">
        <f>Table1[[#This Row],[Course_Fee_AED]]-Table1[[#This Row],[Amount_Paid_AED]]</f>
        <v>4423</v>
      </c>
      <c r="R628">
        <f>Table1[[#This Row],[Course_Fee_AED]]-Table1[[#This Row],[pending Revenue]]</f>
        <v>2211</v>
      </c>
    </row>
    <row r="629" spans="1:18" x14ac:dyDescent="0.25">
      <c r="A629" t="s">
        <v>706</v>
      </c>
      <c r="B629" s="2">
        <v>45303</v>
      </c>
      <c r="C629" t="s">
        <v>113</v>
      </c>
      <c r="D629" t="s">
        <v>93</v>
      </c>
      <c r="E629" t="s">
        <v>26</v>
      </c>
      <c r="F629" s="5">
        <v>3</v>
      </c>
      <c r="G629" s="5">
        <v>1</v>
      </c>
      <c r="H629" s="5">
        <v>3055</v>
      </c>
      <c r="I629" s="5">
        <v>1</v>
      </c>
      <c r="J629" s="5">
        <v>1018</v>
      </c>
      <c r="K629" t="s">
        <v>18</v>
      </c>
      <c r="L629" t="s">
        <v>57</v>
      </c>
      <c r="M629" t="s">
        <v>63</v>
      </c>
      <c r="N629" t="s">
        <v>73</v>
      </c>
      <c r="O629" t="s">
        <v>68</v>
      </c>
      <c r="P629" t="s">
        <v>36</v>
      </c>
      <c r="Q629">
        <f>Table1[[#This Row],[Course_Fee_AED]]-Table1[[#This Row],[Amount_Paid_AED]]</f>
        <v>2037</v>
      </c>
      <c r="R629">
        <f>Table1[[#This Row],[Course_Fee_AED]]-Table1[[#This Row],[pending Revenue]]</f>
        <v>1018</v>
      </c>
    </row>
    <row r="630" spans="1:18" x14ac:dyDescent="0.25">
      <c r="A630" t="s">
        <v>707</v>
      </c>
      <c r="B630" s="2">
        <v>45320</v>
      </c>
      <c r="C630" t="s">
        <v>51</v>
      </c>
      <c r="D630" t="s">
        <v>52</v>
      </c>
      <c r="E630" t="s">
        <v>17</v>
      </c>
      <c r="F630" s="5">
        <v>6</v>
      </c>
      <c r="G630" s="5">
        <v>1</v>
      </c>
      <c r="H630" s="5">
        <v>4193</v>
      </c>
      <c r="I630" s="5">
        <v>3</v>
      </c>
      <c r="J630" s="5">
        <v>4191</v>
      </c>
      <c r="K630" t="s">
        <v>18</v>
      </c>
      <c r="L630" t="s">
        <v>40</v>
      </c>
      <c r="M630" t="s">
        <v>41</v>
      </c>
      <c r="N630" t="s">
        <v>79</v>
      </c>
      <c r="O630" t="s">
        <v>43</v>
      </c>
      <c r="P630" t="s">
        <v>36</v>
      </c>
      <c r="Q630">
        <f>Table1[[#This Row],[Course_Fee_AED]]-Table1[[#This Row],[Amount_Paid_AED]]</f>
        <v>2</v>
      </c>
      <c r="R630">
        <f>Table1[[#This Row],[Course_Fee_AED]]-Table1[[#This Row],[pending Revenue]]</f>
        <v>4191</v>
      </c>
    </row>
    <row r="631" spans="1:18" x14ac:dyDescent="0.25">
      <c r="A631" t="s">
        <v>708</v>
      </c>
      <c r="B631" s="2">
        <v>45495</v>
      </c>
      <c r="C631" t="s">
        <v>38</v>
      </c>
      <c r="D631" t="s">
        <v>39</v>
      </c>
      <c r="E631" t="s">
        <v>17</v>
      </c>
      <c r="F631" s="5">
        <v>6</v>
      </c>
      <c r="G631" s="5">
        <v>1</v>
      </c>
      <c r="H631" s="5">
        <v>5562</v>
      </c>
      <c r="I631" s="5">
        <v>3</v>
      </c>
      <c r="J631" s="5">
        <v>5562</v>
      </c>
      <c r="K631" t="s">
        <v>33</v>
      </c>
      <c r="L631" t="s">
        <v>40</v>
      </c>
      <c r="M631" t="s">
        <v>60</v>
      </c>
      <c r="N631" t="s">
        <v>90</v>
      </c>
      <c r="O631" t="s">
        <v>58</v>
      </c>
      <c r="P631" t="s">
        <v>18</v>
      </c>
      <c r="Q631">
        <f>Table1[[#This Row],[Course_Fee_AED]]-Table1[[#This Row],[Amount_Paid_AED]]</f>
        <v>0</v>
      </c>
      <c r="R631">
        <f>Table1[[#This Row],[Course_Fee_AED]]-Table1[[#This Row],[pending Revenue]]</f>
        <v>5562</v>
      </c>
    </row>
    <row r="632" spans="1:18" x14ac:dyDescent="0.25">
      <c r="A632" t="s">
        <v>709</v>
      </c>
      <c r="B632" s="2">
        <v>45650</v>
      </c>
      <c r="C632" t="s">
        <v>75</v>
      </c>
      <c r="D632" t="s">
        <v>76</v>
      </c>
      <c r="E632" t="s">
        <v>17</v>
      </c>
      <c r="F632" s="5">
        <v>6</v>
      </c>
      <c r="G632" s="5">
        <v>1</v>
      </c>
      <c r="H632" s="5">
        <v>8825</v>
      </c>
      <c r="I632" s="5">
        <v>2</v>
      </c>
      <c r="J632" s="5">
        <v>5882</v>
      </c>
      <c r="K632" t="s">
        <v>18</v>
      </c>
      <c r="L632" t="s">
        <v>40</v>
      </c>
      <c r="M632" t="s">
        <v>20</v>
      </c>
      <c r="N632" t="s">
        <v>95</v>
      </c>
      <c r="O632" t="s">
        <v>68</v>
      </c>
      <c r="P632" t="s">
        <v>18</v>
      </c>
      <c r="Q632">
        <f>Table1[[#This Row],[Course_Fee_AED]]-Table1[[#This Row],[Amount_Paid_AED]]</f>
        <v>2943</v>
      </c>
      <c r="R632">
        <f>Table1[[#This Row],[Course_Fee_AED]]-Table1[[#This Row],[pending Revenue]]</f>
        <v>5882</v>
      </c>
    </row>
    <row r="633" spans="1:18" x14ac:dyDescent="0.25">
      <c r="A633" t="s">
        <v>710</v>
      </c>
      <c r="B633" s="2">
        <v>45370</v>
      </c>
      <c r="C633" t="s">
        <v>113</v>
      </c>
      <c r="D633" t="s">
        <v>93</v>
      </c>
      <c r="E633" t="s">
        <v>17</v>
      </c>
      <c r="F633" s="5">
        <v>6</v>
      </c>
      <c r="G633" s="5">
        <v>1</v>
      </c>
      <c r="H633" s="5">
        <v>3769</v>
      </c>
      <c r="I633" s="5">
        <v>1</v>
      </c>
      <c r="J633" s="5">
        <v>1256</v>
      </c>
      <c r="K633" t="s">
        <v>18</v>
      </c>
      <c r="L633" t="s">
        <v>57</v>
      </c>
      <c r="M633" t="s">
        <v>20</v>
      </c>
      <c r="N633" t="s">
        <v>42</v>
      </c>
      <c r="O633" t="s">
        <v>64</v>
      </c>
      <c r="P633" t="s">
        <v>18</v>
      </c>
      <c r="Q633">
        <f>Table1[[#This Row],[Course_Fee_AED]]-Table1[[#This Row],[Amount_Paid_AED]]</f>
        <v>2513</v>
      </c>
      <c r="R633">
        <f>Table1[[#This Row],[Course_Fee_AED]]-Table1[[#This Row],[pending Revenue]]</f>
        <v>1256</v>
      </c>
    </row>
    <row r="634" spans="1:18" x14ac:dyDescent="0.25">
      <c r="A634" t="s">
        <v>711</v>
      </c>
      <c r="B634" s="2">
        <v>45427</v>
      </c>
      <c r="C634" t="s">
        <v>100</v>
      </c>
      <c r="D634" t="s">
        <v>101</v>
      </c>
      <c r="E634" t="s">
        <v>17</v>
      </c>
      <c r="F634" s="5">
        <v>6</v>
      </c>
      <c r="G634" s="5">
        <v>1</v>
      </c>
      <c r="H634" s="5">
        <v>4861</v>
      </c>
      <c r="I634" s="5">
        <v>2</v>
      </c>
      <c r="J634" s="5">
        <v>3240</v>
      </c>
      <c r="K634" t="s">
        <v>18</v>
      </c>
      <c r="L634" t="s">
        <v>19</v>
      </c>
      <c r="M634" t="s">
        <v>60</v>
      </c>
      <c r="N634" t="s">
        <v>73</v>
      </c>
      <c r="O634" t="s">
        <v>49</v>
      </c>
      <c r="P634" t="s">
        <v>18</v>
      </c>
      <c r="Q634">
        <f>Table1[[#This Row],[Course_Fee_AED]]-Table1[[#This Row],[Amount_Paid_AED]]</f>
        <v>1621</v>
      </c>
      <c r="R634">
        <f>Table1[[#This Row],[Course_Fee_AED]]-Table1[[#This Row],[pending Revenue]]</f>
        <v>3240</v>
      </c>
    </row>
    <row r="635" spans="1:18" x14ac:dyDescent="0.25">
      <c r="A635" t="s">
        <v>712</v>
      </c>
      <c r="B635" s="2">
        <v>45632</v>
      </c>
      <c r="C635" t="s">
        <v>92</v>
      </c>
      <c r="D635" t="s">
        <v>93</v>
      </c>
      <c r="E635" t="s">
        <v>17</v>
      </c>
      <c r="F635" s="5">
        <v>6</v>
      </c>
      <c r="G635" s="5">
        <v>1</v>
      </c>
      <c r="H635" s="5">
        <v>5497</v>
      </c>
      <c r="I635" s="5">
        <v>3</v>
      </c>
      <c r="J635" s="5">
        <v>5496</v>
      </c>
      <c r="K635" t="s">
        <v>18</v>
      </c>
      <c r="L635" t="s">
        <v>40</v>
      </c>
      <c r="M635" t="s">
        <v>47</v>
      </c>
      <c r="N635" t="s">
        <v>70</v>
      </c>
      <c r="O635" t="s">
        <v>87</v>
      </c>
      <c r="P635" t="s">
        <v>18</v>
      </c>
      <c r="Q635">
        <f>Table1[[#This Row],[Course_Fee_AED]]-Table1[[#This Row],[Amount_Paid_AED]]</f>
        <v>1</v>
      </c>
      <c r="R635">
        <f>Table1[[#This Row],[Course_Fee_AED]]-Table1[[#This Row],[pending Revenue]]</f>
        <v>5496</v>
      </c>
    </row>
    <row r="636" spans="1:18" x14ac:dyDescent="0.25">
      <c r="A636" t="s">
        <v>713</v>
      </c>
      <c r="B636" s="2">
        <v>45579</v>
      </c>
      <c r="C636" t="s">
        <v>75</v>
      </c>
      <c r="D636" t="s">
        <v>76</v>
      </c>
      <c r="E636" t="s">
        <v>26</v>
      </c>
      <c r="F636" s="5">
        <v>3</v>
      </c>
      <c r="G636" s="5">
        <v>1</v>
      </c>
      <c r="H636" s="5">
        <v>8627</v>
      </c>
      <c r="I636" s="5">
        <v>2</v>
      </c>
      <c r="J636" s="5">
        <v>5750</v>
      </c>
      <c r="K636" t="s">
        <v>18</v>
      </c>
      <c r="L636" t="s">
        <v>19</v>
      </c>
      <c r="M636" t="s">
        <v>20</v>
      </c>
      <c r="N636" t="s">
        <v>73</v>
      </c>
      <c r="O636" t="s">
        <v>29</v>
      </c>
      <c r="P636" t="s">
        <v>36</v>
      </c>
      <c r="Q636">
        <f>Table1[[#This Row],[Course_Fee_AED]]-Table1[[#This Row],[Amount_Paid_AED]]</f>
        <v>2877</v>
      </c>
      <c r="R636">
        <f>Table1[[#This Row],[Course_Fee_AED]]-Table1[[#This Row],[pending Revenue]]</f>
        <v>5750</v>
      </c>
    </row>
    <row r="637" spans="1:18" x14ac:dyDescent="0.25">
      <c r="A637" t="s">
        <v>714</v>
      </c>
      <c r="B637" s="2">
        <v>45451</v>
      </c>
      <c r="C637" t="s">
        <v>31</v>
      </c>
      <c r="D637" t="s">
        <v>32</v>
      </c>
      <c r="E637" t="s">
        <v>17</v>
      </c>
      <c r="F637" s="5">
        <v>6</v>
      </c>
      <c r="G637" s="5">
        <v>1</v>
      </c>
      <c r="H637" s="5">
        <v>5786</v>
      </c>
      <c r="I637" s="5">
        <v>1</v>
      </c>
      <c r="J637" s="5">
        <v>1928</v>
      </c>
      <c r="K637" t="s">
        <v>18</v>
      </c>
      <c r="L637" t="s">
        <v>19</v>
      </c>
      <c r="M637" t="s">
        <v>60</v>
      </c>
      <c r="N637" t="s">
        <v>79</v>
      </c>
      <c r="O637" t="s">
        <v>71</v>
      </c>
      <c r="P637" t="s">
        <v>18</v>
      </c>
      <c r="Q637">
        <f>Table1[[#This Row],[Course_Fee_AED]]-Table1[[#This Row],[Amount_Paid_AED]]</f>
        <v>3858</v>
      </c>
      <c r="R637">
        <f>Table1[[#This Row],[Course_Fee_AED]]-Table1[[#This Row],[pending Revenue]]</f>
        <v>1928</v>
      </c>
    </row>
    <row r="638" spans="1:18" x14ac:dyDescent="0.25">
      <c r="A638" t="s">
        <v>715</v>
      </c>
      <c r="B638" s="2">
        <v>45647</v>
      </c>
      <c r="C638" t="s">
        <v>31</v>
      </c>
      <c r="D638" t="s">
        <v>32</v>
      </c>
      <c r="E638" t="s">
        <v>17</v>
      </c>
      <c r="F638" s="5">
        <v>6</v>
      </c>
      <c r="G638" s="5">
        <v>1</v>
      </c>
      <c r="H638" s="5">
        <v>6570</v>
      </c>
      <c r="I638" s="5">
        <v>3</v>
      </c>
      <c r="J638" s="5">
        <v>6570</v>
      </c>
      <c r="K638" t="s">
        <v>33</v>
      </c>
      <c r="L638" t="s">
        <v>19</v>
      </c>
      <c r="M638" t="s">
        <v>41</v>
      </c>
      <c r="N638" t="s">
        <v>53</v>
      </c>
      <c r="O638" t="s">
        <v>22</v>
      </c>
      <c r="P638" t="s">
        <v>36</v>
      </c>
      <c r="Q638">
        <f>Table1[[#This Row],[Course_Fee_AED]]-Table1[[#This Row],[Amount_Paid_AED]]</f>
        <v>0</v>
      </c>
      <c r="R638">
        <f>Table1[[#This Row],[Course_Fee_AED]]-Table1[[#This Row],[pending Revenue]]</f>
        <v>6570</v>
      </c>
    </row>
    <row r="639" spans="1:18" x14ac:dyDescent="0.25">
      <c r="A639" t="s">
        <v>716</v>
      </c>
      <c r="B639" s="2">
        <v>45600</v>
      </c>
      <c r="C639" t="s">
        <v>75</v>
      </c>
      <c r="D639" t="s">
        <v>76</v>
      </c>
      <c r="E639" t="s">
        <v>17</v>
      </c>
      <c r="F639" s="5">
        <v>6</v>
      </c>
      <c r="G639" s="5">
        <v>1</v>
      </c>
      <c r="H639" s="5">
        <v>7403</v>
      </c>
      <c r="I639" s="5">
        <v>3</v>
      </c>
      <c r="J639" s="5">
        <v>7401</v>
      </c>
      <c r="K639" t="s">
        <v>18</v>
      </c>
      <c r="L639" t="s">
        <v>40</v>
      </c>
      <c r="M639" t="s">
        <v>27</v>
      </c>
      <c r="N639" t="s">
        <v>95</v>
      </c>
      <c r="O639" t="s">
        <v>71</v>
      </c>
      <c r="P639" t="s">
        <v>36</v>
      </c>
      <c r="Q639">
        <f>Table1[[#This Row],[Course_Fee_AED]]-Table1[[#This Row],[Amount_Paid_AED]]</f>
        <v>2</v>
      </c>
      <c r="R639">
        <f>Table1[[#This Row],[Course_Fee_AED]]-Table1[[#This Row],[pending Revenue]]</f>
        <v>7401</v>
      </c>
    </row>
    <row r="640" spans="1:18" x14ac:dyDescent="0.25">
      <c r="A640" t="s">
        <v>717</v>
      </c>
      <c r="B640" s="2">
        <v>45566</v>
      </c>
      <c r="C640" t="s">
        <v>113</v>
      </c>
      <c r="D640" t="s">
        <v>93</v>
      </c>
      <c r="E640" t="s">
        <v>26</v>
      </c>
      <c r="F640" s="5">
        <v>3</v>
      </c>
      <c r="G640" s="5">
        <v>1</v>
      </c>
      <c r="H640" s="5">
        <v>4603</v>
      </c>
      <c r="I640" s="5">
        <v>2</v>
      </c>
      <c r="J640" s="5">
        <v>3068</v>
      </c>
      <c r="K640" t="s">
        <v>18</v>
      </c>
      <c r="L640" t="s">
        <v>19</v>
      </c>
      <c r="M640" t="s">
        <v>41</v>
      </c>
      <c r="N640" t="s">
        <v>53</v>
      </c>
      <c r="O640" t="s">
        <v>58</v>
      </c>
      <c r="P640" t="s">
        <v>18</v>
      </c>
      <c r="Q640">
        <f>Table1[[#This Row],[Course_Fee_AED]]-Table1[[#This Row],[Amount_Paid_AED]]</f>
        <v>1535</v>
      </c>
      <c r="R640">
        <f>Table1[[#This Row],[Course_Fee_AED]]-Table1[[#This Row],[pending Revenue]]</f>
        <v>3068</v>
      </c>
    </row>
    <row r="641" spans="1:18" x14ac:dyDescent="0.25">
      <c r="A641" t="s">
        <v>718</v>
      </c>
      <c r="B641" s="2">
        <v>45387</v>
      </c>
      <c r="C641" t="s">
        <v>45</v>
      </c>
      <c r="D641" t="s">
        <v>46</v>
      </c>
      <c r="E641" t="s">
        <v>17</v>
      </c>
      <c r="F641" s="5">
        <v>6</v>
      </c>
      <c r="G641" s="5">
        <v>1</v>
      </c>
      <c r="H641" s="5">
        <v>4898</v>
      </c>
      <c r="I641" s="5">
        <v>2</v>
      </c>
      <c r="J641" s="5">
        <v>3264</v>
      </c>
      <c r="K641" t="s">
        <v>18</v>
      </c>
      <c r="L641" t="s">
        <v>40</v>
      </c>
      <c r="M641" t="s">
        <v>27</v>
      </c>
      <c r="N641" t="s">
        <v>90</v>
      </c>
      <c r="O641" t="s">
        <v>22</v>
      </c>
      <c r="P641" t="s">
        <v>36</v>
      </c>
      <c r="Q641">
        <f>Table1[[#This Row],[Course_Fee_AED]]-Table1[[#This Row],[Amount_Paid_AED]]</f>
        <v>1634</v>
      </c>
      <c r="R641">
        <f>Table1[[#This Row],[Course_Fee_AED]]-Table1[[#This Row],[pending Revenue]]</f>
        <v>3264</v>
      </c>
    </row>
    <row r="642" spans="1:18" x14ac:dyDescent="0.25">
      <c r="A642" t="s">
        <v>719</v>
      </c>
      <c r="B642" s="2">
        <v>45643</v>
      </c>
      <c r="C642" t="s">
        <v>31</v>
      </c>
      <c r="D642" t="s">
        <v>32</v>
      </c>
      <c r="E642" t="s">
        <v>17</v>
      </c>
      <c r="F642" s="5">
        <v>6</v>
      </c>
      <c r="G642" s="5">
        <v>1</v>
      </c>
      <c r="H642" s="5">
        <v>5419</v>
      </c>
      <c r="I642" s="5">
        <v>3</v>
      </c>
      <c r="J642" s="5">
        <v>5418</v>
      </c>
      <c r="K642" t="s">
        <v>18</v>
      </c>
      <c r="L642" t="s">
        <v>19</v>
      </c>
      <c r="M642" t="s">
        <v>20</v>
      </c>
      <c r="N642" t="s">
        <v>116</v>
      </c>
      <c r="O642" t="s">
        <v>71</v>
      </c>
      <c r="P642" t="s">
        <v>18</v>
      </c>
      <c r="Q642">
        <f>Table1[[#This Row],[Course_Fee_AED]]-Table1[[#This Row],[Amount_Paid_AED]]</f>
        <v>1</v>
      </c>
      <c r="R642">
        <f>Table1[[#This Row],[Course_Fee_AED]]-Table1[[#This Row],[pending Revenue]]</f>
        <v>5418</v>
      </c>
    </row>
    <row r="643" spans="1:18" x14ac:dyDescent="0.25">
      <c r="A643" t="s">
        <v>720</v>
      </c>
      <c r="B643" s="2">
        <v>45474</v>
      </c>
      <c r="C643" t="s">
        <v>82</v>
      </c>
      <c r="D643" t="s">
        <v>83</v>
      </c>
      <c r="E643" t="s">
        <v>17</v>
      </c>
      <c r="F643" s="5">
        <v>6</v>
      </c>
      <c r="G643" s="5">
        <v>1</v>
      </c>
      <c r="H643" s="5">
        <v>12010</v>
      </c>
      <c r="I643" s="5">
        <v>1</v>
      </c>
      <c r="J643" s="5">
        <v>4003</v>
      </c>
      <c r="K643" t="s">
        <v>18</v>
      </c>
      <c r="L643" t="s">
        <v>40</v>
      </c>
      <c r="M643" t="s">
        <v>47</v>
      </c>
      <c r="N643" t="s">
        <v>73</v>
      </c>
      <c r="O643" t="s">
        <v>64</v>
      </c>
      <c r="P643" t="s">
        <v>36</v>
      </c>
      <c r="Q643">
        <f>Table1[[#This Row],[Course_Fee_AED]]-Table1[[#This Row],[Amount_Paid_AED]]</f>
        <v>8007</v>
      </c>
      <c r="R643">
        <f>Table1[[#This Row],[Course_Fee_AED]]-Table1[[#This Row],[pending Revenue]]</f>
        <v>4003</v>
      </c>
    </row>
    <row r="644" spans="1:18" x14ac:dyDescent="0.25">
      <c r="A644" t="s">
        <v>721</v>
      </c>
      <c r="B644" s="2">
        <v>45425</v>
      </c>
      <c r="C644" t="s">
        <v>55</v>
      </c>
      <c r="D644" t="s">
        <v>56</v>
      </c>
      <c r="E644" t="s">
        <v>26</v>
      </c>
      <c r="F644" s="5">
        <v>3</v>
      </c>
      <c r="G644" s="5">
        <v>1</v>
      </c>
      <c r="H644" s="5">
        <v>7877</v>
      </c>
      <c r="I644" s="5">
        <v>3</v>
      </c>
      <c r="J644" s="5">
        <v>7875</v>
      </c>
      <c r="K644" t="s">
        <v>18</v>
      </c>
      <c r="L644" t="s">
        <v>57</v>
      </c>
      <c r="M644" t="s">
        <v>27</v>
      </c>
      <c r="N644" t="s">
        <v>70</v>
      </c>
      <c r="O644" t="s">
        <v>71</v>
      </c>
      <c r="P644" t="s">
        <v>18</v>
      </c>
      <c r="Q644">
        <f>Table1[[#This Row],[Course_Fee_AED]]-Table1[[#This Row],[Amount_Paid_AED]]</f>
        <v>2</v>
      </c>
      <c r="R644">
        <f>Table1[[#This Row],[Course_Fee_AED]]-Table1[[#This Row],[pending Revenue]]</f>
        <v>7875</v>
      </c>
    </row>
    <row r="645" spans="1:18" x14ac:dyDescent="0.25">
      <c r="A645" t="s">
        <v>722</v>
      </c>
      <c r="B645" s="2">
        <v>45643</v>
      </c>
      <c r="C645" t="s">
        <v>100</v>
      </c>
      <c r="D645" t="s">
        <v>101</v>
      </c>
      <c r="E645" t="s">
        <v>26</v>
      </c>
      <c r="F645" s="5">
        <v>3</v>
      </c>
      <c r="G645" s="5">
        <v>1</v>
      </c>
      <c r="H645" s="5">
        <v>3640</v>
      </c>
      <c r="I645" s="5">
        <v>1</v>
      </c>
      <c r="J645" s="5">
        <v>1213</v>
      </c>
      <c r="K645" t="s">
        <v>18</v>
      </c>
      <c r="L645" t="s">
        <v>57</v>
      </c>
      <c r="M645" t="s">
        <v>47</v>
      </c>
      <c r="N645" t="s">
        <v>154</v>
      </c>
      <c r="O645" t="s">
        <v>71</v>
      </c>
      <c r="P645" t="s">
        <v>18</v>
      </c>
      <c r="Q645">
        <f>Table1[[#This Row],[Course_Fee_AED]]-Table1[[#This Row],[Amount_Paid_AED]]</f>
        <v>2427</v>
      </c>
      <c r="R645">
        <f>Table1[[#This Row],[Course_Fee_AED]]-Table1[[#This Row],[pending Revenue]]</f>
        <v>1213</v>
      </c>
    </row>
    <row r="646" spans="1:18" x14ac:dyDescent="0.25">
      <c r="A646" t="s">
        <v>723</v>
      </c>
      <c r="B646" s="2">
        <v>45654</v>
      </c>
      <c r="C646" t="s">
        <v>15</v>
      </c>
      <c r="D646" t="s">
        <v>16</v>
      </c>
      <c r="E646" t="s">
        <v>17</v>
      </c>
      <c r="F646" s="5">
        <v>6</v>
      </c>
      <c r="G646" s="5">
        <v>1</v>
      </c>
      <c r="H646" s="5">
        <v>5046</v>
      </c>
      <c r="I646" s="5">
        <v>3</v>
      </c>
      <c r="J646" s="5">
        <v>5046</v>
      </c>
      <c r="K646" t="s">
        <v>33</v>
      </c>
      <c r="L646" t="s">
        <v>40</v>
      </c>
      <c r="M646" t="s">
        <v>63</v>
      </c>
      <c r="N646" t="s">
        <v>34</v>
      </c>
      <c r="O646" t="s">
        <v>71</v>
      </c>
      <c r="P646" t="s">
        <v>18</v>
      </c>
      <c r="Q646">
        <f>Table1[[#This Row],[Course_Fee_AED]]-Table1[[#This Row],[Amount_Paid_AED]]</f>
        <v>0</v>
      </c>
      <c r="R646">
        <f>Table1[[#This Row],[Course_Fee_AED]]-Table1[[#This Row],[pending Revenue]]</f>
        <v>5046</v>
      </c>
    </row>
    <row r="647" spans="1:18" x14ac:dyDescent="0.25">
      <c r="A647" t="s">
        <v>724</v>
      </c>
      <c r="B647" s="2">
        <v>45652</v>
      </c>
      <c r="C647" t="s">
        <v>113</v>
      </c>
      <c r="D647" t="s">
        <v>93</v>
      </c>
      <c r="E647" t="s">
        <v>17</v>
      </c>
      <c r="F647" s="5">
        <v>6</v>
      </c>
      <c r="G647" s="5">
        <v>1</v>
      </c>
      <c r="H647" s="5">
        <v>3783</v>
      </c>
      <c r="I647" s="5">
        <v>1</v>
      </c>
      <c r="J647" s="5">
        <v>1261</v>
      </c>
      <c r="K647" t="s">
        <v>18</v>
      </c>
      <c r="L647" t="s">
        <v>40</v>
      </c>
      <c r="M647" t="s">
        <v>20</v>
      </c>
      <c r="N647" t="s">
        <v>86</v>
      </c>
      <c r="O647" t="s">
        <v>29</v>
      </c>
      <c r="P647" t="s">
        <v>36</v>
      </c>
      <c r="Q647">
        <f>Table1[[#This Row],[Course_Fee_AED]]-Table1[[#This Row],[Amount_Paid_AED]]</f>
        <v>2522</v>
      </c>
      <c r="R647">
        <f>Table1[[#This Row],[Course_Fee_AED]]-Table1[[#This Row],[pending Revenue]]</f>
        <v>1261</v>
      </c>
    </row>
    <row r="648" spans="1:18" x14ac:dyDescent="0.25">
      <c r="A648" t="s">
        <v>725</v>
      </c>
      <c r="B648" s="2">
        <v>45467</v>
      </c>
      <c r="C648" t="s">
        <v>51</v>
      </c>
      <c r="D648" t="s">
        <v>52</v>
      </c>
      <c r="E648" t="s">
        <v>17</v>
      </c>
      <c r="F648" s="5">
        <v>6</v>
      </c>
      <c r="G648" s="5">
        <v>1</v>
      </c>
      <c r="H648" s="5">
        <v>3943</v>
      </c>
      <c r="I648" s="5">
        <v>2</v>
      </c>
      <c r="J648" s="5">
        <v>2628</v>
      </c>
      <c r="K648" t="s">
        <v>18</v>
      </c>
      <c r="L648" t="s">
        <v>19</v>
      </c>
      <c r="M648" t="s">
        <v>63</v>
      </c>
      <c r="N648" t="s">
        <v>86</v>
      </c>
      <c r="O648" t="s">
        <v>87</v>
      </c>
      <c r="P648" t="s">
        <v>36</v>
      </c>
      <c r="Q648">
        <f>Table1[[#This Row],[Course_Fee_AED]]-Table1[[#This Row],[Amount_Paid_AED]]</f>
        <v>1315</v>
      </c>
      <c r="R648">
        <f>Table1[[#This Row],[Course_Fee_AED]]-Table1[[#This Row],[pending Revenue]]</f>
        <v>2628</v>
      </c>
    </row>
    <row r="649" spans="1:18" x14ac:dyDescent="0.25">
      <c r="A649" t="s">
        <v>726</v>
      </c>
      <c r="B649" s="2">
        <v>45626</v>
      </c>
      <c r="C649" t="s">
        <v>45</v>
      </c>
      <c r="D649" t="s">
        <v>46</v>
      </c>
      <c r="E649" t="s">
        <v>17</v>
      </c>
      <c r="F649" s="5">
        <v>6</v>
      </c>
      <c r="G649" s="5">
        <v>1</v>
      </c>
      <c r="H649" s="5">
        <v>6969</v>
      </c>
      <c r="I649" s="5">
        <v>2</v>
      </c>
      <c r="J649" s="5">
        <v>4646</v>
      </c>
      <c r="K649" t="s">
        <v>18</v>
      </c>
      <c r="L649" t="s">
        <v>57</v>
      </c>
      <c r="M649" t="s">
        <v>60</v>
      </c>
      <c r="N649" t="s">
        <v>34</v>
      </c>
      <c r="O649" t="s">
        <v>22</v>
      </c>
      <c r="P649" t="s">
        <v>36</v>
      </c>
      <c r="Q649">
        <f>Table1[[#This Row],[Course_Fee_AED]]-Table1[[#This Row],[Amount_Paid_AED]]</f>
        <v>2323</v>
      </c>
      <c r="R649">
        <f>Table1[[#This Row],[Course_Fee_AED]]-Table1[[#This Row],[pending Revenue]]</f>
        <v>4646</v>
      </c>
    </row>
    <row r="650" spans="1:18" x14ac:dyDescent="0.25">
      <c r="A650" t="s">
        <v>727</v>
      </c>
      <c r="B650" s="2">
        <v>45542</v>
      </c>
      <c r="C650" t="s">
        <v>92</v>
      </c>
      <c r="D650" t="s">
        <v>93</v>
      </c>
      <c r="E650" t="s">
        <v>26</v>
      </c>
      <c r="F650" s="5">
        <v>3</v>
      </c>
      <c r="G650" s="5">
        <v>1</v>
      </c>
      <c r="H650" s="5">
        <v>6240</v>
      </c>
      <c r="I650" s="5">
        <v>1</v>
      </c>
      <c r="J650" s="5">
        <v>2080</v>
      </c>
      <c r="K650" t="s">
        <v>18</v>
      </c>
      <c r="L650" t="s">
        <v>19</v>
      </c>
      <c r="M650" t="s">
        <v>63</v>
      </c>
      <c r="N650" t="s">
        <v>90</v>
      </c>
      <c r="O650" t="s">
        <v>35</v>
      </c>
      <c r="P650" t="s">
        <v>18</v>
      </c>
      <c r="Q650">
        <f>Table1[[#This Row],[Course_Fee_AED]]-Table1[[#This Row],[Amount_Paid_AED]]</f>
        <v>4160</v>
      </c>
      <c r="R650">
        <f>Table1[[#This Row],[Course_Fee_AED]]-Table1[[#This Row],[pending Revenue]]</f>
        <v>2080</v>
      </c>
    </row>
    <row r="651" spans="1:18" x14ac:dyDescent="0.25">
      <c r="A651" t="s">
        <v>728</v>
      </c>
      <c r="B651" s="2">
        <v>45632</v>
      </c>
      <c r="C651" t="s">
        <v>38</v>
      </c>
      <c r="D651" t="s">
        <v>39</v>
      </c>
      <c r="E651" t="s">
        <v>17</v>
      </c>
      <c r="F651" s="5">
        <v>6</v>
      </c>
      <c r="G651" s="5">
        <v>1</v>
      </c>
      <c r="H651" s="5">
        <v>7278</v>
      </c>
      <c r="I651" s="5">
        <v>1</v>
      </c>
      <c r="J651" s="5">
        <v>2426</v>
      </c>
      <c r="K651" t="s">
        <v>18</v>
      </c>
      <c r="L651" t="s">
        <v>40</v>
      </c>
      <c r="M651" t="s">
        <v>60</v>
      </c>
      <c r="N651" t="s">
        <v>79</v>
      </c>
      <c r="O651" t="s">
        <v>29</v>
      </c>
      <c r="P651" t="s">
        <v>18</v>
      </c>
      <c r="Q651">
        <f>Table1[[#This Row],[Course_Fee_AED]]-Table1[[#This Row],[Amount_Paid_AED]]</f>
        <v>4852</v>
      </c>
      <c r="R651">
        <f>Table1[[#This Row],[Course_Fee_AED]]-Table1[[#This Row],[pending Revenue]]</f>
        <v>2426</v>
      </c>
    </row>
    <row r="652" spans="1:18" x14ac:dyDescent="0.25">
      <c r="A652" t="s">
        <v>729</v>
      </c>
      <c r="B652" s="2">
        <v>45391</v>
      </c>
      <c r="C652" t="s">
        <v>51</v>
      </c>
      <c r="D652" t="s">
        <v>52</v>
      </c>
      <c r="E652" t="s">
        <v>17</v>
      </c>
      <c r="F652" s="5">
        <v>6</v>
      </c>
      <c r="G652" s="5">
        <v>1</v>
      </c>
      <c r="H652" s="5">
        <v>5344</v>
      </c>
      <c r="I652" s="5">
        <v>2</v>
      </c>
      <c r="J652" s="5">
        <v>3562</v>
      </c>
      <c r="K652" t="s">
        <v>18</v>
      </c>
      <c r="L652" t="s">
        <v>40</v>
      </c>
      <c r="M652" t="s">
        <v>47</v>
      </c>
      <c r="N652" t="s">
        <v>48</v>
      </c>
      <c r="O652" t="s">
        <v>22</v>
      </c>
      <c r="P652" t="s">
        <v>18</v>
      </c>
      <c r="Q652">
        <f>Table1[[#This Row],[Course_Fee_AED]]-Table1[[#This Row],[Amount_Paid_AED]]</f>
        <v>1782</v>
      </c>
      <c r="R652">
        <f>Table1[[#This Row],[Course_Fee_AED]]-Table1[[#This Row],[pending Revenue]]</f>
        <v>3562</v>
      </c>
    </row>
    <row r="653" spans="1:18" x14ac:dyDescent="0.25">
      <c r="A653" t="s">
        <v>730</v>
      </c>
      <c r="B653" s="2">
        <v>45308</v>
      </c>
      <c r="C653" t="s">
        <v>82</v>
      </c>
      <c r="D653" t="s">
        <v>83</v>
      </c>
      <c r="E653" t="s">
        <v>17</v>
      </c>
      <c r="F653" s="5">
        <v>6</v>
      </c>
      <c r="G653" s="5">
        <v>1</v>
      </c>
      <c r="H653" s="5">
        <v>9535</v>
      </c>
      <c r="I653" s="5">
        <v>3</v>
      </c>
      <c r="J653" s="5">
        <v>9534</v>
      </c>
      <c r="K653" t="s">
        <v>18</v>
      </c>
      <c r="L653" t="s">
        <v>40</v>
      </c>
      <c r="M653" t="s">
        <v>47</v>
      </c>
      <c r="N653" t="s">
        <v>73</v>
      </c>
      <c r="O653" t="s">
        <v>29</v>
      </c>
      <c r="P653" t="s">
        <v>36</v>
      </c>
      <c r="Q653">
        <f>Table1[[#This Row],[Course_Fee_AED]]-Table1[[#This Row],[Amount_Paid_AED]]</f>
        <v>1</v>
      </c>
      <c r="R653">
        <f>Table1[[#This Row],[Course_Fee_AED]]-Table1[[#This Row],[pending Revenue]]</f>
        <v>9534</v>
      </c>
    </row>
    <row r="654" spans="1:18" x14ac:dyDescent="0.25">
      <c r="A654" t="s">
        <v>731</v>
      </c>
      <c r="B654" s="2">
        <v>45602</v>
      </c>
      <c r="C654" t="s">
        <v>92</v>
      </c>
      <c r="D654" t="s">
        <v>93</v>
      </c>
      <c r="E654" t="s">
        <v>26</v>
      </c>
      <c r="F654" s="5">
        <v>3</v>
      </c>
      <c r="G654" s="5">
        <v>1</v>
      </c>
      <c r="H654" s="5">
        <v>7987</v>
      </c>
      <c r="I654" s="5">
        <v>2</v>
      </c>
      <c r="J654" s="5">
        <v>5324</v>
      </c>
      <c r="K654" t="s">
        <v>18</v>
      </c>
      <c r="L654" t="s">
        <v>57</v>
      </c>
      <c r="M654" t="s">
        <v>63</v>
      </c>
      <c r="N654" t="s">
        <v>86</v>
      </c>
      <c r="O654" t="s">
        <v>22</v>
      </c>
      <c r="P654" t="s">
        <v>18</v>
      </c>
      <c r="Q654">
        <f>Table1[[#This Row],[Course_Fee_AED]]-Table1[[#This Row],[Amount_Paid_AED]]</f>
        <v>2663</v>
      </c>
      <c r="R654">
        <f>Table1[[#This Row],[Course_Fee_AED]]-Table1[[#This Row],[pending Revenue]]</f>
        <v>5324</v>
      </c>
    </row>
    <row r="655" spans="1:18" x14ac:dyDescent="0.25">
      <c r="A655" t="s">
        <v>732</v>
      </c>
      <c r="B655" s="2">
        <v>45510</v>
      </c>
      <c r="C655" t="s">
        <v>15</v>
      </c>
      <c r="D655" t="s">
        <v>16</v>
      </c>
      <c r="E655" t="s">
        <v>26</v>
      </c>
      <c r="F655" s="5">
        <v>3</v>
      </c>
      <c r="G655" s="5">
        <v>1</v>
      </c>
      <c r="H655" s="5">
        <v>5374</v>
      </c>
      <c r="I655" s="5">
        <v>2</v>
      </c>
      <c r="J655" s="5">
        <v>3582</v>
      </c>
      <c r="K655" t="s">
        <v>18</v>
      </c>
      <c r="L655" t="s">
        <v>57</v>
      </c>
      <c r="M655" t="s">
        <v>47</v>
      </c>
      <c r="N655" t="s">
        <v>73</v>
      </c>
      <c r="O655" t="s">
        <v>35</v>
      </c>
      <c r="P655" t="s">
        <v>18</v>
      </c>
      <c r="Q655">
        <f>Table1[[#This Row],[Course_Fee_AED]]-Table1[[#This Row],[Amount_Paid_AED]]</f>
        <v>1792</v>
      </c>
      <c r="R655">
        <f>Table1[[#This Row],[Course_Fee_AED]]-Table1[[#This Row],[pending Revenue]]</f>
        <v>3582</v>
      </c>
    </row>
    <row r="656" spans="1:18" x14ac:dyDescent="0.25">
      <c r="A656" t="s">
        <v>733</v>
      </c>
      <c r="B656" s="2">
        <v>45515</v>
      </c>
      <c r="C656" t="s">
        <v>38</v>
      </c>
      <c r="D656" t="s">
        <v>39</v>
      </c>
      <c r="E656" t="s">
        <v>26</v>
      </c>
      <c r="F656" s="5">
        <v>3</v>
      </c>
      <c r="G656" s="5">
        <v>1</v>
      </c>
      <c r="H656" s="5">
        <v>4606</v>
      </c>
      <c r="I656" s="5">
        <v>1</v>
      </c>
      <c r="J656" s="5">
        <v>1535</v>
      </c>
      <c r="K656" t="s">
        <v>18</v>
      </c>
      <c r="L656" t="s">
        <v>40</v>
      </c>
      <c r="M656" t="s">
        <v>20</v>
      </c>
      <c r="N656" t="s">
        <v>53</v>
      </c>
      <c r="O656" t="s">
        <v>87</v>
      </c>
      <c r="P656" t="s">
        <v>18</v>
      </c>
      <c r="Q656">
        <f>Table1[[#This Row],[Course_Fee_AED]]-Table1[[#This Row],[Amount_Paid_AED]]</f>
        <v>3071</v>
      </c>
      <c r="R656">
        <f>Table1[[#This Row],[Course_Fee_AED]]-Table1[[#This Row],[pending Revenue]]</f>
        <v>1535</v>
      </c>
    </row>
    <row r="657" spans="1:18" x14ac:dyDescent="0.25">
      <c r="A657" t="s">
        <v>734</v>
      </c>
      <c r="B657" s="2">
        <v>45331</v>
      </c>
      <c r="C657" t="s">
        <v>45</v>
      </c>
      <c r="D657" t="s">
        <v>46</v>
      </c>
      <c r="E657" t="s">
        <v>17</v>
      </c>
      <c r="F657" s="5">
        <v>6</v>
      </c>
      <c r="G657" s="5">
        <v>1</v>
      </c>
      <c r="H657" s="5">
        <v>4499</v>
      </c>
      <c r="I657" s="5">
        <v>2</v>
      </c>
      <c r="J657" s="5">
        <v>2998</v>
      </c>
      <c r="K657" t="s">
        <v>18</v>
      </c>
      <c r="L657" t="s">
        <v>19</v>
      </c>
      <c r="M657" t="s">
        <v>63</v>
      </c>
      <c r="N657" t="s">
        <v>79</v>
      </c>
      <c r="O657" t="s">
        <v>68</v>
      </c>
      <c r="P657" t="s">
        <v>18</v>
      </c>
      <c r="Q657">
        <f>Table1[[#This Row],[Course_Fee_AED]]-Table1[[#This Row],[Amount_Paid_AED]]</f>
        <v>1501</v>
      </c>
      <c r="R657">
        <f>Table1[[#This Row],[Course_Fee_AED]]-Table1[[#This Row],[pending Revenue]]</f>
        <v>2998</v>
      </c>
    </row>
    <row r="658" spans="1:18" x14ac:dyDescent="0.25">
      <c r="A658" t="s">
        <v>735</v>
      </c>
      <c r="B658" s="2">
        <v>45540</v>
      </c>
      <c r="C658" t="s">
        <v>15</v>
      </c>
      <c r="D658" t="s">
        <v>16</v>
      </c>
      <c r="E658" t="s">
        <v>26</v>
      </c>
      <c r="F658" s="5">
        <v>3</v>
      </c>
      <c r="G658" s="5">
        <v>1</v>
      </c>
      <c r="H658" s="5">
        <v>5005</v>
      </c>
      <c r="I658" s="5">
        <v>3</v>
      </c>
      <c r="J658" s="5">
        <v>5004</v>
      </c>
      <c r="K658" t="s">
        <v>18</v>
      </c>
      <c r="L658" t="s">
        <v>57</v>
      </c>
      <c r="M658" t="s">
        <v>41</v>
      </c>
      <c r="N658" t="s">
        <v>48</v>
      </c>
      <c r="O658" t="s">
        <v>87</v>
      </c>
      <c r="P658" t="s">
        <v>36</v>
      </c>
      <c r="Q658">
        <f>Table1[[#This Row],[Course_Fee_AED]]-Table1[[#This Row],[Amount_Paid_AED]]</f>
        <v>1</v>
      </c>
      <c r="R658">
        <f>Table1[[#This Row],[Course_Fee_AED]]-Table1[[#This Row],[pending Revenue]]</f>
        <v>5004</v>
      </c>
    </row>
    <row r="659" spans="1:18" x14ac:dyDescent="0.25">
      <c r="A659" t="s">
        <v>736</v>
      </c>
      <c r="B659" s="2">
        <v>45584</v>
      </c>
      <c r="C659" t="s">
        <v>24</v>
      </c>
      <c r="D659" t="s">
        <v>25</v>
      </c>
      <c r="E659" t="s">
        <v>17</v>
      </c>
      <c r="F659" s="5">
        <v>6</v>
      </c>
      <c r="G659" s="5">
        <v>1</v>
      </c>
      <c r="H659" s="5">
        <v>5593</v>
      </c>
      <c r="I659" s="5">
        <v>1</v>
      </c>
      <c r="J659" s="5">
        <v>1864</v>
      </c>
      <c r="K659" t="s">
        <v>18</v>
      </c>
      <c r="L659" t="s">
        <v>19</v>
      </c>
      <c r="M659" t="s">
        <v>47</v>
      </c>
      <c r="N659" t="s">
        <v>34</v>
      </c>
      <c r="O659" t="s">
        <v>58</v>
      </c>
      <c r="P659" t="s">
        <v>36</v>
      </c>
      <c r="Q659">
        <f>Table1[[#This Row],[Course_Fee_AED]]-Table1[[#This Row],[Amount_Paid_AED]]</f>
        <v>3729</v>
      </c>
      <c r="R659">
        <f>Table1[[#This Row],[Course_Fee_AED]]-Table1[[#This Row],[pending Revenue]]</f>
        <v>1864</v>
      </c>
    </row>
    <row r="660" spans="1:18" x14ac:dyDescent="0.25">
      <c r="A660" t="s">
        <v>737</v>
      </c>
      <c r="B660" s="2">
        <v>45571</v>
      </c>
      <c r="C660" t="s">
        <v>24</v>
      </c>
      <c r="D660" t="s">
        <v>25</v>
      </c>
      <c r="E660" t="s">
        <v>17</v>
      </c>
      <c r="F660" s="5">
        <v>6</v>
      </c>
      <c r="G660" s="5">
        <v>1</v>
      </c>
      <c r="H660" s="5">
        <v>4595</v>
      </c>
      <c r="I660" s="5">
        <v>3</v>
      </c>
      <c r="J660" s="5">
        <v>4593</v>
      </c>
      <c r="K660" t="s">
        <v>18</v>
      </c>
      <c r="L660" t="s">
        <v>19</v>
      </c>
      <c r="M660" t="s">
        <v>63</v>
      </c>
      <c r="N660" t="s">
        <v>70</v>
      </c>
      <c r="O660" t="s">
        <v>29</v>
      </c>
      <c r="P660" t="s">
        <v>36</v>
      </c>
      <c r="Q660">
        <f>Table1[[#This Row],[Course_Fee_AED]]-Table1[[#This Row],[Amount_Paid_AED]]</f>
        <v>2</v>
      </c>
      <c r="R660">
        <f>Table1[[#This Row],[Course_Fee_AED]]-Table1[[#This Row],[pending Revenue]]</f>
        <v>4593</v>
      </c>
    </row>
    <row r="661" spans="1:18" x14ac:dyDescent="0.25">
      <c r="A661" t="s">
        <v>738</v>
      </c>
      <c r="B661" s="2">
        <v>45505</v>
      </c>
      <c r="C661" t="s">
        <v>24</v>
      </c>
      <c r="D661" t="s">
        <v>25</v>
      </c>
      <c r="E661" t="s">
        <v>26</v>
      </c>
      <c r="F661" s="5">
        <v>3</v>
      </c>
      <c r="G661" s="5">
        <v>1</v>
      </c>
      <c r="H661" s="5">
        <v>5720</v>
      </c>
      <c r="I661" s="5">
        <v>2</v>
      </c>
      <c r="J661" s="5">
        <v>3812</v>
      </c>
      <c r="K661" t="s">
        <v>18</v>
      </c>
      <c r="L661" t="s">
        <v>19</v>
      </c>
      <c r="M661" t="s">
        <v>27</v>
      </c>
      <c r="N661" t="s">
        <v>70</v>
      </c>
      <c r="O661" t="s">
        <v>35</v>
      </c>
      <c r="P661" t="s">
        <v>18</v>
      </c>
      <c r="Q661">
        <f>Table1[[#This Row],[Course_Fee_AED]]-Table1[[#This Row],[Amount_Paid_AED]]</f>
        <v>1908</v>
      </c>
      <c r="R661">
        <f>Table1[[#This Row],[Course_Fee_AED]]-Table1[[#This Row],[pending Revenue]]</f>
        <v>3812</v>
      </c>
    </row>
    <row r="662" spans="1:18" x14ac:dyDescent="0.25">
      <c r="A662" t="s">
        <v>739</v>
      </c>
      <c r="B662" s="2">
        <v>45597</v>
      </c>
      <c r="C662" t="s">
        <v>82</v>
      </c>
      <c r="D662" t="s">
        <v>83</v>
      </c>
      <c r="E662" t="s">
        <v>26</v>
      </c>
      <c r="F662" s="5">
        <v>3</v>
      </c>
      <c r="G662" s="5">
        <v>1</v>
      </c>
      <c r="H662" s="5">
        <v>8398</v>
      </c>
      <c r="I662" s="5">
        <v>3</v>
      </c>
      <c r="J662" s="5">
        <v>8397</v>
      </c>
      <c r="K662" t="s">
        <v>18</v>
      </c>
      <c r="L662" t="s">
        <v>40</v>
      </c>
      <c r="M662" t="s">
        <v>47</v>
      </c>
      <c r="N662" t="s">
        <v>95</v>
      </c>
      <c r="O662" t="s">
        <v>64</v>
      </c>
      <c r="P662" t="s">
        <v>36</v>
      </c>
      <c r="Q662">
        <f>Table1[[#This Row],[Course_Fee_AED]]-Table1[[#This Row],[Amount_Paid_AED]]</f>
        <v>1</v>
      </c>
      <c r="R662">
        <f>Table1[[#This Row],[Course_Fee_AED]]-Table1[[#This Row],[pending Revenue]]</f>
        <v>8397</v>
      </c>
    </row>
    <row r="663" spans="1:18" x14ac:dyDescent="0.25">
      <c r="A663" t="s">
        <v>740</v>
      </c>
      <c r="B663" s="2">
        <v>45483</v>
      </c>
      <c r="C663" t="s">
        <v>31</v>
      </c>
      <c r="D663" t="s">
        <v>32</v>
      </c>
      <c r="E663" t="s">
        <v>26</v>
      </c>
      <c r="F663" s="5">
        <v>3</v>
      </c>
      <c r="G663" s="5">
        <v>1</v>
      </c>
      <c r="H663" s="5">
        <v>4895</v>
      </c>
      <c r="I663" s="5">
        <v>1</v>
      </c>
      <c r="J663" s="5">
        <v>1631</v>
      </c>
      <c r="K663" t="s">
        <v>18</v>
      </c>
      <c r="L663" t="s">
        <v>57</v>
      </c>
      <c r="M663" t="s">
        <v>47</v>
      </c>
      <c r="N663" t="s">
        <v>154</v>
      </c>
      <c r="O663" t="s">
        <v>43</v>
      </c>
      <c r="P663" t="s">
        <v>36</v>
      </c>
      <c r="Q663">
        <f>Table1[[#This Row],[Course_Fee_AED]]-Table1[[#This Row],[Amount_Paid_AED]]</f>
        <v>3264</v>
      </c>
      <c r="R663">
        <f>Table1[[#This Row],[Course_Fee_AED]]-Table1[[#This Row],[pending Revenue]]</f>
        <v>1631</v>
      </c>
    </row>
    <row r="664" spans="1:18" x14ac:dyDescent="0.25">
      <c r="A664" t="s">
        <v>741</v>
      </c>
      <c r="B664" s="2">
        <v>45621</v>
      </c>
      <c r="C664" t="s">
        <v>15</v>
      </c>
      <c r="D664" t="s">
        <v>16</v>
      </c>
      <c r="E664" t="s">
        <v>26</v>
      </c>
      <c r="F664" s="5">
        <v>3</v>
      </c>
      <c r="G664" s="5">
        <v>1</v>
      </c>
      <c r="H664" s="5">
        <v>7238</v>
      </c>
      <c r="I664" s="5">
        <v>2</v>
      </c>
      <c r="J664" s="5">
        <v>4824</v>
      </c>
      <c r="K664" t="s">
        <v>18</v>
      </c>
      <c r="L664" t="s">
        <v>19</v>
      </c>
      <c r="M664" t="s">
        <v>63</v>
      </c>
      <c r="N664" t="s">
        <v>21</v>
      </c>
      <c r="O664" t="s">
        <v>68</v>
      </c>
      <c r="P664" t="s">
        <v>36</v>
      </c>
      <c r="Q664">
        <f>Table1[[#This Row],[Course_Fee_AED]]-Table1[[#This Row],[Amount_Paid_AED]]</f>
        <v>2414</v>
      </c>
      <c r="R664">
        <f>Table1[[#This Row],[Course_Fee_AED]]-Table1[[#This Row],[pending Revenue]]</f>
        <v>4824</v>
      </c>
    </row>
    <row r="665" spans="1:18" x14ac:dyDescent="0.25">
      <c r="A665" t="s">
        <v>742</v>
      </c>
      <c r="B665" s="2">
        <v>45390</v>
      </c>
      <c r="C665" t="s">
        <v>66</v>
      </c>
      <c r="D665" t="s">
        <v>56</v>
      </c>
      <c r="E665" t="s">
        <v>26</v>
      </c>
      <c r="F665" s="5">
        <v>3</v>
      </c>
      <c r="G665" s="5">
        <v>1</v>
      </c>
      <c r="H665" s="5">
        <v>8733</v>
      </c>
      <c r="I665" s="5">
        <v>3</v>
      </c>
      <c r="J665" s="5">
        <v>8733</v>
      </c>
      <c r="K665" t="s">
        <v>33</v>
      </c>
      <c r="L665" t="s">
        <v>40</v>
      </c>
      <c r="M665" t="s">
        <v>60</v>
      </c>
      <c r="N665" t="s">
        <v>42</v>
      </c>
      <c r="O665" t="s">
        <v>35</v>
      </c>
      <c r="P665" t="s">
        <v>18</v>
      </c>
      <c r="Q665">
        <f>Table1[[#This Row],[Course_Fee_AED]]-Table1[[#This Row],[Amount_Paid_AED]]</f>
        <v>0</v>
      </c>
      <c r="R665">
        <f>Table1[[#This Row],[Course_Fee_AED]]-Table1[[#This Row],[pending Revenue]]</f>
        <v>8733</v>
      </c>
    </row>
    <row r="666" spans="1:18" x14ac:dyDescent="0.25">
      <c r="A666" t="s">
        <v>743</v>
      </c>
      <c r="B666" s="2">
        <v>45390</v>
      </c>
      <c r="C666" t="s">
        <v>82</v>
      </c>
      <c r="D666" t="s">
        <v>83</v>
      </c>
      <c r="E666" t="s">
        <v>26</v>
      </c>
      <c r="F666" s="5">
        <v>3</v>
      </c>
      <c r="G666" s="5">
        <v>1</v>
      </c>
      <c r="H666" s="5">
        <v>13210</v>
      </c>
      <c r="I666" s="5">
        <v>3</v>
      </c>
      <c r="J666" s="5">
        <v>13209</v>
      </c>
      <c r="K666" t="s">
        <v>18</v>
      </c>
      <c r="L666" t="s">
        <v>19</v>
      </c>
      <c r="M666" t="s">
        <v>27</v>
      </c>
      <c r="N666" t="s">
        <v>70</v>
      </c>
      <c r="O666" t="s">
        <v>29</v>
      </c>
      <c r="P666" t="s">
        <v>36</v>
      </c>
      <c r="Q666">
        <f>Table1[[#This Row],[Course_Fee_AED]]-Table1[[#This Row],[Amount_Paid_AED]]</f>
        <v>1</v>
      </c>
      <c r="R666">
        <f>Table1[[#This Row],[Course_Fee_AED]]-Table1[[#This Row],[pending Revenue]]</f>
        <v>13209</v>
      </c>
    </row>
    <row r="667" spans="1:18" x14ac:dyDescent="0.25">
      <c r="A667" t="s">
        <v>744</v>
      </c>
      <c r="B667" s="2">
        <v>45566</v>
      </c>
      <c r="C667" t="s">
        <v>75</v>
      </c>
      <c r="D667" t="s">
        <v>76</v>
      </c>
      <c r="E667" t="s">
        <v>17</v>
      </c>
      <c r="F667" s="5">
        <v>6</v>
      </c>
      <c r="G667" s="5">
        <v>1</v>
      </c>
      <c r="H667" s="5">
        <v>11511</v>
      </c>
      <c r="I667" s="5">
        <v>1</v>
      </c>
      <c r="J667" s="5">
        <v>3837</v>
      </c>
      <c r="K667" t="s">
        <v>18</v>
      </c>
      <c r="L667" t="s">
        <v>57</v>
      </c>
      <c r="M667" t="s">
        <v>20</v>
      </c>
      <c r="N667" t="s">
        <v>86</v>
      </c>
      <c r="O667" t="s">
        <v>49</v>
      </c>
      <c r="P667" t="s">
        <v>18</v>
      </c>
      <c r="Q667">
        <f>Table1[[#This Row],[Course_Fee_AED]]-Table1[[#This Row],[Amount_Paid_AED]]</f>
        <v>7674</v>
      </c>
      <c r="R667">
        <f>Table1[[#This Row],[Course_Fee_AED]]-Table1[[#This Row],[pending Revenue]]</f>
        <v>3837</v>
      </c>
    </row>
    <row r="668" spans="1:18" x14ac:dyDescent="0.25">
      <c r="A668" t="s">
        <v>745</v>
      </c>
      <c r="B668" s="2">
        <v>45565</v>
      </c>
      <c r="C668" t="s">
        <v>113</v>
      </c>
      <c r="D668" t="s">
        <v>93</v>
      </c>
      <c r="E668" t="s">
        <v>17</v>
      </c>
      <c r="F668" s="5">
        <v>6</v>
      </c>
      <c r="G668" s="5">
        <v>1</v>
      </c>
      <c r="H668" s="5">
        <v>4179</v>
      </c>
      <c r="I668" s="5">
        <v>2</v>
      </c>
      <c r="J668" s="5">
        <v>2786</v>
      </c>
      <c r="K668" t="s">
        <v>18</v>
      </c>
      <c r="L668" t="s">
        <v>40</v>
      </c>
      <c r="M668" t="s">
        <v>27</v>
      </c>
      <c r="N668" t="s">
        <v>86</v>
      </c>
      <c r="O668" t="s">
        <v>58</v>
      </c>
      <c r="P668" t="s">
        <v>36</v>
      </c>
      <c r="Q668">
        <f>Table1[[#This Row],[Course_Fee_AED]]-Table1[[#This Row],[Amount_Paid_AED]]</f>
        <v>1393</v>
      </c>
      <c r="R668">
        <f>Table1[[#This Row],[Course_Fee_AED]]-Table1[[#This Row],[pending Revenue]]</f>
        <v>2786</v>
      </c>
    </row>
    <row r="669" spans="1:18" x14ac:dyDescent="0.25">
      <c r="A669" t="s">
        <v>746</v>
      </c>
      <c r="B669" s="2">
        <v>45394</v>
      </c>
      <c r="C669" t="s">
        <v>45</v>
      </c>
      <c r="D669" t="s">
        <v>46</v>
      </c>
      <c r="E669" t="s">
        <v>26</v>
      </c>
      <c r="F669" s="5">
        <v>3</v>
      </c>
      <c r="G669" s="5">
        <v>1</v>
      </c>
      <c r="H669" s="5">
        <v>4689</v>
      </c>
      <c r="I669" s="5">
        <v>3</v>
      </c>
      <c r="J669" s="5">
        <v>4689</v>
      </c>
      <c r="K669" t="s">
        <v>33</v>
      </c>
      <c r="L669" t="s">
        <v>57</v>
      </c>
      <c r="M669" t="s">
        <v>47</v>
      </c>
      <c r="N669" t="s">
        <v>42</v>
      </c>
      <c r="O669" t="s">
        <v>71</v>
      </c>
      <c r="P669" t="s">
        <v>36</v>
      </c>
      <c r="Q669">
        <f>Table1[[#This Row],[Course_Fee_AED]]-Table1[[#This Row],[Amount_Paid_AED]]</f>
        <v>0</v>
      </c>
      <c r="R669">
        <f>Table1[[#This Row],[Course_Fee_AED]]-Table1[[#This Row],[pending Revenue]]</f>
        <v>4689</v>
      </c>
    </row>
    <row r="670" spans="1:18" x14ac:dyDescent="0.25">
      <c r="A670" t="s">
        <v>747</v>
      </c>
      <c r="B670" s="2">
        <v>45488</v>
      </c>
      <c r="C670" t="s">
        <v>100</v>
      </c>
      <c r="D670" t="s">
        <v>101</v>
      </c>
      <c r="E670" t="s">
        <v>17</v>
      </c>
      <c r="F670" s="5">
        <v>6</v>
      </c>
      <c r="G670" s="5">
        <v>1</v>
      </c>
      <c r="H670" s="5">
        <v>4389</v>
      </c>
      <c r="I670" s="5">
        <v>1</v>
      </c>
      <c r="J670" s="5">
        <v>1463</v>
      </c>
      <c r="K670" t="s">
        <v>18</v>
      </c>
      <c r="L670" t="s">
        <v>57</v>
      </c>
      <c r="M670" t="s">
        <v>27</v>
      </c>
      <c r="N670" t="s">
        <v>34</v>
      </c>
      <c r="O670" t="s">
        <v>71</v>
      </c>
      <c r="P670" t="s">
        <v>36</v>
      </c>
      <c r="Q670">
        <f>Table1[[#This Row],[Course_Fee_AED]]-Table1[[#This Row],[Amount_Paid_AED]]</f>
        <v>2926</v>
      </c>
      <c r="R670">
        <f>Table1[[#This Row],[Course_Fee_AED]]-Table1[[#This Row],[pending Revenue]]</f>
        <v>1463</v>
      </c>
    </row>
    <row r="671" spans="1:18" x14ac:dyDescent="0.25">
      <c r="A671" t="s">
        <v>748</v>
      </c>
      <c r="B671" s="2">
        <v>45556</v>
      </c>
      <c r="C671" t="s">
        <v>51</v>
      </c>
      <c r="D671" t="s">
        <v>52</v>
      </c>
      <c r="E671" t="s">
        <v>26</v>
      </c>
      <c r="F671" s="5">
        <v>3</v>
      </c>
      <c r="G671" s="5">
        <v>1</v>
      </c>
      <c r="H671" s="5">
        <v>4931</v>
      </c>
      <c r="I671" s="5">
        <v>2</v>
      </c>
      <c r="J671" s="5">
        <v>3286</v>
      </c>
      <c r="K671" t="s">
        <v>18</v>
      </c>
      <c r="L671" t="s">
        <v>19</v>
      </c>
      <c r="M671" t="s">
        <v>20</v>
      </c>
      <c r="N671" t="s">
        <v>95</v>
      </c>
      <c r="O671" t="s">
        <v>58</v>
      </c>
      <c r="P671" t="s">
        <v>36</v>
      </c>
      <c r="Q671">
        <f>Table1[[#This Row],[Course_Fee_AED]]-Table1[[#This Row],[Amount_Paid_AED]]</f>
        <v>1645</v>
      </c>
      <c r="R671">
        <f>Table1[[#This Row],[Course_Fee_AED]]-Table1[[#This Row],[pending Revenue]]</f>
        <v>3286</v>
      </c>
    </row>
    <row r="672" spans="1:18" x14ac:dyDescent="0.25">
      <c r="A672" t="s">
        <v>749</v>
      </c>
      <c r="B672" s="2">
        <v>45594</v>
      </c>
      <c r="C672" t="s">
        <v>100</v>
      </c>
      <c r="D672" t="s">
        <v>101</v>
      </c>
      <c r="E672" t="s">
        <v>26</v>
      </c>
      <c r="F672" s="5">
        <v>3</v>
      </c>
      <c r="G672" s="5">
        <v>1</v>
      </c>
      <c r="H672" s="5">
        <v>3846</v>
      </c>
      <c r="I672" s="5">
        <v>2</v>
      </c>
      <c r="J672" s="5">
        <v>2564</v>
      </c>
      <c r="K672" t="s">
        <v>18</v>
      </c>
      <c r="L672" t="s">
        <v>19</v>
      </c>
      <c r="M672" t="s">
        <v>60</v>
      </c>
      <c r="N672" t="s">
        <v>154</v>
      </c>
      <c r="O672" t="s">
        <v>87</v>
      </c>
      <c r="P672" t="s">
        <v>36</v>
      </c>
      <c r="Q672">
        <f>Table1[[#This Row],[Course_Fee_AED]]-Table1[[#This Row],[Amount_Paid_AED]]</f>
        <v>1282</v>
      </c>
      <c r="R672">
        <f>Table1[[#This Row],[Course_Fee_AED]]-Table1[[#This Row],[pending Revenue]]</f>
        <v>2564</v>
      </c>
    </row>
    <row r="673" spans="1:18" x14ac:dyDescent="0.25">
      <c r="A673" t="s">
        <v>750</v>
      </c>
      <c r="B673" s="2">
        <v>45478</v>
      </c>
      <c r="C673" t="s">
        <v>82</v>
      </c>
      <c r="D673" t="s">
        <v>83</v>
      </c>
      <c r="E673" t="s">
        <v>26</v>
      </c>
      <c r="F673" s="5">
        <v>3</v>
      </c>
      <c r="G673" s="5">
        <v>1</v>
      </c>
      <c r="H673" s="5">
        <v>12488</v>
      </c>
      <c r="I673" s="5">
        <v>3</v>
      </c>
      <c r="J673" s="5">
        <v>12486</v>
      </c>
      <c r="K673" t="s">
        <v>18</v>
      </c>
      <c r="L673" t="s">
        <v>40</v>
      </c>
      <c r="M673" t="s">
        <v>63</v>
      </c>
      <c r="N673" t="s">
        <v>28</v>
      </c>
      <c r="O673" t="s">
        <v>22</v>
      </c>
      <c r="P673" t="s">
        <v>36</v>
      </c>
      <c r="Q673">
        <f>Table1[[#This Row],[Course_Fee_AED]]-Table1[[#This Row],[Amount_Paid_AED]]</f>
        <v>2</v>
      </c>
      <c r="R673">
        <f>Table1[[#This Row],[Course_Fee_AED]]-Table1[[#This Row],[pending Revenue]]</f>
        <v>12486</v>
      </c>
    </row>
    <row r="674" spans="1:18" x14ac:dyDescent="0.25">
      <c r="A674" t="s">
        <v>751</v>
      </c>
      <c r="B674" s="2">
        <v>45540</v>
      </c>
      <c r="C674" t="s">
        <v>45</v>
      </c>
      <c r="D674" t="s">
        <v>46</v>
      </c>
      <c r="E674" t="s">
        <v>17</v>
      </c>
      <c r="F674" s="5">
        <v>6</v>
      </c>
      <c r="G674" s="5">
        <v>1</v>
      </c>
      <c r="H674" s="5">
        <v>4464</v>
      </c>
      <c r="I674" s="5">
        <v>2</v>
      </c>
      <c r="J674" s="5">
        <v>2976</v>
      </c>
      <c r="K674" t="s">
        <v>18</v>
      </c>
      <c r="L674" t="s">
        <v>19</v>
      </c>
      <c r="M674" t="s">
        <v>27</v>
      </c>
      <c r="N674" t="s">
        <v>73</v>
      </c>
      <c r="O674" t="s">
        <v>71</v>
      </c>
      <c r="P674" t="s">
        <v>36</v>
      </c>
      <c r="Q674">
        <f>Table1[[#This Row],[Course_Fee_AED]]-Table1[[#This Row],[Amount_Paid_AED]]</f>
        <v>1488</v>
      </c>
      <c r="R674">
        <f>Table1[[#This Row],[Course_Fee_AED]]-Table1[[#This Row],[pending Revenue]]</f>
        <v>2976</v>
      </c>
    </row>
    <row r="675" spans="1:18" x14ac:dyDescent="0.25">
      <c r="A675" t="s">
        <v>752</v>
      </c>
      <c r="B675" s="2">
        <v>45361</v>
      </c>
      <c r="C675" t="s">
        <v>45</v>
      </c>
      <c r="D675" t="s">
        <v>46</v>
      </c>
      <c r="E675" t="s">
        <v>26</v>
      </c>
      <c r="F675" s="5">
        <v>3</v>
      </c>
      <c r="G675" s="5">
        <v>1</v>
      </c>
      <c r="H675" s="5">
        <v>6276</v>
      </c>
      <c r="I675" s="5">
        <v>1</v>
      </c>
      <c r="J675" s="5">
        <v>2092</v>
      </c>
      <c r="K675" t="s">
        <v>18</v>
      </c>
      <c r="L675" t="s">
        <v>19</v>
      </c>
      <c r="M675" t="s">
        <v>41</v>
      </c>
      <c r="N675" t="s">
        <v>154</v>
      </c>
      <c r="O675" t="s">
        <v>87</v>
      </c>
      <c r="P675" t="s">
        <v>36</v>
      </c>
      <c r="Q675">
        <f>Table1[[#This Row],[Course_Fee_AED]]-Table1[[#This Row],[Amount_Paid_AED]]</f>
        <v>4184</v>
      </c>
      <c r="R675">
        <f>Table1[[#This Row],[Course_Fee_AED]]-Table1[[#This Row],[pending Revenue]]</f>
        <v>2092</v>
      </c>
    </row>
    <row r="676" spans="1:18" x14ac:dyDescent="0.25">
      <c r="A676" t="s">
        <v>753</v>
      </c>
      <c r="B676" s="2">
        <v>45448</v>
      </c>
      <c r="C676" t="s">
        <v>113</v>
      </c>
      <c r="D676" t="s">
        <v>93</v>
      </c>
      <c r="E676" t="s">
        <v>17</v>
      </c>
      <c r="F676" s="5">
        <v>6</v>
      </c>
      <c r="G676" s="5">
        <v>1</v>
      </c>
      <c r="H676" s="5">
        <v>3038</v>
      </c>
      <c r="I676" s="5">
        <v>1</v>
      </c>
      <c r="J676" s="5">
        <v>1012</v>
      </c>
      <c r="K676" t="s">
        <v>18</v>
      </c>
      <c r="L676" t="s">
        <v>57</v>
      </c>
      <c r="M676" t="s">
        <v>60</v>
      </c>
      <c r="N676" t="s">
        <v>95</v>
      </c>
      <c r="O676" t="s">
        <v>71</v>
      </c>
      <c r="P676" t="s">
        <v>18</v>
      </c>
      <c r="Q676">
        <f>Table1[[#This Row],[Course_Fee_AED]]-Table1[[#This Row],[Amount_Paid_AED]]</f>
        <v>2026</v>
      </c>
      <c r="R676">
        <f>Table1[[#This Row],[Course_Fee_AED]]-Table1[[#This Row],[pending Revenue]]</f>
        <v>1012</v>
      </c>
    </row>
    <row r="677" spans="1:18" x14ac:dyDescent="0.25">
      <c r="A677" t="s">
        <v>754</v>
      </c>
      <c r="B677" s="2">
        <v>45608</v>
      </c>
      <c r="C677" t="s">
        <v>92</v>
      </c>
      <c r="D677" t="s">
        <v>93</v>
      </c>
      <c r="E677" t="s">
        <v>26</v>
      </c>
      <c r="F677" s="5">
        <v>3</v>
      </c>
      <c r="G677" s="5">
        <v>1</v>
      </c>
      <c r="H677" s="5">
        <v>7945</v>
      </c>
      <c r="I677" s="5">
        <v>3</v>
      </c>
      <c r="J677" s="5">
        <v>7944</v>
      </c>
      <c r="K677" t="s">
        <v>18</v>
      </c>
      <c r="L677" t="s">
        <v>57</v>
      </c>
      <c r="M677" t="s">
        <v>63</v>
      </c>
      <c r="N677" t="s">
        <v>21</v>
      </c>
      <c r="O677" t="s">
        <v>64</v>
      </c>
      <c r="P677" t="s">
        <v>18</v>
      </c>
      <c r="Q677">
        <f>Table1[[#This Row],[Course_Fee_AED]]-Table1[[#This Row],[Amount_Paid_AED]]</f>
        <v>1</v>
      </c>
      <c r="R677">
        <f>Table1[[#This Row],[Course_Fee_AED]]-Table1[[#This Row],[pending Revenue]]</f>
        <v>7944</v>
      </c>
    </row>
    <row r="678" spans="1:18" x14ac:dyDescent="0.25">
      <c r="A678" t="s">
        <v>755</v>
      </c>
      <c r="B678" s="2">
        <v>45421</v>
      </c>
      <c r="C678" t="s">
        <v>75</v>
      </c>
      <c r="D678" t="s">
        <v>76</v>
      </c>
      <c r="E678" t="s">
        <v>26</v>
      </c>
      <c r="F678" s="5">
        <v>3</v>
      </c>
      <c r="G678" s="5">
        <v>1</v>
      </c>
      <c r="H678" s="5">
        <v>9259</v>
      </c>
      <c r="I678" s="5">
        <v>3</v>
      </c>
      <c r="J678" s="5">
        <v>9258</v>
      </c>
      <c r="K678" t="s">
        <v>18</v>
      </c>
      <c r="L678" t="s">
        <v>40</v>
      </c>
      <c r="M678" t="s">
        <v>47</v>
      </c>
      <c r="N678" t="s">
        <v>73</v>
      </c>
      <c r="O678" t="s">
        <v>22</v>
      </c>
      <c r="P678" t="s">
        <v>36</v>
      </c>
      <c r="Q678">
        <f>Table1[[#This Row],[Course_Fee_AED]]-Table1[[#This Row],[Amount_Paid_AED]]</f>
        <v>1</v>
      </c>
      <c r="R678">
        <f>Table1[[#This Row],[Course_Fee_AED]]-Table1[[#This Row],[pending Revenue]]</f>
        <v>9258</v>
      </c>
    </row>
    <row r="679" spans="1:18" x14ac:dyDescent="0.25">
      <c r="A679" t="s">
        <v>756</v>
      </c>
      <c r="B679" s="2">
        <v>45550</v>
      </c>
      <c r="C679" t="s">
        <v>66</v>
      </c>
      <c r="D679" t="s">
        <v>56</v>
      </c>
      <c r="E679" t="s">
        <v>26</v>
      </c>
      <c r="F679" s="5">
        <v>3</v>
      </c>
      <c r="G679" s="5">
        <v>1</v>
      </c>
      <c r="H679" s="5">
        <v>8196</v>
      </c>
      <c r="I679" s="5">
        <v>1</v>
      </c>
      <c r="J679" s="5">
        <v>2732</v>
      </c>
      <c r="K679" t="s">
        <v>18</v>
      </c>
      <c r="L679" t="s">
        <v>19</v>
      </c>
      <c r="M679" t="s">
        <v>60</v>
      </c>
      <c r="N679" t="s">
        <v>61</v>
      </c>
      <c r="O679" t="s">
        <v>68</v>
      </c>
      <c r="P679" t="s">
        <v>18</v>
      </c>
      <c r="Q679">
        <f>Table1[[#This Row],[Course_Fee_AED]]-Table1[[#This Row],[Amount_Paid_AED]]</f>
        <v>5464</v>
      </c>
      <c r="R679">
        <f>Table1[[#This Row],[Course_Fee_AED]]-Table1[[#This Row],[pending Revenue]]</f>
        <v>2732</v>
      </c>
    </row>
    <row r="680" spans="1:18" x14ac:dyDescent="0.25">
      <c r="A680" t="s">
        <v>757</v>
      </c>
      <c r="B680" s="2">
        <v>45473</v>
      </c>
      <c r="C680" t="s">
        <v>92</v>
      </c>
      <c r="D680" t="s">
        <v>93</v>
      </c>
      <c r="E680" t="s">
        <v>17</v>
      </c>
      <c r="F680" s="5">
        <v>6</v>
      </c>
      <c r="G680" s="5">
        <v>1</v>
      </c>
      <c r="H680" s="5">
        <v>6275</v>
      </c>
      <c r="I680" s="5">
        <v>3</v>
      </c>
      <c r="J680" s="5">
        <v>6273</v>
      </c>
      <c r="K680" t="s">
        <v>18</v>
      </c>
      <c r="L680" t="s">
        <v>57</v>
      </c>
      <c r="M680" t="s">
        <v>20</v>
      </c>
      <c r="N680" t="s">
        <v>116</v>
      </c>
      <c r="O680" t="s">
        <v>43</v>
      </c>
      <c r="P680" t="s">
        <v>18</v>
      </c>
      <c r="Q680">
        <f>Table1[[#This Row],[Course_Fee_AED]]-Table1[[#This Row],[Amount_Paid_AED]]</f>
        <v>2</v>
      </c>
      <c r="R680">
        <f>Table1[[#This Row],[Course_Fee_AED]]-Table1[[#This Row],[pending Revenue]]</f>
        <v>6273</v>
      </c>
    </row>
    <row r="681" spans="1:18" x14ac:dyDescent="0.25">
      <c r="A681" t="s">
        <v>758</v>
      </c>
      <c r="B681" s="2">
        <v>45375</v>
      </c>
      <c r="C681" t="s">
        <v>92</v>
      </c>
      <c r="D681" t="s">
        <v>93</v>
      </c>
      <c r="E681" t="s">
        <v>26</v>
      </c>
      <c r="F681" s="5">
        <v>3</v>
      </c>
      <c r="G681" s="5">
        <v>1</v>
      </c>
      <c r="H681" s="5">
        <v>5044</v>
      </c>
      <c r="I681" s="5">
        <v>3</v>
      </c>
      <c r="J681" s="5">
        <v>5043</v>
      </c>
      <c r="K681" t="s">
        <v>18</v>
      </c>
      <c r="L681" t="s">
        <v>40</v>
      </c>
      <c r="M681" t="s">
        <v>41</v>
      </c>
      <c r="N681" t="s">
        <v>154</v>
      </c>
      <c r="O681" t="s">
        <v>22</v>
      </c>
      <c r="P681" t="s">
        <v>18</v>
      </c>
      <c r="Q681">
        <f>Table1[[#This Row],[Course_Fee_AED]]-Table1[[#This Row],[Amount_Paid_AED]]</f>
        <v>1</v>
      </c>
      <c r="R681">
        <f>Table1[[#This Row],[Course_Fee_AED]]-Table1[[#This Row],[pending Revenue]]</f>
        <v>5043</v>
      </c>
    </row>
    <row r="682" spans="1:18" x14ac:dyDescent="0.25">
      <c r="A682" t="s">
        <v>759</v>
      </c>
      <c r="B682" s="2">
        <v>45567</v>
      </c>
      <c r="C682" t="s">
        <v>38</v>
      </c>
      <c r="D682" t="s">
        <v>39</v>
      </c>
      <c r="E682" t="s">
        <v>26</v>
      </c>
      <c r="F682" s="5">
        <v>3</v>
      </c>
      <c r="G682" s="5">
        <v>1</v>
      </c>
      <c r="H682" s="5">
        <v>6526</v>
      </c>
      <c r="I682" s="5">
        <v>3</v>
      </c>
      <c r="J682" s="5">
        <v>6525</v>
      </c>
      <c r="K682" t="s">
        <v>18</v>
      </c>
      <c r="L682" t="s">
        <v>19</v>
      </c>
      <c r="M682" t="s">
        <v>47</v>
      </c>
      <c r="N682" t="s">
        <v>42</v>
      </c>
      <c r="O682" t="s">
        <v>87</v>
      </c>
      <c r="P682" t="s">
        <v>18</v>
      </c>
      <c r="Q682">
        <f>Table1[[#This Row],[Course_Fee_AED]]-Table1[[#This Row],[Amount_Paid_AED]]</f>
        <v>1</v>
      </c>
      <c r="R682">
        <f>Table1[[#This Row],[Course_Fee_AED]]-Table1[[#This Row],[pending Revenue]]</f>
        <v>6525</v>
      </c>
    </row>
    <row r="683" spans="1:18" x14ac:dyDescent="0.25">
      <c r="A683" t="s">
        <v>760</v>
      </c>
      <c r="B683" s="2">
        <v>45632</v>
      </c>
      <c r="C683" t="s">
        <v>100</v>
      </c>
      <c r="D683" t="s">
        <v>101</v>
      </c>
      <c r="E683" t="s">
        <v>26</v>
      </c>
      <c r="F683" s="5">
        <v>3</v>
      </c>
      <c r="G683" s="5">
        <v>1</v>
      </c>
      <c r="H683" s="5">
        <v>5703</v>
      </c>
      <c r="I683" s="5">
        <v>3</v>
      </c>
      <c r="J683" s="5">
        <v>5703</v>
      </c>
      <c r="K683" t="s">
        <v>33</v>
      </c>
      <c r="L683" t="s">
        <v>19</v>
      </c>
      <c r="M683" t="s">
        <v>60</v>
      </c>
      <c r="N683" t="s">
        <v>79</v>
      </c>
      <c r="O683" t="s">
        <v>29</v>
      </c>
      <c r="P683" t="s">
        <v>36</v>
      </c>
      <c r="Q683">
        <f>Table1[[#This Row],[Course_Fee_AED]]-Table1[[#This Row],[Amount_Paid_AED]]</f>
        <v>0</v>
      </c>
      <c r="R683">
        <f>Table1[[#This Row],[Course_Fee_AED]]-Table1[[#This Row],[pending Revenue]]</f>
        <v>5703</v>
      </c>
    </row>
    <row r="684" spans="1:18" x14ac:dyDescent="0.25">
      <c r="A684" t="s">
        <v>761</v>
      </c>
      <c r="B684" s="2">
        <v>45578</v>
      </c>
      <c r="C684" t="s">
        <v>15</v>
      </c>
      <c r="D684" t="s">
        <v>16</v>
      </c>
      <c r="E684" t="s">
        <v>26</v>
      </c>
      <c r="F684" s="5">
        <v>3</v>
      </c>
      <c r="G684" s="5">
        <v>1</v>
      </c>
      <c r="H684" s="5">
        <v>6140</v>
      </c>
      <c r="I684" s="5">
        <v>3</v>
      </c>
      <c r="J684" s="5">
        <v>6138</v>
      </c>
      <c r="K684" t="s">
        <v>18</v>
      </c>
      <c r="L684" t="s">
        <v>57</v>
      </c>
      <c r="M684" t="s">
        <v>60</v>
      </c>
      <c r="N684" t="s">
        <v>21</v>
      </c>
      <c r="O684" t="s">
        <v>71</v>
      </c>
      <c r="P684" t="s">
        <v>36</v>
      </c>
      <c r="Q684">
        <f>Table1[[#This Row],[Course_Fee_AED]]-Table1[[#This Row],[Amount_Paid_AED]]</f>
        <v>2</v>
      </c>
      <c r="R684">
        <f>Table1[[#This Row],[Course_Fee_AED]]-Table1[[#This Row],[pending Revenue]]</f>
        <v>6138</v>
      </c>
    </row>
    <row r="685" spans="1:18" x14ac:dyDescent="0.25">
      <c r="A685" t="s">
        <v>762</v>
      </c>
      <c r="B685" s="2">
        <v>45560</v>
      </c>
      <c r="C685" t="s">
        <v>31</v>
      </c>
      <c r="D685" t="s">
        <v>32</v>
      </c>
      <c r="E685" t="s">
        <v>26</v>
      </c>
      <c r="F685" s="5">
        <v>3</v>
      </c>
      <c r="G685" s="5">
        <v>1</v>
      </c>
      <c r="H685" s="5">
        <v>6391</v>
      </c>
      <c r="I685" s="5">
        <v>3</v>
      </c>
      <c r="J685" s="5">
        <v>6390</v>
      </c>
      <c r="K685" t="s">
        <v>18</v>
      </c>
      <c r="L685" t="s">
        <v>40</v>
      </c>
      <c r="M685" t="s">
        <v>47</v>
      </c>
      <c r="N685" t="s">
        <v>53</v>
      </c>
      <c r="O685" t="s">
        <v>68</v>
      </c>
      <c r="P685" t="s">
        <v>36</v>
      </c>
      <c r="Q685">
        <f>Table1[[#This Row],[Course_Fee_AED]]-Table1[[#This Row],[Amount_Paid_AED]]</f>
        <v>1</v>
      </c>
      <c r="R685">
        <f>Table1[[#This Row],[Course_Fee_AED]]-Table1[[#This Row],[pending Revenue]]</f>
        <v>6390</v>
      </c>
    </row>
    <row r="686" spans="1:18" x14ac:dyDescent="0.25">
      <c r="A686" t="s">
        <v>763</v>
      </c>
      <c r="B686" s="2">
        <v>45509</v>
      </c>
      <c r="C686" t="s">
        <v>31</v>
      </c>
      <c r="D686" t="s">
        <v>32</v>
      </c>
      <c r="E686" t="s">
        <v>26</v>
      </c>
      <c r="F686" s="5">
        <v>3</v>
      </c>
      <c r="G686" s="5">
        <v>1</v>
      </c>
      <c r="H686" s="5">
        <v>6572</v>
      </c>
      <c r="I686" s="5">
        <v>3</v>
      </c>
      <c r="J686" s="5">
        <v>6570</v>
      </c>
      <c r="K686" t="s">
        <v>18</v>
      </c>
      <c r="L686" t="s">
        <v>57</v>
      </c>
      <c r="M686" t="s">
        <v>63</v>
      </c>
      <c r="N686" t="s">
        <v>42</v>
      </c>
      <c r="O686" t="s">
        <v>29</v>
      </c>
      <c r="P686" t="s">
        <v>18</v>
      </c>
      <c r="Q686">
        <f>Table1[[#This Row],[Course_Fee_AED]]-Table1[[#This Row],[Amount_Paid_AED]]</f>
        <v>2</v>
      </c>
      <c r="R686">
        <f>Table1[[#This Row],[Course_Fee_AED]]-Table1[[#This Row],[pending Revenue]]</f>
        <v>6570</v>
      </c>
    </row>
    <row r="687" spans="1:18" x14ac:dyDescent="0.25">
      <c r="A687" t="s">
        <v>764</v>
      </c>
      <c r="B687" s="2">
        <v>45611</v>
      </c>
      <c r="C687" t="s">
        <v>24</v>
      </c>
      <c r="D687" t="s">
        <v>25</v>
      </c>
      <c r="E687" t="s">
        <v>26</v>
      </c>
      <c r="F687" s="5">
        <v>3</v>
      </c>
      <c r="G687" s="5">
        <v>1</v>
      </c>
      <c r="H687" s="5">
        <v>4699</v>
      </c>
      <c r="I687" s="5">
        <v>2</v>
      </c>
      <c r="J687" s="5">
        <v>3132</v>
      </c>
      <c r="K687" t="s">
        <v>18</v>
      </c>
      <c r="L687" t="s">
        <v>40</v>
      </c>
      <c r="M687" t="s">
        <v>20</v>
      </c>
      <c r="N687" t="s">
        <v>79</v>
      </c>
      <c r="O687" t="s">
        <v>58</v>
      </c>
      <c r="P687" t="s">
        <v>36</v>
      </c>
      <c r="Q687">
        <f>Table1[[#This Row],[Course_Fee_AED]]-Table1[[#This Row],[Amount_Paid_AED]]</f>
        <v>1567</v>
      </c>
      <c r="R687">
        <f>Table1[[#This Row],[Course_Fee_AED]]-Table1[[#This Row],[pending Revenue]]</f>
        <v>3132</v>
      </c>
    </row>
    <row r="688" spans="1:18" x14ac:dyDescent="0.25">
      <c r="A688" t="s">
        <v>765</v>
      </c>
      <c r="B688" s="2">
        <v>45432</v>
      </c>
      <c r="C688" t="s">
        <v>75</v>
      </c>
      <c r="D688" t="s">
        <v>76</v>
      </c>
      <c r="E688" t="s">
        <v>26</v>
      </c>
      <c r="F688" s="5">
        <v>3</v>
      </c>
      <c r="G688" s="5">
        <v>1</v>
      </c>
      <c r="H688" s="5">
        <v>7158</v>
      </c>
      <c r="I688" s="5">
        <v>3</v>
      </c>
      <c r="J688" s="5">
        <v>7158</v>
      </c>
      <c r="K688" t="s">
        <v>33</v>
      </c>
      <c r="L688" t="s">
        <v>40</v>
      </c>
      <c r="M688" t="s">
        <v>27</v>
      </c>
      <c r="N688" t="s">
        <v>116</v>
      </c>
      <c r="O688" t="s">
        <v>87</v>
      </c>
      <c r="P688" t="s">
        <v>36</v>
      </c>
      <c r="Q688">
        <f>Table1[[#This Row],[Course_Fee_AED]]-Table1[[#This Row],[Amount_Paid_AED]]</f>
        <v>0</v>
      </c>
      <c r="R688">
        <f>Table1[[#This Row],[Course_Fee_AED]]-Table1[[#This Row],[pending Revenue]]</f>
        <v>7158</v>
      </c>
    </row>
    <row r="689" spans="1:18" x14ac:dyDescent="0.25">
      <c r="A689" t="s">
        <v>766</v>
      </c>
      <c r="B689" s="2">
        <v>45435</v>
      </c>
      <c r="C689" t="s">
        <v>51</v>
      </c>
      <c r="D689" t="s">
        <v>52</v>
      </c>
      <c r="E689" t="s">
        <v>17</v>
      </c>
      <c r="F689" s="5">
        <v>6</v>
      </c>
      <c r="G689" s="5">
        <v>1</v>
      </c>
      <c r="H689" s="5">
        <v>4984</v>
      </c>
      <c r="I689" s="5">
        <v>2</v>
      </c>
      <c r="J689" s="5">
        <v>3322</v>
      </c>
      <c r="K689" t="s">
        <v>18</v>
      </c>
      <c r="L689" t="s">
        <v>19</v>
      </c>
      <c r="M689" t="s">
        <v>60</v>
      </c>
      <c r="N689" t="s">
        <v>79</v>
      </c>
      <c r="O689" t="s">
        <v>58</v>
      </c>
      <c r="P689" t="s">
        <v>36</v>
      </c>
      <c r="Q689">
        <f>Table1[[#This Row],[Course_Fee_AED]]-Table1[[#This Row],[Amount_Paid_AED]]</f>
        <v>1662</v>
      </c>
      <c r="R689">
        <f>Table1[[#This Row],[Course_Fee_AED]]-Table1[[#This Row],[pending Revenue]]</f>
        <v>3322</v>
      </c>
    </row>
    <row r="690" spans="1:18" x14ac:dyDescent="0.25">
      <c r="A690" t="s">
        <v>767</v>
      </c>
      <c r="B690" s="2">
        <v>45539</v>
      </c>
      <c r="C690" t="s">
        <v>15</v>
      </c>
      <c r="D690" t="s">
        <v>16</v>
      </c>
      <c r="E690" t="s">
        <v>26</v>
      </c>
      <c r="F690" s="5">
        <v>3</v>
      </c>
      <c r="G690" s="5">
        <v>1</v>
      </c>
      <c r="H690" s="5">
        <v>5557</v>
      </c>
      <c r="I690" s="5">
        <v>3</v>
      </c>
      <c r="J690" s="5">
        <v>5556</v>
      </c>
      <c r="K690" t="s">
        <v>18</v>
      </c>
      <c r="L690" t="s">
        <v>57</v>
      </c>
      <c r="M690" t="s">
        <v>27</v>
      </c>
      <c r="N690" t="s">
        <v>90</v>
      </c>
      <c r="O690" t="s">
        <v>43</v>
      </c>
      <c r="P690" t="s">
        <v>18</v>
      </c>
      <c r="Q690">
        <f>Table1[[#This Row],[Course_Fee_AED]]-Table1[[#This Row],[Amount_Paid_AED]]</f>
        <v>1</v>
      </c>
      <c r="R690">
        <f>Table1[[#This Row],[Course_Fee_AED]]-Table1[[#This Row],[pending Revenue]]</f>
        <v>5556</v>
      </c>
    </row>
    <row r="691" spans="1:18" x14ac:dyDescent="0.25">
      <c r="A691" t="s">
        <v>768</v>
      </c>
      <c r="B691" s="2">
        <v>45483</v>
      </c>
      <c r="C691" t="s">
        <v>15</v>
      </c>
      <c r="D691" t="s">
        <v>16</v>
      </c>
      <c r="E691" t="s">
        <v>17</v>
      </c>
      <c r="F691" s="5">
        <v>6</v>
      </c>
      <c r="G691" s="5">
        <v>1</v>
      </c>
      <c r="H691" s="5">
        <v>5318</v>
      </c>
      <c r="I691" s="5">
        <v>1</v>
      </c>
      <c r="J691" s="5">
        <v>1772</v>
      </c>
      <c r="K691" t="s">
        <v>18</v>
      </c>
      <c r="L691" t="s">
        <v>57</v>
      </c>
      <c r="M691" t="s">
        <v>20</v>
      </c>
      <c r="N691" t="s">
        <v>53</v>
      </c>
      <c r="O691" t="s">
        <v>68</v>
      </c>
      <c r="P691" t="s">
        <v>36</v>
      </c>
      <c r="Q691">
        <f>Table1[[#This Row],[Course_Fee_AED]]-Table1[[#This Row],[Amount_Paid_AED]]</f>
        <v>3546</v>
      </c>
      <c r="R691">
        <f>Table1[[#This Row],[Course_Fee_AED]]-Table1[[#This Row],[pending Revenue]]</f>
        <v>1772</v>
      </c>
    </row>
    <row r="692" spans="1:18" x14ac:dyDescent="0.25">
      <c r="A692" t="s">
        <v>769</v>
      </c>
      <c r="B692" s="2">
        <v>45427</v>
      </c>
      <c r="C692" t="s">
        <v>55</v>
      </c>
      <c r="D692" t="s">
        <v>56</v>
      </c>
      <c r="E692" t="s">
        <v>26</v>
      </c>
      <c r="F692" s="5">
        <v>3</v>
      </c>
      <c r="G692" s="5">
        <v>1</v>
      </c>
      <c r="H692" s="5">
        <v>11802</v>
      </c>
      <c r="I692" s="5">
        <v>3</v>
      </c>
      <c r="J692" s="5">
        <v>11802</v>
      </c>
      <c r="K692" t="s">
        <v>33</v>
      </c>
      <c r="L692" t="s">
        <v>57</v>
      </c>
      <c r="M692" t="s">
        <v>60</v>
      </c>
      <c r="N692" t="s">
        <v>79</v>
      </c>
      <c r="O692" t="s">
        <v>64</v>
      </c>
      <c r="P692" t="s">
        <v>36</v>
      </c>
      <c r="Q692">
        <f>Table1[[#This Row],[Course_Fee_AED]]-Table1[[#This Row],[Amount_Paid_AED]]</f>
        <v>0</v>
      </c>
      <c r="R692">
        <f>Table1[[#This Row],[Course_Fee_AED]]-Table1[[#This Row],[pending Revenue]]</f>
        <v>11802</v>
      </c>
    </row>
    <row r="693" spans="1:18" x14ac:dyDescent="0.25">
      <c r="A693" t="s">
        <v>770</v>
      </c>
      <c r="B693" s="2">
        <v>45446</v>
      </c>
      <c r="C693" t="s">
        <v>55</v>
      </c>
      <c r="D693" t="s">
        <v>56</v>
      </c>
      <c r="E693" t="s">
        <v>17</v>
      </c>
      <c r="F693" s="5">
        <v>6</v>
      </c>
      <c r="G693" s="5">
        <v>1</v>
      </c>
      <c r="H693" s="5">
        <v>11196</v>
      </c>
      <c r="I693" s="5">
        <v>3</v>
      </c>
      <c r="J693" s="5">
        <v>11196</v>
      </c>
      <c r="K693" t="s">
        <v>33</v>
      </c>
      <c r="L693" t="s">
        <v>57</v>
      </c>
      <c r="M693" t="s">
        <v>47</v>
      </c>
      <c r="N693" t="s">
        <v>21</v>
      </c>
      <c r="O693" t="s">
        <v>64</v>
      </c>
      <c r="P693" t="s">
        <v>36</v>
      </c>
      <c r="Q693">
        <f>Table1[[#This Row],[Course_Fee_AED]]-Table1[[#This Row],[Amount_Paid_AED]]</f>
        <v>0</v>
      </c>
      <c r="R693">
        <f>Table1[[#This Row],[Course_Fee_AED]]-Table1[[#This Row],[pending Revenue]]</f>
        <v>11196</v>
      </c>
    </row>
    <row r="694" spans="1:18" x14ac:dyDescent="0.25">
      <c r="A694" t="s">
        <v>771</v>
      </c>
      <c r="B694" s="2">
        <v>45598</v>
      </c>
      <c r="C694" t="s">
        <v>100</v>
      </c>
      <c r="D694" t="s">
        <v>101</v>
      </c>
      <c r="E694" t="s">
        <v>26</v>
      </c>
      <c r="F694" s="5">
        <v>3</v>
      </c>
      <c r="G694" s="5">
        <v>1</v>
      </c>
      <c r="H694" s="5">
        <v>5448</v>
      </c>
      <c r="I694" s="5">
        <v>1</v>
      </c>
      <c r="J694" s="5">
        <v>1816</v>
      </c>
      <c r="K694" t="s">
        <v>18</v>
      </c>
      <c r="L694" t="s">
        <v>57</v>
      </c>
      <c r="M694" t="s">
        <v>41</v>
      </c>
      <c r="N694" t="s">
        <v>21</v>
      </c>
      <c r="O694" t="s">
        <v>87</v>
      </c>
      <c r="P694" t="s">
        <v>36</v>
      </c>
      <c r="Q694">
        <f>Table1[[#This Row],[Course_Fee_AED]]-Table1[[#This Row],[Amount_Paid_AED]]</f>
        <v>3632</v>
      </c>
      <c r="R694">
        <f>Table1[[#This Row],[Course_Fee_AED]]-Table1[[#This Row],[pending Revenue]]</f>
        <v>1816</v>
      </c>
    </row>
    <row r="695" spans="1:18" x14ac:dyDescent="0.25">
      <c r="A695" t="s">
        <v>772</v>
      </c>
      <c r="B695" s="2">
        <v>45485</v>
      </c>
      <c r="C695" t="s">
        <v>106</v>
      </c>
      <c r="D695" t="s">
        <v>107</v>
      </c>
      <c r="E695" t="s">
        <v>26</v>
      </c>
      <c r="F695" s="5">
        <v>3</v>
      </c>
      <c r="G695" s="5">
        <v>1</v>
      </c>
      <c r="H695" s="5">
        <v>5665</v>
      </c>
      <c r="I695" s="5">
        <v>3</v>
      </c>
      <c r="J695" s="5">
        <v>5664</v>
      </c>
      <c r="K695" t="s">
        <v>18</v>
      </c>
      <c r="L695" t="s">
        <v>57</v>
      </c>
      <c r="M695" t="s">
        <v>60</v>
      </c>
      <c r="N695" t="s">
        <v>48</v>
      </c>
      <c r="O695" t="s">
        <v>68</v>
      </c>
      <c r="P695" t="s">
        <v>18</v>
      </c>
      <c r="Q695">
        <f>Table1[[#This Row],[Course_Fee_AED]]-Table1[[#This Row],[Amount_Paid_AED]]</f>
        <v>1</v>
      </c>
      <c r="R695">
        <f>Table1[[#This Row],[Course_Fee_AED]]-Table1[[#This Row],[pending Revenue]]</f>
        <v>5664</v>
      </c>
    </row>
    <row r="696" spans="1:18" x14ac:dyDescent="0.25">
      <c r="A696" t="s">
        <v>773</v>
      </c>
      <c r="B696" s="2">
        <v>45590</v>
      </c>
      <c r="C696" t="s">
        <v>24</v>
      </c>
      <c r="D696" t="s">
        <v>25</v>
      </c>
      <c r="E696" t="s">
        <v>26</v>
      </c>
      <c r="F696" s="5">
        <v>3</v>
      </c>
      <c r="G696" s="5">
        <v>1</v>
      </c>
      <c r="H696" s="5">
        <v>6859</v>
      </c>
      <c r="I696" s="5">
        <v>1</v>
      </c>
      <c r="J696" s="5">
        <v>2286</v>
      </c>
      <c r="K696" t="s">
        <v>18</v>
      </c>
      <c r="L696" t="s">
        <v>57</v>
      </c>
      <c r="M696" t="s">
        <v>41</v>
      </c>
      <c r="N696" t="s">
        <v>154</v>
      </c>
      <c r="O696" t="s">
        <v>43</v>
      </c>
      <c r="P696" t="s">
        <v>18</v>
      </c>
      <c r="Q696">
        <f>Table1[[#This Row],[Course_Fee_AED]]-Table1[[#This Row],[Amount_Paid_AED]]</f>
        <v>4573</v>
      </c>
      <c r="R696">
        <f>Table1[[#This Row],[Course_Fee_AED]]-Table1[[#This Row],[pending Revenue]]</f>
        <v>2286</v>
      </c>
    </row>
    <row r="697" spans="1:18" x14ac:dyDescent="0.25">
      <c r="A697" t="s">
        <v>774</v>
      </c>
      <c r="B697" s="2">
        <v>45651</v>
      </c>
      <c r="C697" t="s">
        <v>24</v>
      </c>
      <c r="D697" t="s">
        <v>25</v>
      </c>
      <c r="E697" t="s">
        <v>26</v>
      </c>
      <c r="F697" s="5">
        <v>3</v>
      </c>
      <c r="G697" s="5">
        <v>1</v>
      </c>
      <c r="H697" s="5">
        <v>6048</v>
      </c>
      <c r="I697" s="5">
        <v>2</v>
      </c>
      <c r="J697" s="5">
        <v>4032</v>
      </c>
      <c r="K697" t="s">
        <v>18</v>
      </c>
      <c r="L697" t="s">
        <v>19</v>
      </c>
      <c r="M697" t="s">
        <v>63</v>
      </c>
      <c r="N697" t="s">
        <v>90</v>
      </c>
      <c r="O697" t="s">
        <v>29</v>
      </c>
      <c r="P697" t="s">
        <v>36</v>
      </c>
      <c r="Q697">
        <f>Table1[[#This Row],[Course_Fee_AED]]-Table1[[#This Row],[Amount_Paid_AED]]</f>
        <v>2016</v>
      </c>
      <c r="R697">
        <f>Table1[[#This Row],[Course_Fee_AED]]-Table1[[#This Row],[pending Revenue]]</f>
        <v>4032</v>
      </c>
    </row>
    <row r="698" spans="1:18" x14ac:dyDescent="0.25">
      <c r="A698" t="s">
        <v>775</v>
      </c>
      <c r="B698" s="2">
        <v>45565</v>
      </c>
      <c r="C698" t="s">
        <v>75</v>
      </c>
      <c r="D698" t="s">
        <v>76</v>
      </c>
      <c r="E698" t="s">
        <v>26</v>
      </c>
      <c r="F698" s="5">
        <v>3</v>
      </c>
      <c r="G698" s="5">
        <v>1</v>
      </c>
      <c r="H698" s="5">
        <v>14633</v>
      </c>
      <c r="I698" s="5">
        <v>1</v>
      </c>
      <c r="J698" s="5">
        <v>4877</v>
      </c>
      <c r="K698" t="s">
        <v>18</v>
      </c>
      <c r="L698" t="s">
        <v>57</v>
      </c>
      <c r="M698" t="s">
        <v>63</v>
      </c>
      <c r="N698" t="s">
        <v>28</v>
      </c>
      <c r="O698" t="s">
        <v>87</v>
      </c>
      <c r="P698" t="s">
        <v>36</v>
      </c>
      <c r="Q698">
        <f>Table1[[#This Row],[Course_Fee_AED]]-Table1[[#This Row],[Amount_Paid_AED]]</f>
        <v>9756</v>
      </c>
      <c r="R698">
        <f>Table1[[#This Row],[Course_Fee_AED]]-Table1[[#This Row],[pending Revenue]]</f>
        <v>4877</v>
      </c>
    </row>
    <row r="699" spans="1:18" x14ac:dyDescent="0.25">
      <c r="A699" t="s">
        <v>776</v>
      </c>
      <c r="B699" s="2">
        <v>45306</v>
      </c>
      <c r="C699" t="s">
        <v>38</v>
      </c>
      <c r="D699" t="s">
        <v>39</v>
      </c>
      <c r="E699" t="s">
        <v>26</v>
      </c>
      <c r="F699" s="5">
        <v>3</v>
      </c>
      <c r="G699" s="5">
        <v>1</v>
      </c>
      <c r="H699" s="5">
        <v>6590</v>
      </c>
      <c r="I699" s="5">
        <v>1</v>
      </c>
      <c r="J699" s="5">
        <v>2196</v>
      </c>
      <c r="K699" t="s">
        <v>18</v>
      </c>
      <c r="L699" t="s">
        <v>57</v>
      </c>
      <c r="M699" t="s">
        <v>27</v>
      </c>
      <c r="N699" t="s">
        <v>86</v>
      </c>
      <c r="O699" t="s">
        <v>49</v>
      </c>
      <c r="P699" t="s">
        <v>36</v>
      </c>
      <c r="Q699">
        <f>Table1[[#This Row],[Course_Fee_AED]]-Table1[[#This Row],[Amount_Paid_AED]]</f>
        <v>4394</v>
      </c>
      <c r="R699">
        <f>Table1[[#This Row],[Course_Fee_AED]]-Table1[[#This Row],[pending Revenue]]</f>
        <v>2196</v>
      </c>
    </row>
    <row r="700" spans="1:18" x14ac:dyDescent="0.25">
      <c r="A700" t="s">
        <v>777</v>
      </c>
      <c r="B700" s="2">
        <v>45468</v>
      </c>
      <c r="C700" t="s">
        <v>24</v>
      </c>
      <c r="D700" t="s">
        <v>25</v>
      </c>
      <c r="E700" t="s">
        <v>26</v>
      </c>
      <c r="F700" s="5">
        <v>3</v>
      </c>
      <c r="G700" s="5">
        <v>1</v>
      </c>
      <c r="H700" s="5">
        <v>5601</v>
      </c>
      <c r="I700" s="5">
        <v>3</v>
      </c>
      <c r="J700" s="5">
        <v>5601</v>
      </c>
      <c r="K700" t="s">
        <v>33</v>
      </c>
      <c r="L700" t="s">
        <v>57</v>
      </c>
      <c r="M700" t="s">
        <v>63</v>
      </c>
      <c r="N700" t="s">
        <v>53</v>
      </c>
      <c r="O700" t="s">
        <v>87</v>
      </c>
      <c r="P700" t="s">
        <v>18</v>
      </c>
      <c r="Q700">
        <f>Table1[[#This Row],[Course_Fee_AED]]-Table1[[#This Row],[Amount_Paid_AED]]</f>
        <v>0</v>
      </c>
      <c r="R700">
        <f>Table1[[#This Row],[Course_Fee_AED]]-Table1[[#This Row],[pending Revenue]]</f>
        <v>5601</v>
      </c>
    </row>
    <row r="701" spans="1:18" x14ac:dyDescent="0.25">
      <c r="A701" t="s">
        <v>778</v>
      </c>
      <c r="B701" s="2">
        <v>45330</v>
      </c>
      <c r="C701" t="s">
        <v>92</v>
      </c>
      <c r="D701" t="s">
        <v>93</v>
      </c>
      <c r="E701" t="s">
        <v>17</v>
      </c>
      <c r="F701" s="5">
        <v>6</v>
      </c>
      <c r="G701" s="5">
        <v>1</v>
      </c>
      <c r="H701" s="5">
        <v>5465</v>
      </c>
      <c r="I701" s="5">
        <v>2</v>
      </c>
      <c r="J701" s="5">
        <v>3642</v>
      </c>
      <c r="K701" t="s">
        <v>18</v>
      </c>
      <c r="L701" t="s">
        <v>19</v>
      </c>
      <c r="M701" t="s">
        <v>41</v>
      </c>
      <c r="N701" t="s">
        <v>61</v>
      </c>
      <c r="O701" t="s">
        <v>43</v>
      </c>
      <c r="P701" t="s">
        <v>18</v>
      </c>
      <c r="Q701">
        <f>Table1[[#This Row],[Course_Fee_AED]]-Table1[[#This Row],[Amount_Paid_AED]]</f>
        <v>1823</v>
      </c>
      <c r="R701">
        <f>Table1[[#This Row],[Course_Fee_AED]]-Table1[[#This Row],[pending Revenue]]</f>
        <v>3642</v>
      </c>
    </row>
    <row r="702" spans="1:18" x14ac:dyDescent="0.25">
      <c r="A702" t="s">
        <v>779</v>
      </c>
      <c r="B702" s="2">
        <v>45346</v>
      </c>
      <c r="C702" t="s">
        <v>100</v>
      </c>
      <c r="D702" t="s">
        <v>101</v>
      </c>
      <c r="E702" t="s">
        <v>17</v>
      </c>
      <c r="F702" s="5">
        <v>6</v>
      </c>
      <c r="G702" s="5">
        <v>1</v>
      </c>
      <c r="H702" s="5">
        <v>4222</v>
      </c>
      <c r="I702" s="5">
        <v>3</v>
      </c>
      <c r="J702" s="5">
        <v>4221</v>
      </c>
      <c r="K702" t="s">
        <v>18</v>
      </c>
      <c r="L702" t="s">
        <v>19</v>
      </c>
      <c r="M702" t="s">
        <v>63</v>
      </c>
      <c r="N702" t="s">
        <v>61</v>
      </c>
      <c r="O702" t="s">
        <v>49</v>
      </c>
      <c r="P702" t="s">
        <v>18</v>
      </c>
      <c r="Q702">
        <f>Table1[[#This Row],[Course_Fee_AED]]-Table1[[#This Row],[Amount_Paid_AED]]</f>
        <v>1</v>
      </c>
      <c r="R702">
        <f>Table1[[#This Row],[Course_Fee_AED]]-Table1[[#This Row],[pending Revenue]]</f>
        <v>4221</v>
      </c>
    </row>
    <row r="703" spans="1:18" x14ac:dyDescent="0.25">
      <c r="A703" t="s">
        <v>780</v>
      </c>
      <c r="B703" s="2">
        <v>45496</v>
      </c>
      <c r="C703" t="s">
        <v>51</v>
      </c>
      <c r="D703" t="s">
        <v>52</v>
      </c>
      <c r="E703" t="s">
        <v>26</v>
      </c>
      <c r="F703" s="5">
        <v>3</v>
      </c>
      <c r="G703" s="5">
        <v>1</v>
      </c>
      <c r="H703" s="5">
        <v>5633</v>
      </c>
      <c r="I703" s="5">
        <v>1</v>
      </c>
      <c r="J703" s="5">
        <v>1877</v>
      </c>
      <c r="K703" t="s">
        <v>18</v>
      </c>
      <c r="L703" t="s">
        <v>57</v>
      </c>
      <c r="M703" t="s">
        <v>20</v>
      </c>
      <c r="N703" t="s">
        <v>73</v>
      </c>
      <c r="O703" t="s">
        <v>43</v>
      </c>
      <c r="P703" t="s">
        <v>18</v>
      </c>
      <c r="Q703">
        <f>Table1[[#This Row],[Course_Fee_AED]]-Table1[[#This Row],[Amount_Paid_AED]]</f>
        <v>3756</v>
      </c>
      <c r="R703">
        <f>Table1[[#This Row],[Course_Fee_AED]]-Table1[[#This Row],[pending Revenue]]</f>
        <v>1877</v>
      </c>
    </row>
    <row r="704" spans="1:18" x14ac:dyDescent="0.25">
      <c r="A704" t="s">
        <v>781</v>
      </c>
      <c r="B704" s="2">
        <v>45513</v>
      </c>
      <c r="C704" t="s">
        <v>92</v>
      </c>
      <c r="D704" t="s">
        <v>93</v>
      </c>
      <c r="E704" t="s">
        <v>26</v>
      </c>
      <c r="F704" s="5">
        <v>3</v>
      </c>
      <c r="G704" s="5">
        <v>1</v>
      </c>
      <c r="H704" s="5">
        <v>7159</v>
      </c>
      <c r="I704" s="5">
        <v>1</v>
      </c>
      <c r="J704" s="5">
        <v>2386</v>
      </c>
      <c r="K704" t="s">
        <v>18</v>
      </c>
      <c r="L704" t="s">
        <v>57</v>
      </c>
      <c r="M704" t="s">
        <v>20</v>
      </c>
      <c r="N704" t="s">
        <v>53</v>
      </c>
      <c r="O704" t="s">
        <v>87</v>
      </c>
      <c r="P704" t="s">
        <v>36</v>
      </c>
      <c r="Q704">
        <f>Table1[[#This Row],[Course_Fee_AED]]-Table1[[#This Row],[Amount_Paid_AED]]</f>
        <v>4773</v>
      </c>
      <c r="R704">
        <f>Table1[[#This Row],[Course_Fee_AED]]-Table1[[#This Row],[pending Revenue]]</f>
        <v>2386</v>
      </c>
    </row>
    <row r="705" spans="1:18" x14ac:dyDescent="0.25">
      <c r="A705" t="s">
        <v>782</v>
      </c>
      <c r="B705" s="2">
        <v>45631</v>
      </c>
      <c r="C705" t="s">
        <v>24</v>
      </c>
      <c r="D705" t="s">
        <v>25</v>
      </c>
      <c r="E705" t="s">
        <v>17</v>
      </c>
      <c r="F705" s="5">
        <v>6</v>
      </c>
      <c r="G705" s="5">
        <v>1</v>
      </c>
      <c r="H705" s="5">
        <v>6371</v>
      </c>
      <c r="I705" s="5">
        <v>1</v>
      </c>
      <c r="J705" s="5">
        <v>2123</v>
      </c>
      <c r="K705" t="s">
        <v>18</v>
      </c>
      <c r="L705" t="s">
        <v>40</v>
      </c>
      <c r="M705" t="s">
        <v>63</v>
      </c>
      <c r="N705" t="s">
        <v>42</v>
      </c>
      <c r="O705" t="s">
        <v>49</v>
      </c>
      <c r="P705" t="s">
        <v>18</v>
      </c>
      <c r="Q705">
        <f>Table1[[#This Row],[Course_Fee_AED]]-Table1[[#This Row],[Amount_Paid_AED]]</f>
        <v>4248</v>
      </c>
      <c r="R705">
        <f>Table1[[#This Row],[Course_Fee_AED]]-Table1[[#This Row],[pending Revenue]]</f>
        <v>2123</v>
      </c>
    </row>
    <row r="706" spans="1:18" x14ac:dyDescent="0.25">
      <c r="A706" t="s">
        <v>783</v>
      </c>
      <c r="B706" s="2">
        <v>45549</v>
      </c>
      <c r="C706" t="s">
        <v>24</v>
      </c>
      <c r="D706" t="s">
        <v>25</v>
      </c>
      <c r="E706" t="s">
        <v>26</v>
      </c>
      <c r="F706" s="5">
        <v>3</v>
      </c>
      <c r="G706" s="5">
        <v>1</v>
      </c>
      <c r="H706" s="5">
        <v>5363</v>
      </c>
      <c r="I706" s="5">
        <v>1</v>
      </c>
      <c r="J706" s="5">
        <v>1787</v>
      </c>
      <c r="K706" t="s">
        <v>18</v>
      </c>
      <c r="L706" t="s">
        <v>40</v>
      </c>
      <c r="M706" t="s">
        <v>27</v>
      </c>
      <c r="N706" t="s">
        <v>70</v>
      </c>
      <c r="O706" t="s">
        <v>49</v>
      </c>
      <c r="P706" t="s">
        <v>18</v>
      </c>
      <c r="Q706">
        <f>Table1[[#This Row],[Course_Fee_AED]]-Table1[[#This Row],[Amount_Paid_AED]]</f>
        <v>3576</v>
      </c>
      <c r="R706">
        <f>Table1[[#This Row],[Course_Fee_AED]]-Table1[[#This Row],[pending Revenue]]</f>
        <v>1787</v>
      </c>
    </row>
    <row r="707" spans="1:18" x14ac:dyDescent="0.25">
      <c r="A707" t="s">
        <v>784</v>
      </c>
      <c r="B707" s="2">
        <v>45545</v>
      </c>
      <c r="C707" t="s">
        <v>66</v>
      </c>
      <c r="D707" t="s">
        <v>56</v>
      </c>
      <c r="E707" t="s">
        <v>26</v>
      </c>
      <c r="F707" s="5">
        <v>3</v>
      </c>
      <c r="G707" s="5">
        <v>1</v>
      </c>
      <c r="H707" s="5">
        <v>8960</v>
      </c>
      <c r="I707" s="5">
        <v>1</v>
      </c>
      <c r="J707" s="5">
        <v>2986</v>
      </c>
      <c r="K707" t="s">
        <v>18</v>
      </c>
      <c r="L707" t="s">
        <v>57</v>
      </c>
      <c r="M707" t="s">
        <v>41</v>
      </c>
      <c r="N707" t="s">
        <v>95</v>
      </c>
      <c r="O707" t="s">
        <v>43</v>
      </c>
      <c r="P707" t="s">
        <v>18</v>
      </c>
      <c r="Q707">
        <f>Table1[[#This Row],[Course_Fee_AED]]-Table1[[#This Row],[Amount_Paid_AED]]</f>
        <v>5974</v>
      </c>
      <c r="R707">
        <f>Table1[[#This Row],[Course_Fee_AED]]-Table1[[#This Row],[pending Revenue]]</f>
        <v>2986</v>
      </c>
    </row>
    <row r="708" spans="1:18" x14ac:dyDescent="0.25">
      <c r="A708" t="s">
        <v>785</v>
      </c>
      <c r="B708" s="2">
        <v>45335</v>
      </c>
      <c r="C708" t="s">
        <v>92</v>
      </c>
      <c r="D708" t="s">
        <v>93</v>
      </c>
      <c r="E708" t="s">
        <v>17</v>
      </c>
      <c r="F708" s="5">
        <v>6</v>
      </c>
      <c r="G708" s="5">
        <v>1</v>
      </c>
      <c r="H708" s="5">
        <v>7550</v>
      </c>
      <c r="I708" s="5">
        <v>1</v>
      </c>
      <c r="J708" s="5">
        <v>2516</v>
      </c>
      <c r="K708" t="s">
        <v>18</v>
      </c>
      <c r="L708" t="s">
        <v>19</v>
      </c>
      <c r="M708" t="s">
        <v>27</v>
      </c>
      <c r="N708" t="s">
        <v>61</v>
      </c>
      <c r="O708" t="s">
        <v>43</v>
      </c>
      <c r="P708" t="s">
        <v>18</v>
      </c>
      <c r="Q708">
        <f>Table1[[#This Row],[Course_Fee_AED]]-Table1[[#This Row],[Amount_Paid_AED]]</f>
        <v>5034</v>
      </c>
      <c r="R708">
        <f>Table1[[#This Row],[Course_Fee_AED]]-Table1[[#This Row],[pending Revenue]]</f>
        <v>2516</v>
      </c>
    </row>
    <row r="709" spans="1:18" x14ac:dyDescent="0.25">
      <c r="A709" t="s">
        <v>786</v>
      </c>
      <c r="B709" s="2">
        <v>45527</v>
      </c>
      <c r="C709" t="s">
        <v>15</v>
      </c>
      <c r="D709" t="s">
        <v>16</v>
      </c>
      <c r="E709" t="s">
        <v>17</v>
      </c>
      <c r="F709" s="5">
        <v>6</v>
      </c>
      <c r="G709" s="5">
        <v>1</v>
      </c>
      <c r="H709" s="5">
        <v>4854</v>
      </c>
      <c r="I709" s="5">
        <v>1</v>
      </c>
      <c r="J709" s="5">
        <v>1618</v>
      </c>
      <c r="K709" t="s">
        <v>18</v>
      </c>
      <c r="L709" t="s">
        <v>57</v>
      </c>
      <c r="M709" t="s">
        <v>20</v>
      </c>
      <c r="N709" t="s">
        <v>70</v>
      </c>
      <c r="O709" t="s">
        <v>49</v>
      </c>
      <c r="P709" t="s">
        <v>36</v>
      </c>
      <c r="Q709">
        <f>Table1[[#This Row],[Course_Fee_AED]]-Table1[[#This Row],[Amount_Paid_AED]]</f>
        <v>3236</v>
      </c>
      <c r="R709">
        <f>Table1[[#This Row],[Course_Fee_AED]]-Table1[[#This Row],[pending Revenue]]</f>
        <v>1618</v>
      </c>
    </row>
    <row r="710" spans="1:18" x14ac:dyDescent="0.25">
      <c r="A710" t="s">
        <v>787</v>
      </c>
      <c r="B710" s="2">
        <v>45467</v>
      </c>
      <c r="C710" t="s">
        <v>113</v>
      </c>
      <c r="D710" t="s">
        <v>93</v>
      </c>
      <c r="E710" t="s">
        <v>17</v>
      </c>
      <c r="F710" s="5">
        <v>6</v>
      </c>
      <c r="G710" s="5">
        <v>1</v>
      </c>
      <c r="H710" s="5">
        <v>4684</v>
      </c>
      <c r="I710" s="5">
        <v>3</v>
      </c>
      <c r="J710" s="5">
        <v>4683</v>
      </c>
      <c r="K710" t="s">
        <v>18</v>
      </c>
      <c r="L710" t="s">
        <v>40</v>
      </c>
      <c r="M710" t="s">
        <v>20</v>
      </c>
      <c r="N710" t="s">
        <v>61</v>
      </c>
      <c r="O710" t="s">
        <v>58</v>
      </c>
      <c r="P710" t="s">
        <v>36</v>
      </c>
      <c r="Q710">
        <f>Table1[[#This Row],[Course_Fee_AED]]-Table1[[#This Row],[Amount_Paid_AED]]</f>
        <v>1</v>
      </c>
      <c r="R710">
        <f>Table1[[#This Row],[Course_Fee_AED]]-Table1[[#This Row],[pending Revenue]]</f>
        <v>4683</v>
      </c>
    </row>
    <row r="711" spans="1:18" x14ac:dyDescent="0.25">
      <c r="A711" t="s">
        <v>788</v>
      </c>
      <c r="B711" s="2">
        <v>45383</v>
      </c>
      <c r="C711" t="s">
        <v>100</v>
      </c>
      <c r="D711" t="s">
        <v>101</v>
      </c>
      <c r="E711" t="s">
        <v>17</v>
      </c>
      <c r="F711" s="5">
        <v>6</v>
      </c>
      <c r="G711" s="5">
        <v>1</v>
      </c>
      <c r="H711" s="5">
        <v>4814</v>
      </c>
      <c r="I711" s="5">
        <v>1</v>
      </c>
      <c r="J711" s="5">
        <v>1604</v>
      </c>
      <c r="K711" t="s">
        <v>18</v>
      </c>
      <c r="L711" t="s">
        <v>57</v>
      </c>
      <c r="M711" t="s">
        <v>47</v>
      </c>
      <c r="N711" t="s">
        <v>86</v>
      </c>
      <c r="O711" t="s">
        <v>43</v>
      </c>
      <c r="P711" t="s">
        <v>36</v>
      </c>
      <c r="Q711">
        <f>Table1[[#This Row],[Course_Fee_AED]]-Table1[[#This Row],[Amount_Paid_AED]]</f>
        <v>3210</v>
      </c>
      <c r="R711">
        <f>Table1[[#This Row],[Course_Fee_AED]]-Table1[[#This Row],[pending Revenue]]</f>
        <v>1604</v>
      </c>
    </row>
    <row r="712" spans="1:18" x14ac:dyDescent="0.25">
      <c r="A712" t="s">
        <v>789</v>
      </c>
      <c r="B712" s="2">
        <v>45465</v>
      </c>
      <c r="C712" t="s">
        <v>38</v>
      </c>
      <c r="D712" t="s">
        <v>39</v>
      </c>
      <c r="E712" t="s">
        <v>26</v>
      </c>
      <c r="F712" s="5">
        <v>3</v>
      </c>
      <c r="G712" s="5">
        <v>1</v>
      </c>
      <c r="H712" s="5">
        <v>6740</v>
      </c>
      <c r="I712" s="5">
        <v>1</v>
      </c>
      <c r="J712" s="5">
        <v>2246</v>
      </c>
      <c r="K712" t="s">
        <v>18</v>
      </c>
      <c r="L712" t="s">
        <v>40</v>
      </c>
      <c r="M712" t="s">
        <v>20</v>
      </c>
      <c r="N712" t="s">
        <v>48</v>
      </c>
      <c r="O712" t="s">
        <v>22</v>
      </c>
      <c r="P712" t="s">
        <v>18</v>
      </c>
      <c r="Q712">
        <f>Table1[[#This Row],[Course_Fee_AED]]-Table1[[#This Row],[Amount_Paid_AED]]</f>
        <v>4494</v>
      </c>
      <c r="R712">
        <f>Table1[[#This Row],[Course_Fee_AED]]-Table1[[#This Row],[pending Revenue]]</f>
        <v>2246</v>
      </c>
    </row>
    <row r="713" spans="1:18" x14ac:dyDescent="0.25">
      <c r="A713" t="s">
        <v>790</v>
      </c>
      <c r="B713" s="2">
        <v>45347</v>
      </c>
      <c r="C713" t="s">
        <v>106</v>
      </c>
      <c r="D713" t="s">
        <v>107</v>
      </c>
      <c r="E713" t="s">
        <v>26</v>
      </c>
      <c r="F713" s="5">
        <v>3</v>
      </c>
      <c r="G713" s="5">
        <v>1</v>
      </c>
      <c r="H713" s="5">
        <v>7872</v>
      </c>
      <c r="I713" s="5">
        <v>3</v>
      </c>
      <c r="J713" s="5">
        <v>7872</v>
      </c>
      <c r="K713" t="s">
        <v>33</v>
      </c>
      <c r="L713" t="s">
        <v>40</v>
      </c>
      <c r="M713" t="s">
        <v>63</v>
      </c>
      <c r="N713" t="s">
        <v>28</v>
      </c>
      <c r="O713" t="s">
        <v>64</v>
      </c>
      <c r="P713" t="s">
        <v>36</v>
      </c>
      <c r="Q713">
        <f>Table1[[#This Row],[Course_Fee_AED]]-Table1[[#This Row],[Amount_Paid_AED]]</f>
        <v>0</v>
      </c>
      <c r="R713">
        <f>Table1[[#This Row],[Course_Fee_AED]]-Table1[[#This Row],[pending Revenue]]</f>
        <v>7872</v>
      </c>
    </row>
    <row r="714" spans="1:18" x14ac:dyDescent="0.25">
      <c r="A714" t="s">
        <v>791</v>
      </c>
      <c r="B714" s="2">
        <v>45404</v>
      </c>
      <c r="C714" t="s">
        <v>55</v>
      </c>
      <c r="D714" t="s">
        <v>56</v>
      </c>
      <c r="E714" t="s">
        <v>26</v>
      </c>
      <c r="F714" s="5">
        <v>3</v>
      </c>
      <c r="G714" s="5">
        <v>1</v>
      </c>
      <c r="H714" s="5">
        <v>7002</v>
      </c>
      <c r="I714" s="5">
        <v>1</v>
      </c>
      <c r="J714" s="5">
        <v>2334</v>
      </c>
      <c r="K714" t="s">
        <v>18</v>
      </c>
      <c r="L714" t="s">
        <v>57</v>
      </c>
      <c r="M714" t="s">
        <v>27</v>
      </c>
      <c r="N714" t="s">
        <v>42</v>
      </c>
      <c r="O714" t="s">
        <v>49</v>
      </c>
      <c r="P714" t="s">
        <v>18</v>
      </c>
      <c r="Q714">
        <f>Table1[[#This Row],[Course_Fee_AED]]-Table1[[#This Row],[Amount_Paid_AED]]</f>
        <v>4668</v>
      </c>
      <c r="R714">
        <f>Table1[[#This Row],[Course_Fee_AED]]-Table1[[#This Row],[pending Revenue]]</f>
        <v>2334</v>
      </c>
    </row>
    <row r="715" spans="1:18" x14ac:dyDescent="0.25">
      <c r="A715" t="s">
        <v>792</v>
      </c>
      <c r="B715" s="2">
        <v>45324</v>
      </c>
      <c r="C715" t="s">
        <v>15</v>
      </c>
      <c r="D715" t="s">
        <v>16</v>
      </c>
      <c r="E715" t="s">
        <v>17</v>
      </c>
      <c r="F715" s="5">
        <v>6</v>
      </c>
      <c r="G715" s="5">
        <v>1</v>
      </c>
      <c r="H715" s="5">
        <v>6805</v>
      </c>
      <c r="I715" s="5">
        <v>1</v>
      </c>
      <c r="J715" s="5">
        <v>2268</v>
      </c>
      <c r="K715" t="s">
        <v>18</v>
      </c>
      <c r="L715" t="s">
        <v>19</v>
      </c>
      <c r="M715" t="s">
        <v>41</v>
      </c>
      <c r="N715" t="s">
        <v>21</v>
      </c>
      <c r="O715" t="s">
        <v>43</v>
      </c>
      <c r="P715" t="s">
        <v>36</v>
      </c>
      <c r="Q715">
        <f>Table1[[#This Row],[Course_Fee_AED]]-Table1[[#This Row],[Amount_Paid_AED]]</f>
        <v>4537</v>
      </c>
      <c r="R715">
        <f>Table1[[#This Row],[Course_Fee_AED]]-Table1[[#This Row],[pending Revenue]]</f>
        <v>2268</v>
      </c>
    </row>
    <row r="716" spans="1:18" x14ac:dyDescent="0.25">
      <c r="A716" t="s">
        <v>793</v>
      </c>
      <c r="B716" s="2">
        <v>45619</v>
      </c>
      <c r="C716" t="s">
        <v>31</v>
      </c>
      <c r="D716" t="s">
        <v>32</v>
      </c>
      <c r="E716" t="s">
        <v>17</v>
      </c>
      <c r="F716" s="5">
        <v>6</v>
      </c>
      <c r="G716" s="5">
        <v>1</v>
      </c>
      <c r="H716" s="5">
        <v>6858</v>
      </c>
      <c r="I716" s="5">
        <v>3</v>
      </c>
      <c r="J716" s="5">
        <v>6858</v>
      </c>
      <c r="K716" t="s">
        <v>33</v>
      </c>
      <c r="L716" t="s">
        <v>40</v>
      </c>
      <c r="M716" t="s">
        <v>41</v>
      </c>
      <c r="N716" t="s">
        <v>61</v>
      </c>
      <c r="O716" t="s">
        <v>49</v>
      </c>
      <c r="P716" t="s">
        <v>36</v>
      </c>
      <c r="Q716">
        <f>Table1[[#This Row],[Course_Fee_AED]]-Table1[[#This Row],[Amount_Paid_AED]]</f>
        <v>0</v>
      </c>
      <c r="R716">
        <f>Table1[[#This Row],[Course_Fee_AED]]-Table1[[#This Row],[pending Revenue]]</f>
        <v>6858</v>
      </c>
    </row>
    <row r="717" spans="1:18" x14ac:dyDescent="0.25">
      <c r="A717" t="s">
        <v>794</v>
      </c>
      <c r="B717" s="2">
        <v>45587</v>
      </c>
      <c r="C717" t="s">
        <v>51</v>
      </c>
      <c r="D717" t="s">
        <v>52</v>
      </c>
      <c r="E717" t="s">
        <v>26</v>
      </c>
      <c r="F717" s="5">
        <v>3</v>
      </c>
      <c r="G717" s="5">
        <v>1</v>
      </c>
      <c r="H717" s="5">
        <v>4260</v>
      </c>
      <c r="I717" s="5">
        <v>2</v>
      </c>
      <c r="J717" s="5">
        <v>2840</v>
      </c>
      <c r="K717" t="s">
        <v>18</v>
      </c>
      <c r="L717" t="s">
        <v>57</v>
      </c>
      <c r="M717" t="s">
        <v>63</v>
      </c>
      <c r="N717" t="s">
        <v>48</v>
      </c>
      <c r="O717" t="s">
        <v>87</v>
      </c>
      <c r="P717" t="s">
        <v>36</v>
      </c>
      <c r="Q717">
        <f>Table1[[#This Row],[Course_Fee_AED]]-Table1[[#This Row],[Amount_Paid_AED]]</f>
        <v>1420</v>
      </c>
      <c r="R717">
        <f>Table1[[#This Row],[Course_Fee_AED]]-Table1[[#This Row],[pending Revenue]]</f>
        <v>2840</v>
      </c>
    </row>
    <row r="718" spans="1:18" x14ac:dyDescent="0.25">
      <c r="A718" t="s">
        <v>795</v>
      </c>
      <c r="B718" s="2">
        <v>45486</v>
      </c>
      <c r="C718" t="s">
        <v>106</v>
      </c>
      <c r="D718" t="s">
        <v>107</v>
      </c>
      <c r="E718" t="s">
        <v>17</v>
      </c>
      <c r="F718" s="5">
        <v>6</v>
      </c>
      <c r="G718" s="5">
        <v>1</v>
      </c>
      <c r="H718" s="5">
        <v>5203</v>
      </c>
      <c r="I718" s="5">
        <v>2</v>
      </c>
      <c r="J718" s="5">
        <v>3468</v>
      </c>
      <c r="K718" t="s">
        <v>18</v>
      </c>
      <c r="L718" t="s">
        <v>19</v>
      </c>
      <c r="M718" t="s">
        <v>27</v>
      </c>
      <c r="N718" t="s">
        <v>90</v>
      </c>
      <c r="O718" t="s">
        <v>35</v>
      </c>
      <c r="P718" t="s">
        <v>18</v>
      </c>
      <c r="Q718">
        <f>Table1[[#This Row],[Course_Fee_AED]]-Table1[[#This Row],[Amount_Paid_AED]]</f>
        <v>1735</v>
      </c>
      <c r="R718">
        <f>Table1[[#This Row],[Course_Fee_AED]]-Table1[[#This Row],[pending Revenue]]</f>
        <v>3468</v>
      </c>
    </row>
    <row r="719" spans="1:18" x14ac:dyDescent="0.25">
      <c r="A719" t="s">
        <v>796</v>
      </c>
      <c r="B719" s="2">
        <v>45518</v>
      </c>
      <c r="C719" t="s">
        <v>82</v>
      </c>
      <c r="D719" t="s">
        <v>83</v>
      </c>
      <c r="E719" t="s">
        <v>17</v>
      </c>
      <c r="F719" s="5">
        <v>6</v>
      </c>
      <c r="G719" s="5">
        <v>1</v>
      </c>
      <c r="H719" s="5">
        <v>10940</v>
      </c>
      <c r="I719" s="5">
        <v>1</v>
      </c>
      <c r="J719" s="5">
        <v>3646</v>
      </c>
      <c r="K719" t="s">
        <v>18</v>
      </c>
      <c r="L719" t="s">
        <v>19</v>
      </c>
      <c r="M719" t="s">
        <v>41</v>
      </c>
      <c r="N719" t="s">
        <v>21</v>
      </c>
      <c r="O719" t="s">
        <v>64</v>
      </c>
      <c r="P719" t="s">
        <v>18</v>
      </c>
      <c r="Q719">
        <f>Table1[[#This Row],[Course_Fee_AED]]-Table1[[#This Row],[Amount_Paid_AED]]</f>
        <v>7294</v>
      </c>
      <c r="R719">
        <f>Table1[[#This Row],[Course_Fee_AED]]-Table1[[#This Row],[pending Revenue]]</f>
        <v>3646</v>
      </c>
    </row>
    <row r="720" spans="1:18" x14ac:dyDescent="0.25">
      <c r="A720" t="s">
        <v>797</v>
      </c>
      <c r="B720" s="2">
        <v>45370</v>
      </c>
      <c r="C720" t="s">
        <v>38</v>
      </c>
      <c r="D720" t="s">
        <v>39</v>
      </c>
      <c r="E720" t="s">
        <v>26</v>
      </c>
      <c r="F720" s="5">
        <v>3</v>
      </c>
      <c r="G720" s="5">
        <v>1</v>
      </c>
      <c r="H720" s="5">
        <v>7050</v>
      </c>
      <c r="I720" s="5">
        <v>3</v>
      </c>
      <c r="J720" s="5">
        <v>7050</v>
      </c>
      <c r="K720" t="s">
        <v>33</v>
      </c>
      <c r="L720" t="s">
        <v>40</v>
      </c>
      <c r="M720" t="s">
        <v>60</v>
      </c>
      <c r="N720" t="s">
        <v>86</v>
      </c>
      <c r="O720" t="s">
        <v>49</v>
      </c>
      <c r="P720" t="s">
        <v>18</v>
      </c>
      <c r="Q720">
        <f>Table1[[#This Row],[Course_Fee_AED]]-Table1[[#This Row],[Amount_Paid_AED]]</f>
        <v>0</v>
      </c>
      <c r="R720">
        <f>Table1[[#This Row],[Course_Fee_AED]]-Table1[[#This Row],[pending Revenue]]</f>
        <v>7050</v>
      </c>
    </row>
    <row r="721" spans="1:18" x14ac:dyDescent="0.25">
      <c r="A721" t="s">
        <v>798</v>
      </c>
      <c r="B721" s="2">
        <v>45571</v>
      </c>
      <c r="C721" t="s">
        <v>15</v>
      </c>
      <c r="D721" t="s">
        <v>16</v>
      </c>
      <c r="E721" t="s">
        <v>26</v>
      </c>
      <c r="F721" s="5">
        <v>3</v>
      </c>
      <c r="G721" s="5">
        <v>1</v>
      </c>
      <c r="H721" s="5">
        <v>5665</v>
      </c>
      <c r="I721" s="5">
        <v>2</v>
      </c>
      <c r="J721" s="5">
        <v>3776</v>
      </c>
      <c r="K721" t="s">
        <v>18</v>
      </c>
      <c r="L721" t="s">
        <v>57</v>
      </c>
      <c r="M721" t="s">
        <v>63</v>
      </c>
      <c r="N721" t="s">
        <v>61</v>
      </c>
      <c r="O721" t="s">
        <v>87</v>
      </c>
      <c r="P721" t="s">
        <v>18</v>
      </c>
      <c r="Q721">
        <f>Table1[[#This Row],[Course_Fee_AED]]-Table1[[#This Row],[Amount_Paid_AED]]</f>
        <v>1889</v>
      </c>
      <c r="R721">
        <f>Table1[[#This Row],[Course_Fee_AED]]-Table1[[#This Row],[pending Revenue]]</f>
        <v>3776</v>
      </c>
    </row>
    <row r="722" spans="1:18" x14ac:dyDescent="0.25">
      <c r="A722" t="s">
        <v>799</v>
      </c>
      <c r="B722" s="2">
        <v>45330</v>
      </c>
      <c r="C722" t="s">
        <v>113</v>
      </c>
      <c r="D722" t="s">
        <v>93</v>
      </c>
      <c r="E722" t="s">
        <v>26</v>
      </c>
      <c r="F722" s="5">
        <v>3</v>
      </c>
      <c r="G722" s="5">
        <v>1</v>
      </c>
      <c r="H722" s="5">
        <v>4989</v>
      </c>
      <c r="I722" s="5">
        <v>3</v>
      </c>
      <c r="J722" s="5">
        <v>4989</v>
      </c>
      <c r="K722" t="s">
        <v>33</v>
      </c>
      <c r="L722" t="s">
        <v>57</v>
      </c>
      <c r="M722" t="s">
        <v>60</v>
      </c>
      <c r="N722" t="s">
        <v>116</v>
      </c>
      <c r="O722" t="s">
        <v>71</v>
      </c>
      <c r="P722" t="s">
        <v>36</v>
      </c>
      <c r="Q722">
        <f>Table1[[#This Row],[Course_Fee_AED]]-Table1[[#This Row],[Amount_Paid_AED]]</f>
        <v>0</v>
      </c>
      <c r="R722">
        <f>Table1[[#This Row],[Course_Fee_AED]]-Table1[[#This Row],[pending Revenue]]</f>
        <v>4989</v>
      </c>
    </row>
    <row r="723" spans="1:18" x14ac:dyDescent="0.25">
      <c r="A723" t="s">
        <v>800</v>
      </c>
      <c r="B723" s="2">
        <v>45359</v>
      </c>
      <c r="C723" t="s">
        <v>38</v>
      </c>
      <c r="D723" t="s">
        <v>39</v>
      </c>
      <c r="E723" t="s">
        <v>17</v>
      </c>
      <c r="F723" s="5">
        <v>6</v>
      </c>
      <c r="G723" s="5">
        <v>1</v>
      </c>
      <c r="H723" s="5">
        <v>4266</v>
      </c>
      <c r="I723" s="5">
        <v>3</v>
      </c>
      <c r="J723" s="5">
        <v>4266</v>
      </c>
      <c r="K723" t="s">
        <v>33</v>
      </c>
      <c r="L723" t="s">
        <v>40</v>
      </c>
      <c r="M723" t="s">
        <v>63</v>
      </c>
      <c r="N723" t="s">
        <v>34</v>
      </c>
      <c r="O723" t="s">
        <v>68</v>
      </c>
      <c r="P723" t="s">
        <v>36</v>
      </c>
      <c r="Q723">
        <f>Table1[[#This Row],[Course_Fee_AED]]-Table1[[#This Row],[Amount_Paid_AED]]</f>
        <v>0</v>
      </c>
      <c r="R723">
        <f>Table1[[#This Row],[Course_Fee_AED]]-Table1[[#This Row],[pending Revenue]]</f>
        <v>4266</v>
      </c>
    </row>
    <row r="724" spans="1:18" x14ac:dyDescent="0.25">
      <c r="A724" t="s">
        <v>801</v>
      </c>
      <c r="B724" s="2">
        <v>45373</v>
      </c>
      <c r="C724" t="s">
        <v>31</v>
      </c>
      <c r="D724" t="s">
        <v>32</v>
      </c>
      <c r="E724" t="s">
        <v>17</v>
      </c>
      <c r="F724" s="5">
        <v>6</v>
      </c>
      <c r="G724" s="5">
        <v>1</v>
      </c>
      <c r="H724" s="5">
        <v>6576</v>
      </c>
      <c r="I724" s="5">
        <v>2</v>
      </c>
      <c r="J724" s="5">
        <v>4384</v>
      </c>
      <c r="K724" t="s">
        <v>18</v>
      </c>
      <c r="L724" t="s">
        <v>57</v>
      </c>
      <c r="M724" t="s">
        <v>47</v>
      </c>
      <c r="N724" t="s">
        <v>48</v>
      </c>
      <c r="O724" t="s">
        <v>43</v>
      </c>
      <c r="P724" t="s">
        <v>18</v>
      </c>
      <c r="Q724">
        <f>Table1[[#This Row],[Course_Fee_AED]]-Table1[[#This Row],[Amount_Paid_AED]]</f>
        <v>2192</v>
      </c>
      <c r="R724">
        <f>Table1[[#This Row],[Course_Fee_AED]]-Table1[[#This Row],[pending Revenue]]</f>
        <v>4384</v>
      </c>
    </row>
    <row r="725" spans="1:18" x14ac:dyDescent="0.25">
      <c r="A725" t="s">
        <v>802</v>
      </c>
      <c r="B725" s="2">
        <v>45368</v>
      </c>
      <c r="C725" t="s">
        <v>92</v>
      </c>
      <c r="D725" t="s">
        <v>93</v>
      </c>
      <c r="E725" t="s">
        <v>26</v>
      </c>
      <c r="F725" s="5">
        <v>3</v>
      </c>
      <c r="G725" s="5">
        <v>1</v>
      </c>
      <c r="H725" s="5">
        <v>6324</v>
      </c>
      <c r="I725" s="5">
        <v>2</v>
      </c>
      <c r="J725" s="5">
        <v>4216</v>
      </c>
      <c r="K725" t="s">
        <v>18</v>
      </c>
      <c r="L725" t="s">
        <v>57</v>
      </c>
      <c r="M725" t="s">
        <v>63</v>
      </c>
      <c r="N725" t="s">
        <v>154</v>
      </c>
      <c r="O725" t="s">
        <v>35</v>
      </c>
      <c r="P725" t="s">
        <v>36</v>
      </c>
      <c r="Q725">
        <f>Table1[[#This Row],[Course_Fee_AED]]-Table1[[#This Row],[Amount_Paid_AED]]</f>
        <v>2108</v>
      </c>
      <c r="R725">
        <f>Table1[[#This Row],[Course_Fee_AED]]-Table1[[#This Row],[pending Revenue]]</f>
        <v>4216</v>
      </c>
    </row>
    <row r="726" spans="1:18" x14ac:dyDescent="0.25">
      <c r="A726" t="s">
        <v>803</v>
      </c>
      <c r="B726" s="2">
        <v>45471</v>
      </c>
      <c r="C726" t="s">
        <v>45</v>
      </c>
      <c r="D726" t="s">
        <v>46</v>
      </c>
      <c r="E726" t="s">
        <v>26</v>
      </c>
      <c r="F726" s="5">
        <v>3</v>
      </c>
      <c r="G726" s="5">
        <v>1</v>
      </c>
      <c r="H726" s="5">
        <v>5751</v>
      </c>
      <c r="I726" s="5">
        <v>3</v>
      </c>
      <c r="J726" s="5">
        <v>5751</v>
      </c>
      <c r="K726" t="s">
        <v>33</v>
      </c>
      <c r="L726" t="s">
        <v>40</v>
      </c>
      <c r="M726" t="s">
        <v>60</v>
      </c>
      <c r="N726" t="s">
        <v>79</v>
      </c>
      <c r="O726" t="s">
        <v>58</v>
      </c>
      <c r="P726" t="s">
        <v>36</v>
      </c>
      <c r="Q726">
        <f>Table1[[#This Row],[Course_Fee_AED]]-Table1[[#This Row],[Amount_Paid_AED]]</f>
        <v>0</v>
      </c>
      <c r="R726">
        <f>Table1[[#This Row],[Course_Fee_AED]]-Table1[[#This Row],[pending Revenue]]</f>
        <v>5751</v>
      </c>
    </row>
    <row r="727" spans="1:18" x14ac:dyDescent="0.25">
      <c r="A727" t="s">
        <v>804</v>
      </c>
      <c r="B727" s="2">
        <v>45652</v>
      </c>
      <c r="C727" t="s">
        <v>51</v>
      </c>
      <c r="D727" t="s">
        <v>52</v>
      </c>
      <c r="E727" t="s">
        <v>26</v>
      </c>
      <c r="F727" s="5">
        <v>3</v>
      </c>
      <c r="G727" s="5">
        <v>1</v>
      </c>
      <c r="H727" s="5">
        <v>5381</v>
      </c>
      <c r="I727" s="5">
        <v>2</v>
      </c>
      <c r="J727" s="5">
        <v>3586</v>
      </c>
      <c r="K727" t="s">
        <v>18</v>
      </c>
      <c r="L727" t="s">
        <v>40</v>
      </c>
      <c r="M727" t="s">
        <v>63</v>
      </c>
      <c r="N727" t="s">
        <v>73</v>
      </c>
      <c r="O727" t="s">
        <v>71</v>
      </c>
      <c r="P727" t="s">
        <v>18</v>
      </c>
      <c r="Q727">
        <f>Table1[[#This Row],[Course_Fee_AED]]-Table1[[#This Row],[Amount_Paid_AED]]</f>
        <v>1795</v>
      </c>
      <c r="R727">
        <f>Table1[[#This Row],[Course_Fee_AED]]-Table1[[#This Row],[pending Revenue]]</f>
        <v>3586</v>
      </c>
    </row>
    <row r="728" spans="1:18" x14ac:dyDescent="0.25">
      <c r="A728" t="s">
        <v>805</v>
      </c>
      <c r="B728" s="2">
        <v>45402</v>
      </c>
      <c r="C728" t="s">
        <v>45</v>
      </c>
      <c r="D728" t="s">
        <v>46</v>
      </c>
      <c r="E728" t="s">
        <v>17</v>
      </c>
      <c r="F728" s="5">
        <v>6</v>
      </c>
      <c r="G728" s="5">
        <v>1</v>
      </c>
      <c r="H728" s="5">
        <v>5438</v>
      </c>
      <c r="I728" s="5">
        <v>3</v>
      </c>
      <c r="J728" s="5">
        <v>5436</v>
      </c>
      <c r="K728" t="s">
        <v>18</v>
      </c>
      <c r="L728" t="s">
        <v>57</v>
      </c>
      <c r="M728" t="s">
        <v>63</v>
      </c>
      <c r="N728" t="s">
        <v>28</v>
      </c>
      <c r="O728" t="s">
        <v>29</v>
      </c>
      <c r="P728" t="s">
        <v>36</v>
      </c>
      <c r="Q728">
        <f>Table1[[#This Row],[Course_Fee_AED]]-Table1[[#This Row],[Amount_Paid_AED]]</f>
        <v>2</v>
      </c>
      <c r="R728">
        <f>Table1[[#This Row],[Course_Fee_AED]]-Table1[[#This Row],[pending Revenue]]</f>
        <v>5436</v>
      </c>
    </row>
    <row r="729" spans="1:18" x14ac:dyDescent="0.25">
      <c r="A729" t="s">
        <v>806</v>
      </c>
      <c r="B729" s="2">
        <v>45614</v>
      </c>
      <c r="C729" t="s">
        <v>55</v>
      </c>
      <c r="D729" t="s">
        <v>56</v>
      </c>
      <c r="E729" t="s">
        <v>26</v>
      </c>
      <c r="F729" s="5">
        <v>3</v>
      </c>
      <c r="G729" s="5">
        <v>1</v>
      </c>
      <c r="H729" s="5">
        <v>7404</v>
      </c>
      <c r="I729" s="5">
        <v>3</v>
      </c>
      <c r="J729" s="5">
        <v>7404</v>
      </c>
      <c r="K729" t="s">
        <v>33</v>
      </c>
      <c r="L729" t="s">
        <v>57</v>
      </c>
      <c r="M729" t="s">
        <v>60</v>
      </c>
      <c r="N729" t="s">
        <v>48</v>
      </c>
      <c r="O729" t="s">
        <v>68</v>
      </c>
      <c r="P729" t="s">
        <v>18</v>
      </c>
      <c r="Q729">
        <f>Table1[[#This Row],[Course_Fee_AED]]-Table1[[#This Row],[Amount_Paid_AED]]</f>
        <v>0</v>
      </c>
      <c r="R729">
        <f>Table1[[#This Row],[Course_Fee_AED]]-Table1[[#This Row],[pending Revenue]]</f>
        <v>7404</v>
      </c>
    </row>
    <row r="730" spans="1:18" x14ac:dyDescent="0.25">
      <c r="A730" t="s">
        <v>807</v>
      </c>
      <c r="B730" s="2">
        <v>45638</v>
      </c>
      <c r="C730" t="s">
        <v>106</v>
      </c>
      <c r="D730" t="s">
        <v>107</v>
      </c>
      <c r="E730" t="s">
        <v>26</v>
      </c>
      <c r="F730" s="5">
        <v>3</v>
      </c>
      <c r="G730" s="5">
        <v>1</v>
      </c>
      <c r="H730" s="5">
        <v>5504</v>
      </c>
      <c r="I730" s="5">
        <v>2</v>
      </c>
      <c r="J730" s="5">
        <v>3668</v>
      </c>
      <c r="K730" t="s">
        <v>18</v>
      </c>
      <c r="L730" t="s">
        <v>19</v>
      </c>
      <c r="M730" t="s">
        <v>41</v>
      </c>
      <c r="N730" t="s">
        <v>53</v>
      </c>
      <c r="O730" t="s">
        <v>87</v>
      </c>
      <c r="P730" t="s">
        <v>36</v>
      </c>
      <c r="Q730">
        <f>Table1[[#This Row],[Course_Fee_AED]]-Table1[[#This Row],[Amount_Paid_AED]]</f>
        <v>1836</v>
      </c>
      <c r="R730">
        <f>Table1[[#This Row],[Course_Fee_AED]]-Table1[[#This Row],[pending Revenue]]</f>
        <v>3668</v>
      </c>
    </row>
    <row r="731" spans="1:18" x14ac:dyDescent="0.25">
      <c r="A731" t="s">
        <v>808</v>
      </c>
      <c r="B731" s="2">
        <v>45367</v>
      </c>
      <c r="C731" t="s">
        <v>66</v>
      </c>
      <c r="D731" t="s">
        <v>56</v>
      </c>
      <c r="E731" t="s">
        <v>17</v>
      </c>
      <c r="F731" s="5">
        <v>6</v>
      </c>
      <c r="G731" s="5">
        <v>1</v>
      </c>
      <c r="H731" s="5">
        <v>10998</v>
      </c>
      <c r="I731" s="5">
        <v>3</v>
      </c>
      <c r="J731" s="5">
        <v>10998</v>
      </c>
      <c r="K731" t="s">
        <v>33</v>
      </c>
      <c r="L731" t="s">
        <v>40</v>
      </c>
      <c r="M731" t="s">
        <v>41</v>
      </c>
      <c r="N731" t="s">
        <v>90</v>
      </c>
      <c r="O731" t="s">
        <v>58</v>
      </c>
      <c r="P731" t="s">
        <v>18</v>
      </c>
      <c r="Q731">
        <f>Table1[[#This Row],[Course_Fee_AED]]-Table1[[#This Row],[Amount_Paid_AED]]</f>
        <v>0</v>
      </c>
      <c r="R731">
        <f>Table1[[#This Row],[Course_Fee_AED]]-Table1[[#This Row],[pending Revenue]]</f>
        <v>10998</v>
      </c>
    </row>
    <row r="732" spans="1:18" x14ac:dyDescent="0.25">
      <c r="A732" t="s">
        <v>809</v>
      </c>
      <c r="B732" s="2">
        <v>45621</v>
      </c>
      <c r="C732" t="s">
        <v>82</v>
      </c>
      <c r="D732" t="s">
        <v>83</v>
      </c>
      <c r="E732" t="s">
        <v>26</v>
      </c>
      <c r="F732" s="5">
        <v>3</v>
      </c>
      <c r="G732" s="5">
        <v>1</v>
      </c>
      <c r="H732" s="5">
        <v>11031</v>
      </c>
      <c r="I732" s="5">
        <v>1</v>
      </c>
      <c r="J732" s="5">
        <v>3677</v>
      </c>
      <c r="K732" t="s">
        <v>18</v>
      </c>
      <c r="L732" t="s">
        <v>19</v>
      </c>
      <c r="M732" t="s">
        <v>63</v>
      </c>
      <c r="N732" t="s">
        <v>73</v>
      </c>
      <c r="O732" t="s">
        <v>68</v>
      </c>
      <c r="P732" t="s">
        <v>18</v>
      </c>
      <c r="Q732">
        <f>Table1[[#This Row],[Course_Fee_AED]]-Table1[[#This Row],[Amount_Paid_AED]]</f>
        <v>7354</v>
      </c>
      <c r="R732">
        <f>Table1[[#This Row],[Course_Fee_AED]]-Table1[[#This Row],[pending Revenue]]</f>
        <v>3677</v>
      </c>
    </row>
    <row r="733" spans="1:18" x14ac:dyDescent="0.25">
      <c r="A733" t="s">
        <v>810</v>
      </c>
      <c r="B733" s="2">
        <v>45445</v>
      </c>
      <c r="C733" t="s">
        <v>45</v>
      </c>
      <c r="D733" t="s">
        <v>46</v>
      </c>
      <c r="E733" t="s">
        <v>26</v>
      </c>
      <c r="F733" s="5">
        <v>3</v>
      </c>
      <c r="G733" s="5">
        <v>1</v>
      </c>
      <c r="H733" s="5">
        <v>6745</v>
      </c>
      <c r="I733" s="5">
        <v>1</v>
      </c>
      <c r="J733" s="5">
        <v>2248</v>
      </c>
      <c r="K733" t="s">
        <v>18</v>
      </c>
      <c r="L733" t="s">
        <v>19</v>
      </c>
      <c r="M733" t="s">
        <v>47</v>
      </c>
      <c r="N733" t="s">
        <v>34</v>
      </c>
      <c r="O733" t="s">
        <v>22</v>
      </c>
      <c r="P733" t="s">
        <v>36</v>
      </c>
      <c r="Q733">
        <f>Table1[[#This Row],[Course_Fee_AED]]-Table1[[#This Row],[Amount_Paid_AED]]</f>
        <v>4497</v>
      </c>
      <c r="R733">
        <f>Table1[[#This Row],[Course_Fee_AED]]-Table1[[#This Row],[pending Revenue]]</f>
        <v>2248</v>
      </c>
    </row>
    <row r="734" spans="1:18" x14ac:dyDescent="0.25">
      <c r="A734" t="s">
        <v>811</v>
      </c>
      <c r="B734" s="2">
        <v>45373</v>
      </c>
      <c r="C734" t="s">
        <v>51</v>
      </c>
      <c r="D734" t="s">
        <v>52</v>
      </c>
      <c r="E734" t="s">
        <v>26</v>
      </c>
      <c r="F734" s="5">
        <v>3</v>
      </c>
      <c r="G734" s="5">
        <v>1</v>
      </c>
      <c r="H734" s="5">
        <v>5558</v>
      </c>
      <c r="I734" s="5">
        <v>2</v>
      </c>
      <c r="J734" s="5">
        <v>3704</v>
      </c>
      <c r="K734" t="s">
        <v>18</v>
      </c>
      <c r="L734" t="s">
        <v>19</v>
      </c>
      <c r="M734" t="s">
        <v>41</v>
      </c>
      <c r="N734" t="s">
        <v>154</v>
      </c>
      <c r="O734" t="s">
        <v>35</v>
      </c>
      <c r="P734" t="s">
        <v>36</v>
      </c>
      <c r="Q734">
        <f>Table1[[#This Row],[Course_Fee_AED]]-Table1[[#This Row],[Amount_Paid_AED]]</f>
        <v>1854</v>
      </c>
      <c r="R734">
        <f>Table1[[#This Row],[Course_Fee_AED]]-Table1[[#This Row],[pending Revenue]]</f>
        <v>3704</v>
      </c>
    </row>
    <row r="735" spans="1:18" x14ac:dyDescent="0.25">
      <c r="A735" t="s">
        <v>812</v>
      </c>
      <c r="B735" s="2">
        <v>45561</v>
      </c>
      <c r="C735" t="s">
        <v>106</v>
      </c>
      <c r="D735" t="s">
        <v>107</v>
      </c>
      <c r="E735" t="s">
        <v>17</v>
      </c>
      <c r="F735" s="5">
        <v>6</v>
      </c>
      <c r="G735" s="5">
        <v>1</v>
      </c>
      <c r="H735" s="5">
        <v>5813</v>
      </c>
      <c r="I735" s="5">
        <v>1</v>
      </c>
      <c r="J735" s="5">
        <v>1937</v>
      </c>
      <c r="K735" t="s">
        <v>18</v>
      </c>
      <c r="L735" t="s">
        <v>19</v>
      </c>
      <c r="M735" t="s">
        <v>47</v>
      </c>
      <c r="N735" t="s">
        <v>86</v>
      </c>
      <c r="O735" t="s">
        <v>29</v>
      </c>
      <c r="P735" t="s">
        <v>18</v>
      </c>
      <c r="Q735">
        <f>Table1[[#This Row],[Course_Fee_AED]]-Table1[[#This Row],[Amount_Paid_AED]]</f>
        <v>3876</v>
      </c>
      <c r="R735">
        <f>Table1[[#This Row],[Course_Fee_AED]]-Table1[[#This Row],[pending Revenue]]</f>
        <v>1937</v>
      </c>
    </row>
    <row r="736" spans="1:18" x14ac:dyDescent="0.25">
      <c r="A736" t="s">
        <v>813</v>
      </c>
      <c r="B736" s="2">
        <v>45420</v>
      </c>
      <c r="C736" t="s">
        <v>45</v>
      </c>
      <c r="D736" t="s">
        <v>46</v>
      </c>
      <c r="E736" t="s">
        <v>17</v>
      </c>
      <c r="F736" s="5">
        <v>6</v>
      </c>
      <c r="G736" s="5">
        <v>1</v>
      </c>
      <c r="H736" s="5">
        <v>6432</v>
      </c>
      <c r="I736" s="5">
        <v>1</v>
      </c>
      <c r="J736" s="5">
        <v>2144</v>
      </c>
      <c r="K736" t="s">
        <v>18</v>
      </c>
      <c r="L736" t="s">
        <v>57</v>
      </c>
      <c r="M736" t="s">
        <v>47</v>
      </c>
      <c r="N736" t="s">
        <v>42</v>
      </c>
      <c r="O736" t="s">
        <v>58</v>
      </c>
      <c r="P736" t="s">
        <v>36</v>
      </c>
      <c r="Q736">
        <f>Table1[[#This Row],[Course_Fee_AED]]-Table1[[#This Row],[Amount_Paid_AED]]</f>
        <v>4288</v>
      </c>
      <c r="R736">
        <f>Table1[[#This Row],[Course_Fee_AED]]-Table1[[#This Row],[pending Revenue]]</f>
        <v>2144</v>
      </c>
    </row>
    <row r="737" spans="1:18" x14ac:dyDescent="0.25">
      <c r="A737" t="s">
        <v>814</v>
      </c>
      <c r="B737" s="2">
        <v>45429</v>
      </c>
      <c r="C737" t="s">
        <v>113</v>
      </c>
      <c r="D737" t="s">
        <v>93</v>
      </c>
      <c r="E737" t="s">
        <v>17</v>
      </c>
      <c r="F737" s="5">
        <v>6</v>
      </c>
      <c r="G737" s="5">
        <v>1</v>
      </c>
      <c r="H737" s="5">
        <v>3761</v>
      </c>
      <c r="I737" s="5">
        <v>1</v>
      </c>
      <c r="J737" s="5">
        <v>1253</v>
      </c>
      <c r="K737" t="s">
        <v>18</v>
      </c>
      <c r="L737" t="s">
        <v>19</v>
      </c>
      <c r="M737" t="s">
        <v>47</v>
      </c>
      <c r="N737" t="s">
        <v>154</v>
      </c>
      <c r="O737" t="s">
        <v>43</v>
      </c>
      <c r="P737" t="s">
        <v>36</v>
      </c>
      <c r="Q737">
        <f>Table1[[#This Row],[Course_Fee_AED]]-Table1[[#This Row],[Amount_Paid_AED]]</f>
        <v>2508</v>
      </c>
      <c r="R737">
        <f>Table1[[#This Row],[Course_Fee_AED]]-Table1[[#This Row],[pending Revenue]]</f>
        <v>1253</v>
      </c>
    </row>
    <row r="738" spans="1:18" x14ac:dyDescent="0.25">
      <c r="A738" t="s">
        <v>815</v>
      </c>
      <c r="B738" s="2">
        <v>45653</v>
      </c>
      <c r="C738" t="s">
        <v>55</v>
      </c>
      <c r="D738" t="s">
        <v>56</v>
      </c>
      <c r="E738" t="s">
        <v>17</v>
      </c>
      <c r="F738" s="5">
        <v>6</v>
      </c>
      <c r="G738" s="5">
        <v>1</v>
      </c>
      <c r="H738" s="5">
        <v>7380</v>
      </c>
      <c r="I738" s="5">
        <v>1</v>
      </c>
      <c r="J738" s="5">
        <v>2460</v>
      </c>
      <c r="K738" t="s">
        <v>18</v>
      </c>
      <c r="L738" t="s">
        <v>57</v>
      </c>
      <c r="M738" t="s">
        <v>60</v>
      </c>
      <c r="N738" t="s">
        <v>95</v>
      </c>
      <c r="O738" t="s">
        <v>58</v>
      </c>
      <c r="P738" t="s">
        <v>36</v>
      </c>
      <c r="Q738">
        <f>Table1[[#This Row],[Course_Fee_AED]]-Table1[[#This Row],[Amount_Paid_AED]]</f>
        <v>4920</v>
      </c>
      <c r="R738">
        <f>Table1[[#This Row],[Course_Fee_AED]]-Table1[[#This Row],[pending Revenue]]</f>
        <v>2460</v>
      </c>
    </row>
    <row r="739" spans="1:18" x14ac:dyDescent="0.25">
      <c r="A739" t="s">
        <v>816</v>
      </c>
      <c r="B739" s="2">
        <v>45581</v>
      </c>
      <c r="C739" t="s">
        <v>24</v>
      </c>
      <c r="D739" t="s">
        <v>25</v>
      </c>
      <c r="E739" t="s">
        <v>17</v>
      </c>
      <c r="F739" s="5">
        <v>6</v>
      </c>
      <c r="G739" s="5">
        <v>1</v>
      </c>
      <c r="H739" s="5">
        <v>4968</v>
      </c>
      <c r="I739" s="5">
        <v>1</v>
      </c>
      <c r="J739" s="5">
        <v>1656</v>
      </c>
      <c r="K739" t="s">
        <v>18</v>
      </c>
      <c r="L739" t="s">
        <v>57</v>
      </c>
      <c r="M739" t="s">
        <v>27</v>
      </c>
      <c r="N739" t="s">
        <v>34</v>
      </c>
      <c r="O739" t="s">
        <v>29</v>
      </c>
      <c r="P739" t="s">
        <v>36</v>
      </c>
      <c r="Q739">
        <f>Table1[[#This Row],[Course_Fee_AED]]-Table1[[#This Row],[Amount_Paid_AED]]</f>
        <v>3312</v>
      </c>
      <c r="R739">
        <f>Table1[[#This Row],[Course_Fee_AED]]-Table1[[#This Row],[pending Revenue]]</f>
        <v>1656</v>
      </c>
    </row>
    <row r="740" spans="1:18" x14ac:dyDescent="0.25">
      <c r="A740" t="s">
        <v>817</v>
      </c>
      <c r="B740" s="2">
        <v>45332</v>
      </c>
      <c r="C740" t="s">
        <v>51</v>
      </c>
      <c r="D740" t="s">
        <v>52</v>
      </c>
      <c r="E740" t="s">
        <v>17</v>
      </c>
      <c r="F740" s="5">
        <v>6</v>
      </c>
      <c r="G740" s="5">
        <v>1</v>
      </c>
      <c r="H740" s="5">
        <v>5818</v>
      </c>
      <c r="I740" s="5">
        <v>1</v>
      </c>
      <c r="J740" s="5">
        <v>1939</v>
      </c>
      <c r="K740" t="s">
        <v>18</v>
      </c>
      <c r="L740" t="s">
        <v>57</v>
      </c>
      <c r="M740" t="s">
        <v>47</v>
      </c>
      <c r="N740" t="s">
        <v>79</v>
      </c>
      <c r="O740" t="s">
        <v>68</v>
      </c>
      <c r="P740" t="s">
        <v>36</v>
      </c>
      <c r="Q740">
        <f>Table1[[#This Row],[Course_Fee_AED]]-Table1[[#This Row],[Amount_Paid_AED]]</f>
        <v>3879</v>
      </c>
      <c r="R740">
        <f>Table1[[#This Row],[Course_Fee_AED]]-Table1[[#This Row],[pending Revenue]]</f>
        <v>1939</v>
      </c>
    </row>
    <row r="741" spans="1:18" x14ac:dyDescent="0.25">
      <c r="A741" t="s">
        <v>818</v>
      </c>
      <c r="B741" s="2">
        <v>45562</v>
      </c>
      <c r="C741" t="s">
        <v>82</v>
      </c>
      <c r="D741" t="s">
        <v>83</v>
      </c>
      <c r="E741" t="s">
        <v>17</v>
      </c>
      <c r="F741" s="5">
        <v>6</v>
      </c>
      <c r="G741" s="5">
        <v>1</v>
      </c>
      <c r="H741" s="5">
        <v>11000</v>
      </c>
      <c r="I741" s="5">
        <v>3</v>
      </c>
      <c r="J741" s="5">
        <v>10998</v>
      </c>
      <c r="K741" t="s">
        <v>18</v>
      </c>
      <c r="L741" t="s">
        <v>40</v>
      </c>
      <c r="M741" t="s">
        <v>60</v>
      </c>
      <c r="N741" t="s">
        <v>70</v>
      </c>
      <c r="O741" t="s">
        <v>71</v>
      </c>
      <c r="P741" t="s">
        <v>36</v>
      </c>
      <c r="Q741">
        <f>Table1[[#This Row],[Course_Fee_AED]]-Table1[[#This Row],[Amount_Paid_AED]]</f>
        <v>2</v>
      </c>
      <c r="R741">
        <f>Table1[[#This Row],[Course_Fee_AED]]-Table1[[#This Row],[pending Revenue]]</f>
        <v>10998</v>
      </c>
    </row>
    <row r="742" spans="1:18" x14ac:dyDescent="0.25">
      <c r="A742" t="s">
        <v>819</v>
      </c>
      <c r="B742" s="2">
        <v>45443</v>
      </c>
      <c r="C742" t="s">
        <v>31</v>
      </c>
      <c r="D742" t="s">
        <v>32</v>
      </c>
      <c r="E742" t="s">
        <v>17</v>
      </c>
      <c r="F742" s="5">
        <v>6</v>
      </c>
      <c r="G742" s="5">
        <v>1</v>
      </c>
      <c r="H742" s="5">
        <v>6668</v>
      </c>
      <c r="I742" s="5">
        <v>2</v>
      </c>
      <c r="J742" s="5">
        <v>4444</v>
      </c>
      <c r="K742" t="s">
        <v>18</v>
      </c>
      <c r="L742" t="s">
        <v>19</v>
      </c>
      <c r="M742" t="s">
        <v>20</v>
      </c>
      <c r="N742" t="s">
        <v>79</v>
      </c>
      <c r="O742" t="s">
        <v>22</v>
      </c>
      <c r="P742" t="s">
        <v>36</v>
      </c>
      <c r="Q742">
        <f>Table1[[#This Row],[Course_Fee_AED]]-Table1[[#This Row],[Amount_Paid_AED]]</f>
        <v>2224</v>
      </c>
      <c r="R742">
        <f>Table1[[#This Row],[Course_Fee_AED]]-Table1[[#This Row],[pending Revenue]]</f>
        <v>4444</v>
      </c>
    </row>
    <row r="743" spans="1:18" x14ac:dyDescent="0.25">
      <c r="A743" t="s">
        <v>820</v>
      </c>
      <c r="B743" s="2">
        <v>45428</v>
      </c>
      <c r="C743" t="s">
        <v>92</v>
      </c>
      <c r="D743" t="s">
        <v>93</v>
      </c>
      <c r="E743" t="s">
        <v>17</v>
      </c>
      <c r="F743" s="5">
        <v>6</v>
      </c>
      <c r="G743" s="5">
        <v>1</v>
      </c>
      <c r="H743" s="5">
        <v>4616</v>
      </c>
      <c r="I743" s="5">
        <v>1</v>
      </c>
      <c r="J743" s="5">
        <v>1538</v>
      </c>
      <c r="K743" t="s">
        <v>18</v>
      </c>
      <c r="L743" t="s">
        <v>19</v>
      </c>
      <c r="M743" t="s">
        <v>63</v>
      </c>
      <c r="N743" t="s">
        <v>61</v>
      </c>
      <c r="O743" t="s">
        <v>35</v>
      </c>
      <c r="P743" t="s">
        <v>18</v>
      </c>
      <c r="Q743">
        <f>Table1[[#This Row],[Course_Fee_AED]]-Table1[[#This Row],[Amount_Paid_AED]]</f>
        <v>3078</v>
      </c>
      <c r="R743">
        <f>Table1[[#This Row],[Course_Fee_AED]]-Table1[[#This Row],[pending Revenue]]</f>
        <v>1538</v>
      </c>
    </row>
    <row r="744" spans="1:18" x14ac:dyDescent="0.25">
      <c r="A744" t="s">
        <v>821</v>
      </c>
      <c r="B744" s="2">
        <v>45318</v>
      </c>
      <c r="C744" t="s">
        <v>24</v>
      </c>
      <c r="D744" t="s">
        <v>25</v>
      </c>
      <c r="E744" t="s">
        <v>17</v>
      </c>
      <c r="F744" s="5">
        <v>6</v>
      </c>
      <c r="G744" s="5">
        <v>1</v>
      </c>
      <c r="H744" s="5">
        <v>6241</v>
      </c>
      <c r="I744" s="5">
        <v>1</v>
      </c>
      <c r="J744" s="5">
        <v>2080</v>
      </c>
      <c r="K744" t="s">
        <v>18</v>
      </c>
      <c r="L744" t="s">
        <v>19</v>
      </c>
      <c r="M744" t="s">
        <v>47</v>
      </c>
      <c r="N744" t="s">
        <v>48</v>
      </c>
      <c r="O744" t="s">
        <v>35</v>
      </c>
      <c r="P744" t="s">
        <v>36</v>
      </c>
      <c r="Q744">
        <f>Table1[[#This Row],[Course_Fee_AED]]-Table1[[#This Row],[Amount_Paid_AED]]</f>
        <v>4161</v>
      </c>
      <c r="R744">
        <f>Table1[[#This Row],[Course_Fee_AED]]-Table1[[#This Row],[pending Revenue]]</f>
        <v>2080</v>
      </c>
    </row>
    <row r="745" spans="1:18" x14ac:dyDescent="0.25">
      <c r="A745" t="s">
        <v>822</v>
      </c>
      <c r="B745" s="2">
        <v>45548</v>
      </c>
      <c r="C745" t="s">
        <v>15</v>
      </c>
      <c r="D745" t="s">
        <v>16</v>
      </c>
      <c r="E745" t="s">
        <v>17</v>
      </c>
      <c r="F745" s="5">
        <v>6</v>
      </c>
      <c r="G745" s="5">
        <v>1</v>
      </c>
      <c r="H745" s="5">
        <v>6843</v>
      </c>
      <c r="I745" s="5">
        <v>1</v>
      </c>
      <c r="J745" s="5">
        <v>2281</v>
      </c>
      <c r="K745" t="s">
        <v>18</v>
      </c>
      <c r="L745" t="s">
        <v>57</v>
      </c>
      <c r="M745" t="s">
        <v>47</v>
      </c>
      <c r="N745" t="s">
        <v>42</v>
      </c>
      <c r="O745" t="s">
        <v>87</v>
      </c>
      <c r="P745" t="s">
        <v>18</v>
      </c>
      <c r="Q745">
        <f>Table1[[#This Row],[Course_Fee_AED]]-Table1[[#This Row],[Amount_Paid_AED]]</f>
        <v>4562</v>
      </c>
      <c r="R745">
        <f>Table1[[#This Row],[Course_Fee_AED]]-Table1[[#This Row],[pending Revenue]]</f>
        <v>2281</v>
      </c>
    </row>
    <row r="746" spans="1:18" x14ac:dyDescent="0.25">
      <c r="A746" t="s">
        <v>823</v>
      </c>
      <c r="B746" s="2">
        <v>45474</v>
      </c>
      <c r="C746" t="s">
        <v>15</v>
      </c>
      <c r="D746" t="s">
        <v>16</v>
      </c>
      <c r="E746" t="s">
        <v>26</v>
      </c>
      <c r="F746" s="5">
        <v>3</v>
      </c>
      <c r="G746" s="5">
        <v>1</v>
      </c>
      <c r="H746" s="5">
        <v>4764</v>
      </c>
      <c r="I746" s="5">
        <v>3</v>
      </c>
      <c r="J746" s="5">
        <v>4764</v>
      </c>
      <c r="K746" t="s">
        <v>33</v>
      </c>
      <c r="L746" t="s">
        <v>40</v>
      </c>
      <c r="M746" t="s">
        <v>27</v>
      </c>
      <c r="N746" t="s">
        <v>73</v>
      </c>
      <c r="O746" t="s">
        <v>22</v>
      </c>
      <c r="P746" t="s">
        <v>18</v>
      </c>
      <c r="Q746">
        <f>Table1[[#This Row],[Course_Fee_AED]]-Table1[[#This Row],[Amount_Paid_AED]]</f>
        <v>0</v>
      </c>
      <c r="R746">
        <f>Table1[[#This Row],[Course_Fee_AED]]-Table1[[#This Row],[pending Revenue]]</f>
        <v>4764</v>
      </c>
    </row>
    <row r="747" spans="1:18" x14ac:dyDescent="0.25">
      <c r="A747" t="s">
        <v>824</v>
      </c>
      <c r="B747" s="2">
        <v>45434</v>
      </c>
      <c r="C747" t="s">
        <v>113</v>
      </c>
      <c r="D747" t="s">
        <v>93</v>
      </c>
      <c r="E747" t="s">
        <v>26</v>
      </c>
      <c r="F747" s="5">
        <v>3</v>
      </c>
      <c r="G747" s="5">
        <v>1</v>
      </c>
      <c r="H747" s="5">
        <v>3274</v>
      </c>
      <c r="I747" s="5">
        <v>2</v>
      </c>
      <c r="J747" s="5">
        <v>2182</v>
      </c>
      <c r="K747" t="s">
        <v>18</v>
      </c>
      <c r="L747" t="s">
        <v>40</v>
      </c>
      <c r="M747" t="s">
        <v>27</v>
      </c>
      <c r="N747" t="s">
        <v>42</v>
      </c>
      <c r="O747" t="s">
        <v>35</v>
      </c>
      <c r="P747" t="s">
        <v>18</v>
      </c>
      <c r="Q747">
        <f>Table1[[#This Row],[Course_Fee_AED]]-Table1[[#This Row],[Amount_Paid_AED]]</f>
        <v>1092</v>
      </c>
      <c r="R747">
        <f>Table1[[#This Row],[Course_Fee_AED]]-Table1[[#This Row],[pending Revenue]]</f>
        <v>2182</v>
      </c>
    </row>
    <row r="748" spans="1:18" x14ac:dyDescent="0.25">
      <c r="A748" t="s">
        <v>825</v>
      </c>
      <c r="B748" s="2">
        <v>45645</v>
      </c>
      <c r="C748" t="s">
        <v>24</v>
      </c>
      <c r="D748" t="s">
        <v>25</v>
      </c>
      <c r="E748" t="s">
        <v>26</v>
      </c>
      <c r="F748" s="5">
        <v>3</v>
      </c>
      <c r="G748" s="5">
        <v>1</v>
      </c>
      <c r="H748" s="5">
        <v>6198</v>
      </c>
      <c r="I748" s="5">
        <v>1</v>
      </c>
      <c r="J748" s="5">
        <v>2066</v>
      </c>
      <c r="K748" t="s">
        <v>18</v>
      </c>
      <c r="L748" t="s">
        <v>19</v>
      </c>
      <c r="M748" t="s">
        <v>27</v>
      </c>
      <c r="N748" t="s">
        <v>154</v>
      </c>
      <c r="O748" t="s">
        <v>58</v>
      </c>
      <c r="P748" t="s">
        <v>36</v>
      </c>
      <c r="Q748">
        <f>Table1[[#This Row],[Course_Fee_AED]]-Table1[[#This Row],[Amount_Paid_AED]]</f>
        <v>4132</v>
      </c>
      <c r="R748">
        <f>Table1[[#This Row],[Course_Fee_AED]]-Table1[[#This Row],[pending Revenue]]</f>
        <v>2066</v>
      </c>
    </row>
    <row r="749" spans="1:18" x14ac:dyDescent="0.25">
      <c r="A749" t="s">
        <v>826</v>
      </c>
      <c r="B749" s="2">
        <v>45320</v>
      </c>
      <c r="C749" t="s">
        <v>82</v>
      </c>
      <c r="D749" t="s">
        <v>83</v>
      </c>
      <c r="E749" t="s">
        <v>26</v>
      </c>
      <c r="F749" s="5">
        <v>3</v>
      </c>
      <c r="G749" s="5">
        <v>1</v>
      </c>
      <c r="H749" s="5">
        <v>9226</v>
      </c>
      <c r="I749" s="5">
        <v>3</v>
      </c>
      <c r="J749" s="5">
        <v>9225</v>
      </c>
      <c r="K749" t="s">
        <v>18</v>
      </c>
      <c r="L749" t="s">
        <v>40</v>
      </c>
      <c r="M749" t="s">
        <v>47</v>
      </c>
      <c r="N749" t="s">
        <v>53</v>
      </c>
      <c r="O749" t="s">
        <v>64</v>
      </c>
      <c r="P749" t="s">
        <v>18</v>
      </c>
      <c r="Q749">
        <f>Table1[[#This Row],[Course_Fee_AED]]-Table1[[#This Row],[Amount_Paid_AED]]</f>
        <v>1</v>
      </c>
      <c r="R749">
        <f>Table1[[#This Row],[Course_Fee_AED]]-Table1[[#This Row],[pending Revenue]]</f>
        <v>9225</v>
      </c>
    </row>
    <row r="750" spans="1:18" x14ac:dyDescent="0.25">
      <c r="A750" t="s">
        <v>827</v>
      </c>
      <c r="B750" s="2">
        <v>45461</v>
      </c>
      <c r="C750" t="s">
        <v>55</v>
      </c>
      <c r="D750" t="s">
        <v>56</v>
      </c>
      <c r="E750" t="s">
        <v>26</v>
      </c>
      <c r="F750" s="5">
        <v>3</v>
      </c>
      <c r="G750" s="5">
        <v>1</v>
      </c>
      <c r="H750" s="5">
        <v>9722</v>
      </c>
      <c r="I750" s="5">
        <v>3</v>
      </c>
      <c r="J750" s="5">
        <v>9720</v>
      </c>
      <c r="K750" t="s">
        <v>18</v>
      </c>
      <c r="L750" t="s">
        <v>19</v>
      </c>
      <c r="M750" t="s">
        <v>63</v>
      </c>
      <c r="N750" t="s">
        <v>21</v>
      </c>
      <c r="O750" t="s">
        <v>35</v>
      </c>
      <c r="P750" t="s">
        <v>18</v>
      </c>
      <c r="Q750">
        <f>Table1[[#This Row],[Course_Fee_AED]]-Table1[[#This Row],[Amount_Paid_AED]]</f>
        <v>2</v>
      </c>
      <c r="R750">
        <f>Table1[[#This Row],[Course_Fee_AED]]-Table1[[#This Row],[pending Revenue]]</f>
        <v>9720</v>
      </c>
    </row>
    <row r="751" spans="1:18" x14ac:dyDescent="0.25">
      <c r="A751" t="s">
        <v>828</v>
      </c>
      <c r="B751" s="2">
        <v>45295</v>
      </c>
      <c r="C751" t="s">
        <v>75</v>
      </c>
      <c r="D751" t="s">
        <v>76</v>
      </c>
      <c r="E751" t="s">
        <v>26</v>
      </c>
      <c r="F751" s="5">
        <v>3</v>
      </c>
      <c r="G751" s="5">
        <v>1</v>
      </c>
      <c r="H751" s="5">
        <v>12372</v>
      </c>
      <c r="I751" s="5">
        <v>1</v>
      </c>
      <c r="J751" s="5">
        <v>4124</v>
      </c>
      <c r="K751" t="s">
        <v>18</v>
      </c>
      <c r="L751" t="s">
        <v>40</v>
      </c>
      <c r="M751" t="s">
        <v>63</v>
      </c>
      <c r="N751" t="s">
        <v>34</v>
      </c>
      <c r="O751" t="s">
        <v>29</v>
      </c>
      <c r="P751" t="s">
        <v>36</v>
      </c>
      <c r="Q751">
        <f>Table1[[#This Row],[Course_Fee_AED]]-Table1[[#This Row],[Amount_Paid_AED]]</f>
        <v>8248</v>
      </c>
      <c r="R751">
        <f>Table1[[#This Row],[Course_Fee_AED]]-Table1[[#This Row],[pending Revenue]]</f>
        <v>4124</v>
      </c>
    </row>
    <row r="752" spans="1:18" x14ac:dyDescent="0.25">
      <c r="A752" t="s">
        <v>829</v>
      </c>
      <c r="B752" s="2">
        <v>45432</v>
      </c>
      <c r="C752" t="s">
        <v>51</v>
      </c>
      <c r="D752" t="s">
        <v>52</v>
      </c>
      <c r="E752" t="s">
        <v>17</v>
      </c>
      <c r="F752" s="5">
        <v>6</v>
      </c>
      <c r="G752" s="5">
        <v>1</v>
      </c>
      <c r="H752" s="5">
        <v>4550</v>
      </c>
      <c r="I752" s="5">
        <v>1</v>
      </c>
      <c r="J752" s="5">
        <v>1516</v>
      </c>
      <c r="K752" t="s">
        <v>18</v>
      </c>
      <c r="L752" t="s">
        <v>57</v>
      </c>
      <c r="M752" t="s">
        <v>60</v>
      </c>
      <c r="N752" t="s">
        <v>116</v>
      </c>
      <c r="O752" t="s">
        <v>71</v>
      </c>
      <c r="P752" t="s">
        <v>36</v>
      </c>
      <c r="Q752">
        <f>Table1[[#This Row],[Course_Fee_AED]]-Table1[[#This Row],[Amount_Paid_AED]]</f>
        <v>3034</v>
      </c>
      <c r="R752">
        <f>Table1[[#This Row],[Course_Fee_AED]]-Table1[[#This Row],[pending Revenue]]</f>
        <v>1516</v>
      </c>
    </row>
    <row r="753" spans="1:18" x14ac:dyDescent="0.25">
      <c r="A753" t="s">
        <v>830</v>
      </c>
      <c r="B753" s="2">
        <v>45629</v>
      </c>
      <c r="C753" t="s">
        <v>82</v>
      </c>
      <c r="D753" t="s">
        <v>83</v>
      </c>
      <c r="E753" t="s">
        <v>17</v>
      </c>
      <c r="F753" s="5">
        <v>6</v>
      </c>
      <c r="G753" s="5">
        <v>1</v>
      </c>
      <c r="H753" s="5">
        <v>13996</v>
      </c>
      <c r="I753" s="5">
        <v>1</v>
      </c>
      <c r="J753" s="5">
        <v>4665</v>
      </c>
      <c r="K753" t="s">
        <v>18</v>
      </c>
      <c r="L753" t="s">
        <v>57</v>
      </c>
      <c r="M753" t="s">
        <v>63</v>
      </c>
      <c r="N753" t="s">
        <v>28</v>
      </c>
      <c r="O753" t="s">
        <v>43</v>
      </c>
      <c r="P753" t="s">
        <v>18</v>
      </c>
      <c r="Q753">
        <f>Table1[[#This Row],[Course_Fee_AED]]-Table1[[#This Row],[Amount_Paid_AED]]</f>
        <v>9331</v>
      </c>
      <c r="R753">
        <f>Table1[[#This Row],[Course_Fee_AED]]-Table1[[#This Row],[pending Revenue]]</f>
        <v>4665</v>
      </c>
    </row>
    <row r="754" spans="1:18" x14ac:dyDescent="0.25">
      <c r="A754" t="s">
        <v>831</v>
      </c>
      <c r="B754" s="2">
        <v>45339</v>
      </c>
      <c r="C754" t="s">
        <v>113</v>
      </c>
      <c r="D754" t="s">
        <v>93</v>
      </c>
      <c r="E754" t="s">
        <v>17</v>
      </c>
      <c r="F754" s="5">
        <v>6</v>
      </c>
      <c r="G754" s="5">
        <v>1</v>
      </c>
      <c r="H754" s="5">
        <v>4562</v>
      </c>
      <c r="I754" s="5">
        <v>2</v>
      </c>
      <c r="J754" s="5">
        <v>3040</v>
      </c>
      <c r="K754" t="s">
        <v>18</v>
      </c>
      <c r="L754" t="s">
        <v>57</v>
      </c>
      <c r="M754" t="s">
        <v>27</v>
      </c>
      <c r="N754" t="s">
        <v>90</v>
      </c>
      <c r="O754" t="s">
        <v>68</v>
      </c>
      <c r="P754" t="s">
        <v>36</v>
      </c>
      <c r="Q754">
        <f>Table1[[#This Row],[Course_Fee_AED]]-Table1[[#This Row],[Amount_Paid_AED]]</f>
        <v>1522</v>
      </c>
      <c r="R754">
        <f>Table1[[#This Row],[Course_Fee_AED]]-Table1[[#This Row],[pending Revenue]]</f>
        <v>3040</v>
      </c>
    </row>
    <row r="755" spans="1:18" x14ac:dyDescent="0.25">
      <c r="A755" t="s">
        <v>832</v>
      </c>
      <c r="B755" s="2">
        <v>45540</v>
      </c>
      <c r="C755" t="s">
        <v>24</v>
      </c>
      <c r="D755" t="s">
        <v>25</v>
      </c>
      <c r="E755" t="s">
        <v>26</v>
      </c>
      <c r="F755" s="5">
        <v>3</v>
      </c>
      <c r="G755" s="5">
        <v>1</v>
      </c>
      <c r="H755" s="5">
        <v>6940</v>
      </c>
      <c r="I755" s="5">
        <v>1</v>
      </c>
      <c r="J755" s="5">
        <v>2313</v>
      </c>
      <c r="K755" t="s">
        <v>18</v>
      </c>
      <c r="L755" t="s">
        <v>40</v>
      </c>
      <c r="M755" t="s">
        <v>47</v>
      </c>
      <c r="N755" t="s">
        <v>28</v>
      </c>
      <c r="O755" t="s">
        <v>29</v>
      </c>
      <c r="P755" t="s">
        <v>18</v>
      </c>
      <c r="Q755">
        <f>Table1[[#This Row],[Course_Fee_AED]]-Table1[[#This Row],[Amount_Paid_AED]]</f>
        <v>4627</v>
      </c>
      <c r="R755">
        <f>Table1[[#This Row],[Course_Fee_AED]]-Table1[[#This Row],[pending Revenue]]</f>
        <v>2313</v>
      </c>
    </row>
    <row r="756" spans="1:18" x14ac:dyDescent="0.25">
      <c r="A756" t="s">
        <v>833</v>
      </c>
      <c r="B756" s="2">
        <v>45474</v>
      </c>
      <c r="C756" t="s">
        <v>31</v>
      </c>
      <c r="D756" t="s">
        <v>32</v>
      </c>
      <c r="E756" t="s">
        <v>26</v>
      </c>
      <c r="F756" s="5">
        <v>3</v>
      </c>
      <c r="G756" s="5">
        <v>1</v>
      </c>
      <c r="H756" s="5">
        <v>5097</v>
      </c>
      <c r="I756" s="5">
        <v>2</v>
      </c>
      <c r="J756" s="5">
        <v>3398</v>
      </c>
      <c r="K756" t="s">
        <v>18</v>
      </c>
      <c r="L756" t="s">
        <v>40</v>
      </c>
      <c r="M756" t="s">
        <v>41</v>
      </c>
      <c r="N756" t="s">
        <v>90</v>
      </c>
      <c r="O756" t="s">
        <v>49</v>
      </c>
      <c r="P756" t="s">
        <v>18</v>
      </c>
      <c r="Q756">
        <f>Table1[[#This Row],[Course_Fee_AED]]-Table1[[#This Row],[Amount_Paid_AED]]</f>
        <v>1699</v>
      </c>
      <c r="R756">
        <f>Table1[[#This Row],[Course_Fee_AED]]-Table1[[#This Row],[pending Revenue]]</f>
        <v>3398</v>
      </c>
    </row>
    <row r="757" spans="1:18" x14ac:dyDescent="0.25">
      <c r="A757" t="s">
        <v>834</v>
      </c>
      <c r="B757" s="2">
        <v>45518</v>
      </c>
      <c r="C757" t="s">
        <v>106</v>
      </c>
      <c r="D757" t="s">
        <v>107</v>
      </c>
      <c r="E757" t="s">
        <v>17</v>
      </c>
      <c r="F757" s="5">
        <v>6</v>
      </c>
      <c r="G757" s="5">
        <v>1</v>
      </c>
      <c r="H757" s="5">
        <v>7586</v>
      </c>
      <c r="I757" s="5">
        <v>2</v>
      </c>
      <c r="J757" s="5">
        <v>5056</v>
      </c>
      <c r="K757" t="s">
        <v>18</v>
      </c>
      <c r="L757" t="s">
        <v>57</v>
      </c>
      <c r="M757" t="s">
        <v>41</v>
      </c>
      <c r="N757" t="s">
        <v>73</v>
      </c>
      <c r="O757" t="s">
        <v>22</v>
      </c>
      <c r="P757" t="s">
        <v>36</v>
      </c>
      <c r="Q757">
        <f>Table1[[#This Row],[Course_Fee_AED]]-Table1[[#This Row],[Amount_Paid_AED]]</f>
        <v>2530</v>
      </c>
      <c r="R757">
        <f>Table1[[#This Row],[Course_Fee_AED]]-Table1[[#This Row],[pending Revenue]]</f>
        <v>5056</v>
      </c>
    </row>
    <row r="758" spans="1:18" x14ac:dyDescent="0.25">
      <c r="A758" t="s">
        <v>835</v>
      </c>
      <c r="B758" s="2">
        <v>45524</v>
      </c>
      <c r="C758" t="s">
        <v>106</v>
      </c>
      <c r="D758" t="s">
        <v>107</v>
      </c>
      <c r="E758" t="s">
        <v>17</v>
      </c>
      <c r="F758" s="5">
        <v>6</v>
      </c>
      <c r="G758" s="5">
        <v>1</v>
      </c>
      <c r="H758" s="5">
        <v>6055</v>
      </c>
      <c r="I758" s="5">
        <v>1</v>
      </c>
      <c r="J758" s="5">
        <v>2018</v>
      </c>
      <c r="K758" t="s">
        <v>18</v>
      </c>
      <c r="L758" t="s">
        <v>57</v>
      </c>
      <c r="M758" t="s">
        <v>60</v>
      </c>
      <c r="N758" t="s">
        <v>21</v>
      </c>
      <c r="O758" t="s">
        <v>29</v>
      </c>
      <c r="P758" t="s">
        <v>36</v>
      </c>
      <c r="Q758">
        <f>Table1[[#This Row],[Course_Fee_AED]]-Table1[[#This Row],[Amount_Paid_AED]]</f>
        <v>4037</v>
      </c>
      <c r="R758">
        <f>Table1[[#This Row],[Course_Fee_AED]]-Table1[[#This Row],[pending Revenue]]</f>
        <v>2018</v>
      </c>
    </row>
    <row r="759" spans="1:18" x14ac:dyDescent="0.25">
      <c r="A759" t="s">
        <v>836</v>
      </c>
      <c r="B759" s="2">
        <v>45598</v>
      </c>
      <c r="C759" t="s">
        <v>31</v>
      </c>
      <c r="D759" t="s">
        <v>32</v>
      </c>
      <c r="E759" t="s">
        <v>26</v>
      </c>
      <c r="F759" s="5">
        <v>3</v>
      </c>
      <c r="G759" s="5">
        <v>1</v>
      </c>
      <c r="H759" s="5">
        <v>7072</v>
      </c>
      <c r="I759" s="5">
        <v>1</v>
      </c>
      <c r="J759" s="5">
        <v>2357</v>
      </c>
      <c r="K759" t="s">
        <v>18</v>
      </c>
      <c r="L759" t="s">
        <v>57</v>
      </c>
      <c r="M759" t="s">
        <v>27</v>
      </c>
      <c r="N759" t="s">
        <v>154</v>
      </c>
      <c r="O759" t="s">
        <v>49</v>
      </c>
      <c r="P759" t="s">
        <v>18</v>
      </c>
      <c r="Q759">
        <f>Table1[[#This Row],[Course_Fee_AED]]-Table1[[#This Row],[Amount_Paid_AED]]</f>
        <v>4715</v>
      </c>
      <c r="R759">
        <f>Table1[[#This Row],[Course_Fee_AED]]-Table1[[#This Row],[pending Revenue]]</f>
        <v>2357</v>
      </c>
    </row>
    <row r="760" spans="1:18" x14ac:dyDescent="0.25">
      <c r="A760" t="s">
        <v>837</v>
      </c>
      <c r="B760" s="2">
        <v>45556</v>
      </c>
      <c r="C760" t="s">
        <v>66</v>
      </c>
      <c r="D760" t="s">
        <v>56</v>
      </c>
      <c r="E760" t="s">
        <v>26</v>
      </c>
      <c r="F760" s="5">
        <v>3</v>
      </c>
      <c r="G760" s="5">
        <v>1</v>
      </c>
      <c r="H760" s="5">
        <v>10708</v>
      </c>
      <c r="I760" s="5">
        <v>1</v>
      </c>
      <c r="J760" s="5">
        <v>3569</v>
      </c>
      <c r="K760" t="s">
        <v>18</v>
      </c>
      <c r="L760" t="s">
        <v>19</v>
      </c>
      <c r="M760" t="s">
        <v>41</v>
      </c>
      <c r="N760" t="s">
        <v>90</v>
      </c>
      <c r="O760" t="s">
        <v>35</v>
      </c>
      <c r="P760" t="s">
        <v>18</v>
      </c>
      <c r="Q760">
        <f>Table1[[#This Row],[Course_Fee_AED]]-Table1[[#This Row],[Amount_Paid_AED]]</f>
        <v>7139</v>
      </c>
      <c r="R760">
        <f>Table1[[#This Row],[Course_Fee_AED]]-Table1[[#This Row],[pending Revenue]]</f>
        <v>3569</v>
      </c>
    </row>
    <row r="761" spans="1:18" x14ac:dyDescent="0.25">
      <c r="A761" t="s">
        <v>838</v>
      </c>
      <c r="B761" s="2">
        <v>45413</v>
      </c>
      <c r="C761" t="s">
        <v>15</v>
      </c>
      <c r="D761" t="s">
        <v>16</v>
      </c>
      <c r="E761" t="s">
        <v>17</v>
      </c>
      <c r="F761" s="5">
        <v>6</v>
      </c>
      <c r="G761" s="5">
        <v>1</v>
      </c>
      <c r="H761" s="5">
        <v>4792</v>
      </c>
      <c r="I761" s="5">
        <v>2</v>
      </c>
      <c r="J761" s="5">
        <v>3194</v>
      </c>
      <c r="K761" t="s">
        <v>18</v>
      </c>
      <c r="L761" t="s">
        <v>40</v>
      </c>
      <c r="M761" t="s">
        <v>27</v>
      </c>
      <c r="N761" t="s">
        <v>90</v>
      </c>
      <c r="O761" t="s">
        <v>58</v>
      </c>
      <c r="P761" t="s">
        <v>18</v>
      </c>
      <c r="Q761">
        <f>Table1[[#This Row],[Course_Fee_AED]]-Table1[[#This Row],[Amount_Paid_AED]]</f>
        <v>1598</v>
      </c>
      <c r="R761">
        <f>Table1[[#This Row],[Course_Fee_AED]]-Table1[[#This Row],[pending Revenue]]</f>
        <v>3194</v>
      </c>
    </row>
    <row r="762" spans="1:18" x14ac:dyDescent="0.25">
      <c r="A762" t="s">
        <v>839</v>
      </c>
      <c r="B762" s="2">
        <v>45542</v>
      </c>
      <c r="C762" t="s">
        <v>38</v>
      </c>
      <c r="D762" t="s">
        <v>39</v>
      </c>
      <c r="E762" t="s">
        <v>26</v>
      </c>
      <c r="F762" s="5">
        <v>3</v>
      </c>
      <c r="G762" s="5">
        <v>1</v>
      </c>
      <c r="H762" s="5">
        <v>5026</v>
      </c>
      <c r="I762" s="5">
        <v>1</v>
      </c>
      <c r="J762" s="5">
        <v>1675</v>
      </c>
      <c r="K762" t="s">
        <v>18</v>
      </c>
      <c r="L762" t="s">
        <v>57</v>
      </c>
      <c r="M762" t="s">
        <v>41</v>
      </c>
      <c r="N762" t="s">
        <v>116</v>
      </c>
      <c r="O762" t="s">
        <v>43</v>
      </c>
      <c r="P762" t="s">
        <v>18</v>
      </c>
      <c r="Q762">
        <f>Table1[[#This Row],[Course_Fee_AED]]-Table1[[#This Row],[Amount_Paid_AED]]</f>
        <v>3351</v>
      </c>
      <c r="R762">
        <f>Table1[[#This Row],[Course_Fee_AED]]-Table1[[#This Row],[pending Revenue]]</f>
        <v>1675</v>
      </c>
    </row>
    <row r="763" spans="1:18" x14ac:dyDescent="0.25">
      <c r="A763" t="s">
        <v>840</v>
      </c>
      <c r="B763" s="2">
        <v>45603</v>
      </c>
      <c r="C763" t="s">
        <v>106</v>
      </c>
      <c r="D763" t="s">
        <v>107</v>
      </c>
      <c r="E763" t="s">
        <v>17</v>
      </c>
      <c r="F763" s="5">
        <v>6</v>
      </c>
      <c r="G763" s="5">
        <v>1</v>
      </c>
      <c r="H763" s="5">
        <v>8610</v>
      </c>
      <c r="I763" s="5">
        <v>3</v>
      </c>
      <c r="J763" s="5">
        <v>8610</v>
      </c>
      <c r="K763" t="s">
        <v>33</v>
      </c>
      <c r="L763" t="s">
        <v>40</v>
      </c>
      <c r="M763" t="s">
        <v>27</v>
      </c>
      <c r="N763" t="s">
        <v>73</v>
      </c>
      <c r="O763" t="s">
        <v>87</v>
      </c>
      <c r="P763" t="s">
        <v>36</v>
      </c>
      <c r="Q763">
        <f>Table1[[#This Row],[Course_Fee_AED]]-Table1[[#This Row],[Amount_Paid_AED]]</f>
        <v>0</v>
      </c>
      <c r="R763">
        <f>Table1[[#This Row],[Course_Fee_AED]]-Table1[[#This Row],[pending Revenue]]</f>
        <v>8610</v>
      </c>
    </row>
    <row r="764" spans="1:18" x14ac:dyDescent="0.25">
      <c r="A764" t="s">
        <v>841</v>
      </c>
      <c r="B764" s="2">
        <v>45549</v>
      </c>
      <c r="C764" t="s">
        <v>38</v>
      </c>
      <c r="D764" t="s">
        <v>39</v>
      </c>
      <c r="E764" t="s">
        <v>26</v>
      </c>
      <c r="F764" s="5">
        <v>3</v>
      </c>
      <c r="G764" s="5">
        <v>1</v>
      </c>
      <c r="H764" s="5">
        <v>4326</v>
      </c>
      <c r="I764" s="5">
        <v>3</v>
      </c>
      <c r="J764" s="5">
        <v>4326</v>
      </c>
      <c r="K764" t="s">
        <v>33</v>
      </c>
      <c r="L764" t="s">
        <v>19</v>
      </c>
      <c r="M764" t="s">
        <v>41</v>
      </c>
      <c r="N764" t="s">
        <v>34</v>
      </c>
      <c r="O764" t="s">
        <v>68</v>
      </c>
      <c r="P764" t="s">
        <v>18</v>
      </c>
      <c r="Q764">
        <f>Table1[[#This Row],[Course_Fee_AED]]-Table1[[#This Row],[Amount_Paid_AED]]</f>
        <v>0</v>
      </c>
      <c r="R764">
        <f>Table1[[#This Row],[Course_Fee_AED]]-Table1[[#This Row],[pending Revenue]]</f>
        <v>4326</v>
      </c>
    </row>
    <row r="765" spans="1:18" x14ac:dyDescent="0.25">
      <c r="A765" t="s">
        <v>842</v>
      </c>
      <c r="B765" s="2">
        <v>45383</v>
      </c>
      <c r="C765" t="s">
        <v>113</v>
      </c>
      <c r="D765" t="s">
        <v>93</v>
      </c>
      <c r="E765" t="s">
        <v>17</v>
      </c>
      <c r="F765" s="5">
        <v>6</v>
      </c>
      <c r="G765" s="5">
        <v>1</v>
      </c>
      <c r="H765" s="5">
        <v>3365</v>
      </c>
      <c r="I765" s="5">
        <v>3</v>
      </c>
      <c r="J765" s="5">
        <v>3363</v>
      </c>
      <c r="K765" t="s">
        <v>18</v>
      </c>
      <c r="L765" t="s">
        <v>19</v>
      </c>
      <c r="M765" t="s">
        <v>60</v>
      </c>
      <c r="N765" t="s">
        <v>90</v>
      </c>
      <c r="O765" t="s">
        <v>43</v>
      </c>
      <c r="P765" t="s">
        <v>18</v>
      </c>
      <c r="Q765">
        <f>Table1[[#This Row],[Course_Fee_AED]]-Table1[[#This Row],[Amount_Paid_AED]]</f>
        <v>2</v>
      </c>
      <c r="R765">
        <f>Table1[[#This Row],[Course_Fee_AED]]-Table1[[#This Row],[pending Revenue]]</f>
        <v>3363</v>
      </c>
    </row>
    <row r="766" spans="1:18" x14ac:dyDescent="0.25">
      <c r="A766" t="s">
        <v>843</v>
      </c>
      <c r="B766" s="2">
        <v>45559</v>
      </c>
      <c r="C766" t="s">
        <v>38</v>
      </c>
      <c r="D766" t="s">
        <v>39</v>
      </c>
      <c r="E766" t="s">
        <v>26</v>
      </c>
      <c r="F766" s="5">
        <v>3</v>
      </c>
      <c r="G766" s="5">
        <v>1</v>
      </c>
      <c r="H766" s="5">
        <v>6116</v>
      </c>
      <c r="I766" s="5">
        <v>1</v>
      </c>
      <c r="J766" s="5">
        <v>2038</v>
      </c>
      <c r="K766" t="s">
        <v>18</v>
      </c>
      <c r="L766" t="s">
        <v>19</v>
      </c>
      <c r="M766" t="s">
        <v>41</v>
      </c>
      <c r="N766" t="s">
        <v>70</v>
      </c>
      <c r="O766" t="s">
        <v>43</v>
      </c>
      <c r="P766" t="s">
        <v>18</v>
      </c>
      <c r="Q766">
        <f>Table1[[#This Row],[Course_Fee_AED]]-Table1[[#This Row],[Amount_Paid_AED]]</f>
        <v>4078</v>
      </c>
      <c r="R766">
        <f>Table1[[#This Row],[Course_Fee_AED]]-Table1[[#This Row],[pending Revenue]]</f>
        <v>2038</v>
      </c>
    </row>
    <row r="767" spans="1:18" x14ac:dyDescent="0.25">
      <c r="A767" t="s">
        <v>844</v>
      </c>
      <c r="B767" s="2">
        <v>45339</v>
      </c>
      <c r="C767" t="s">
        <v>82</v>
      </c>
      <c r="D767" t="s">
        <v>83</v>
      </c>
      <c r="E767" t="s">
        <v>26</v>
      </c>
      <c r="F767" s="5">
        <v>3</v>
      </c>
      <c r="G767" s="5">
        <v>1</v>
      </c>
      <c r="H767" s="5">
        <v>8070</v>
      </c>
      <c r="I767" s="5">
        <v>2</v>
      </c>
      <c r="J767" s="5">
        <v>5380</v>
      </c>
      <c r="K767" t="s">
        <v>18</v>
      </c>
      <c r="L767" t="s">
        <v>40</v>
      </c>
      <c r="M767" t="s">
        <v>41</v>
      </c>
      <c r="N767" t="s">
        <v>48</v>
      </c>
      <c r="O767" t="s">
        <v>58</v>
      </c>
      <c r="P767" t="s">
        <v>18</v>
      </c>
      <c r="Q767">
        <f>Table1[[#This Row],[Course_Fee_AED]]-Table1[[#This Row],[Amount_Paid_AED]]</f>
        <v>2690</v>
      </c>
      <c r="R767">
        <f>Table1[[#This Row],[Course_Fee_AED]]-Table1[[#This Row],[pending Revenue]]</f>
        <v>5380</v>
      </c>
    </row>
    <row r="768" spans="1:18" x14ac:dyDescent="0.25">
      <c r="A768" t="s">
        <v>845</v>
      </c>
      <c r="B768" s="2">
        <v>45612</v>
      </c>
      <c r="C768" t="s">
        <v>15</v>
      </c>
      <c r="D768" t="s">
        <v>16</v>
      </c>
      <c r="E768" t="s">
        <v>17</v>
      </c>
      <c r="F768" s="5">
        <v>6</v>
      </c>
      <c r="G768" s="5">
        <v>1</v>
      </c>
      <c r="H768" s="5">
        <v>6174</v>
      </c>
      <c r="I768" s="5">
        <v>1</v>
      </c>
      <c r="J768" s="5">
        <v>2058</v>
      </c>
      <c r="K768" t="s">
        <v>18</v>
      </c>
      <c r="L768" t="s">
        <v>57</v>
      </c>
      <c r="M768" t="s">
        <v>47</v>
      </c>
      <c r="N768" t="s">
        <v>95</v>
      </c>
      <c r="O768" t="s">
        <v>71</v>
      </c>
      <c r="P768" t="s">
        <v>36</v>
      </c>
      <c r="Q768">
        <f>Table1[[#This Row],[Course_Fee_AED]]-Table1[[#This Row],[Amount_Paid_AED]]</f>
        <v>4116</v>
      </c>
      <c r="R768">
        <f>Table1[[#This Row],[Course_Fee_AED]]-Table1[[#This Row],[pending Revenue]]</f>
        <v>2058</v>
      </c>
    </row>
    <row r="769" spans="1:18" x14ac:dyDescent="0.25">
      <c r="A769" t="s">
        <v>846</v>
      </c>
      <c r="B769" s="2">
        <v>45469</v>
      </c>
      <c r="C769" t="s">
        <v>66</v>
      </c>
      <c r="D769" t="s">
        <v>56</v>
      </c>
      <c r="E769" t="s">
        <v>17</v>
      </c>
      <c r="F769" s="5">
        <v>6</v>
      </c>
      <c r="G769" s="5">
        <v>1</v>
      </c>
      <c r="H769" s="5">
        <v>7478</v>
      </c>
      <c r="I769" s="5">
        <v>1</v>
      </c>
      <c r="J769" s="5">
        <v>2492</v>
      </c>
      <c r="K769" t="s">
        <v>18</v>
      </c>
      <c r="L769" t="s">
        <v>40</v>
      </c>
      <c r="M769" t="s">
        <v>27</v>
      </c>
      <c r="N769" t="s">
        <v>73</v>
      </c>
      <c r="O769" t="s">
        <v>58</v>
      </c>
      <c r="P769" t="s">
        <v>36</v>
      </c>
      <c r="Q769">
        <f>Table1[[#This Row],[Course_Fee_AED]]-Table1[[#This Row],[Amount_Paid_AED]]</f>
        <v>4986</v>
      </c>
      <c r="R769">
        <f>Table1[[#This Row],[Course_Fee_AED]]-Table1[[#This Row],[pending Revenue]]</f>
        <v>2492</v>
      </c>
    </row>
    <row r="770" spans="1:18" x14ac:dyDescent="0.25">
      <c r="A770" t="s">
        <v>847</v>
      </c>
      <c r="B770" s="2">
        <v>45319</v>
      </c>
      <c r="C770" t="s">
        <v>15</v>
      </c>
      <c r="D770" t="s">
        <v>16</v>
      </c>
      <c r="E770" t="s">
        <v>17</v>
      </c>
      <c r="F770" s="5">
        <v>6</v>
      </c>
      <c r="G770" s="5">
        <v>1</v>
      </c>
      <c r="H770" s="5">
        <v>6699</v>
      </c>
      <c r="I770" s="5">
        <v>3</v>
      </c>
      <c r="J770" s="5">
        <v>6699</v>
      </c>
      <c r="K770" t="s">
        <v>33</v>
      </c>
      <c r="L770" t="s">
        <v>57</v>
      </c>
      <c r="M770" t="s">
        <v>20</v>
      </c>
      <c r="N770" t="s">
        <v>21</v>
      </c>
      <c r="O770" t="s">
        <v>29</v>
      </c>
      <c r="P770" t="s">
        <v>18</v>
      </c>
      <c r="Q770">
        <f>Table1[[#This Row],[Course_Fee_AED]]-Table1[[#This Row],[Amount_Paid_AED]]</f>
        <v>0</v>
      </c>
      <c r="R770">
        <f>Table1[[#This Row],[Course_Fee_AED]]-Table1[[#This Row],[pending Revenue]]</f>
        <v>6699</v>
      </c>
    </row>
    <row r="771" spans="1:18" x14ac:dyDescent="0.25">
      <c r="A771" t="s">
        <v>848</v>
      </c>
      <c r="B771" s="2">
        <v>45304</v>
      </c>
      <c r="C771" t="s">
        <v>15</v>
      </c>
      <c r="D771" t="s">
        <v>16</v>
      </c>
      <c r="E771" t="s">
        <v>26</v>
      </c>
      <c r="F771" s="5">
        <v>3</v>
      </c>
      <c r="G771" s="5">
        <v>1</v>
      </c>
      <c r="H771" s="5">
        <v>4245</v>
      </c>
      <c r="I771" s="5">
        <v>2</v>
      </c>
      <c r="J771" s="5">
        <v>2830</v>
      </c>
      <c r="K771" t="s">
        <v>18</v>
      </c>
      <c r="L771" t="s">
        <v>19</v>
      </c>
      <c r="M771" t="s">
        <v>60</v>
      </c>
      <c r="N771" t="s">
        <v>21</v>
      </c>
      <c r="O771" t="s">
        <v>35</v>
      </c>
      <c r="P771" t="s">
        <v>18</v>
      </c>
      <c r="Q771">
        <f>Table1[[#This Row],[Course_Fee_AED]]-Table1[[#This Row],[Amount_Paid_AED]]</f>
        <v>1415</v>
      </c>
      <c r="R771">
        <f>Table1[[#This Row],[Course_Fee_AED]]-Table1[[#This Row],[pending Revenue]]</f>
        <v>2830</v>
      </c>
    </row>
    <row r="772" spans="1:18" x14ac:dyDescent="0.25">
      <c r="A772" t="s">
        <v>849</v>
      </c>
      <c r="B772" s="2">
        <v>45547</v>
      </c>
      <c r="C772" t="s">
        <v>106</v>
      </c>
      <c r="D772" t="s">
        <v>107</v>
      </c>
      <c r="E772" t="s">
        <v>26</v>
      </c>
      <c r="F772" s="5">
        <v>3</v>
      </c>
      <c r="G772" s="5">
        <v>1</v>
      </c>
      <c r="H772" s="5">
        <v>6855</v>
      </c>
      <c r="I772" s="5">
        <v>1</v>
      </c>
      <c r="J772" s="5">
        <v>2285</v>
      </c>
      <c r="K772" t="s">
        <v>18</v>
      </c>
      <c r="L772" t="s">
        <v>19</v>
      </c>
      <c r="M772" t="s">
        <v>20</v>
      </c>
      <c r="N772" t="s">
        <v>79</v>
      </c>
      <c r="O772" t="s">
        <v>68</v>
      </c>
      <c r="P772" t="s">
        <v>36</v>
      </c>
      <c r="Q772">
        <f>Table1[[#This Row],[Course_Fee_AED]]-Table1[[#This Row],[Amount_Paid_AED]]</f>
        <v>4570</v>
      </c>
      <c r="R772">
        <f>Table1[[#This Row],[Course_Fee_AED]]-Table1[[#This Row],[pending Revenue]]</f>
        <v>2285</v>
      </c>
    </row>
    <row r="773" spans="1:18" x14ac:dyDescent="0.25">
      <c r="A773" t="s">
        <v>850</v>
      </c>
      <c r="B773" s="2">
        <v>45645</v>
      </c>
      <c r="C773" t="s">
        <v>92</v>
      </c>
      <c r="D773" t="s">
        <v>93</v>
      </c>
      <c r="E773" t="s">
        <v>17</v>
      </c>
      <c r="F773" s="5">
        <v>6</v>
      </c>
      <c r="G773" s="5">
        <v>1</v>
      </c>
      <c r="H773" s="5">
        <v>5245</v>
      </c>
      <c r="I773" s="5">
        <v>1</v>
      </c>
      <c r="J773" s="5">
        <v>1748</v>
      </c>
      <c r="K773" t="s">
        <v>18</v>
      </c>
      <c r="L773" t="s">
        <v>19</v>
      </c>
      <c r="M773" t="s">
        <v>41</v>
      </c>
      <c r="N773" t="s">
        <v>86</v>
      </c>
      <c r="O773" t="s">
        <v>64</v>
      </c>
      <c r="P773" t="s">
        <v>18</v>
      </c>
      <c r="Q773">
        <f>Table1[[#This Row],[Course_Fee_AED]]-Table1[[#This Row],[Amount_Paid_AED]]</f>
        <v>3497</v>
      </c>
      <c r="R773">
        <f>Table1[[#This Row],[Course_Fee_AED]]-Table1[[#This Row],[pending Revenue]]</f>
        <v>1748</v>
      </c>
    </row>
    <row r="774" spans="1:18" x14ac:dyDescent="0.25">
      <c r="A774" t="s">
        <v>851</v>
      </c>
      <c r="B774" s="2">
        <v>45470</v>
      </c>
      <c r="C774" t="s">
        <v>55</v>
      </c>
      <c r="D774" t="s">
        <v>56</v>
      </c>
      <c r="E774" t="s">
        <v>17</v>
      </c>
      <c r="F774" s="5">
        <v>6</v>
      </c>
      <c r="G774" s="5">
        <v>1</v>
      </c>
      <c r="H774" s="5">
        <v>9286</v>
      </c>
      <c r="I774" s="5">
        <v>3</v>
      </c>
      <c r="J774" s="5">
        <v>9285</v>
      </c>
      <c r="K774" t="s">
        <v>18</v>
      </c>
      <c r="L774" t="s">
        <v>19</v>
      </c>
      <c r="M774" t="s">
        <v>27</v>
      </c>
      <c r="N774" t="s">
        <v>90</v>
      </c>
      <c r="O774" t="s">
        <v>58</v>
      </c>
      <c r="P774" t="s">
        <v>18</v>
      </c>
      <c r="Q774">
        <f>Table1[[#This Row],[Course_Fee_AED]]-Table1[[#This Row],[Amount_Paid_AED]]</f>
        <v>1</v>
      </c>
      <c r="R774">
        <f>Table1[[#This Row],[Course_Fee_AED]]-Table1[[#This Row],[pending Revenue]]</f>
        <v>9285</v>
      </c>
    </row>
    <row r="775" spans="1:18" x14ac:dyDescent="0.25">
      <c r="A775" t="s">
        <v>852</v>
      </c>
      <c r="B775" s="2">
        <v>45494</v>
      </c>
      <c r="C775" t="s">
        <v>66</v>
      </c>
      <c r="D775" t="s">
        <v>56</v>
      </c>
      <c r="E775" t="s">
        <v>17</v>
      </c>
      <c r="F775" s="5">
        <v>6</v>
      </c>
      <c r="G775" s="5">
        <v>1</v>
      </c>
      <c r="H775" s="5">
        <v>8895</v>
      </c>
      <c r="I775" s="5">
        <v>2</v>
      </c>
      <c r="J775" s="5">
        <v>5930</v>
      </c>
      <c r="K775" t="s">
        <v>18</v>
      </c>
      <c r="L775" t="s">
        <v>19</v>
      </c>
      <c r="M775" t="s">
        <v>20</v>
      </c>
      <c r="N775" t="s">
        <v>95</v>
      </c>
      <c r="O775" t="s">
        <v>22</v>
      </c>
      <c r="P775" t="s">
        <v>18</v>
      </c>
      <c r="Q775">
        <f>Table1[[#This Row],[Course_Fee_AED]]-Table1[[#This Row],[Amount_Paid_AED]]</f>
        <v>2965</v>
      </c>
      <c r="R775">
        <f>Table1[[#This Row],[Course_Fee_AED]]-Table1[[#This Row],[pending Revenue]]</f>
        <v>5930</v>
      </c>
    </row>
    <row r="776" spans="1:18" x14ac:dyDescent="0.25">
      <c r="A776" t="s">
        <v>853</v>
      </c>
      <c r="B776" s="2">
        <v>45492</v>
      </c>
      <c r="C776" t="s">
        <v>45</v>
      </c>
      <c r="D776" t="s">
        <v>46</v>
      </c>
      <c r="E776" t="s">
        <v>26</v>
      </c>
      <c r="F776" s="5">
        <v>3</v>
      </c>
      <c r="G776" s="5">
        <v>1</v>
      </c>
      <c r="H776" s="5">
        <v>6666</v>
      </c>
      <c r="I776" s="5">
        <v>1</v>
      </c>
      <c r="J776" s="5">
        <v>2222</v>
      </c>
      <c r="K776" t="s">
        <v>18</v>
      </c>
      <c r="L776" t="s">
        <v>57</v>
      </c>
      <c r="M776" t="s">
        <v>60</v>
      </c>
      <c r="N776" t="s">
        <v>86</v>
      </c>
      <c r="O776" t="s">
        <v>87</v>
      </c>
      <c r="P776" t="s">
        <v>36</v>
      </c>
      <c r="Q776">
        <f>Table1[[#This Row],[Course_Fee_AED]]-Table1[[#This Row],[Amount_Paid_AED]]</f>
        <v>4444</v>
      </c>
      <c r="R776">
        <f>Table1[[#This Row],[Course_Fee_AED]]-Table1[[#This Row],[pending Revenue]]</f>
        <v>2222</v>
      </c>
    </row>
    <row r="777" spans="1:18" x14ac:dyDescent="0.25">
      <c r="A777" t="s">
        <v>854</v>
      </c>
      <c r="B777" s="2">
        <v>45528</v>
      </c>
      <c r="C777" t="s">
        <v>66</v>
      </c>
      <c r="D777" t="s">
        <v>56</v>
      </c>
      <c r="E777" t="s">
        <v>26</v>
      </c>
      <c r="F777" s="5">
        <v>3</v>
      </c>
      <c r="G777" s="5">
        <v>1</v>
      </c>
      <c r="H777" s="5">
        <v>9988</v>
      </c>
      <c r="I777" s="5">
        <v>1</v>
      </c>
      <c r="J777" s="5">
        <v>3329</v>
      </c>
      <c r="K777" t="s">
        <v>18</v>
      </c>
      <c r="L777" t="s">
        <v>19</v>
      </c>
      <c r="M777" t="s">
        <v>27</v>
      </c>
      <c r="N777" t="s">
        <v>53</v>
      </c>
      <c r="O777" t="s">
        <v>49</v>
      </c>
      <c r="P777" t="s">
        <v>36</v>
      </c>
      <c r="Q777">
        <f>Table1[[#This Row],[Course_Fee_AED]]-Table1[[#This Row],[Amount_Paid_AED]]</f>
        <v>6659</v>
      </c>
      <c r="R777">
        <f>Table1[[#This Row],[Course_Fee_AED]]-Table1[[#This Row],[pending Revenue]]</f>
        <v>3329</v>
      </c>
    </row>
    <row r="778" spans="1:18" x14ac:dyDescent="0.25">
      <c r="A778" t="s">
        <v>855</v>
      </c>
      <c r="B778" s="2">
        <v>45655</v>
      </c>
      <c r="C778" t="s">
        <v>45</v>
      </c>
      <c r="D778" t="s">
        <v>46</v>
      </c>
      <c r="E778" t="s">
        <v>17</v>
      </c>
      <c r="F778" s="5">
        <v>6</v>
      </c>
      <c r="G778" s="5">
        <v>1</v>
      </c>
      <c r="H778" s="5">
        <v>6191</v>
      </c>
      <c r="I778" s="5">
        <v>3</v>
      </c>
      <c r="J778" s="5">
        <v>6189</v>
      </c>
      <c r="K778" t="s">
        <v>18</v>
      </c>
      <c r="L778" t="s">
        <v>19</v>
      </c>
      <c r="M778" t="s">
        <v>20</v>
      </c>
      <c r="N778" t="s">
        <v>73</v>
      </c>
      <c r="O778" t="s">
        <v>68</v>
      </c>
      <c r="P778" t="s">
        <v>18</v>
      </c>
      <c r="Q778">
        <f>Table1[[#This Row],[Course_Fee_AED]]-Table1[[#This Row],[Amount_Paid_AED]]</f>
        <v>2</v>
      </c>
      <c r="R778">
        <f>Table1[[#This Row],[Course_Fee_AED]]-Table1[[#This Row],[pending Revenue]]</f>
        <v>6189</v>
      </c>
    </row>
    <row r="779" spans="1:18" x14ac:dyDescent="0.25">
      <c r="A779" t="s">
        <v>856</v>
      </c>
      <c r="B779" s="2">
        <v>45657</v>
      </c>
      <c r="C779" t="s">
        <v>113</v>
      </c>
      <c r="D779" t="s">
        <v>93</v>
      </c>
      <c r="E779" t="s">
        <v>26</v>
      </c>
      <c r="F779" s="5">
        <v>3</v>
      </c>
      <c r="G779" s="5">
        <v>1</v>
      </c>
      <c r="H779" s="5">
        <v>3163</v>
      </c>
      <c r="I779" s="5">
        <v>3</v>
      </c>
      <c r="J779" s="5">
        <v>3162</v>
      </c>
      <c r="K779" t="s">
        <v>18</v>
      </c>
      <c r="L779" t="s">
        <v>57</v>
      </c>
      <c r="M779" t="s">
        <v>63</v>
      </c>
      <c r="N779" t="s">
        <v>73</v>
      </c>
      <c r="O779" t="s">
        <v>71</v>
      </c>
      <c r="P779" t="s">
        <v>18</v>
      </c>
      <c r="Q779">
        <f>Table1[[#This Row],[Course_Fee_AED]]-Table1[[#This Row],[Amount_Paid_AED]]</f>
        <v>1</v>
      </c>
      <c r="R779">
        <f>Table1[[#This Row],[Course_Fee_AED]]-Table1[[#This Row],[pending Revenue]]</f>
        <v>3162</v>
      </c>
    </row>
    <row r="780" spans="1:18" x14ac:dyDescent="0.25">
      <c r="A780" t="s">
        <v>857</v>
      </c>
      <c r="B780" s="2">
        <v>45612</v>
      </c>
      <c r="C780" t="s">
        <v>106</v>
      </c>
      <c r="D780" t="s">
        <v>107</v>
      </c>
      <c r="E780" t="s">
        <v>17</v>
      </c>
      <c r="F780" s="5">
        <v>6</v>
      </c>
      <c r="G780" s="5">
        <v>1</v>
      </c>
      <c r="H780" s="5">
        <v>7566</v>
      </c>
      <c r="I780" s="5">
        <v>1</v>
      </c>
      <c r="J780" s="5">
        <v>2522</v>
      </c>
      <c r="K780" t="s">
        <v>18</v>
      </c>
      <c r="L780" t="s">
        <v>57</v>
      </c>
      <c r="M780" t="s">
        <v>27</v>
      </c>
      <c r="N780" t="s">
        <v>34</v>
      </c>
      <c r="O780" t="s">
        <v>87</v>
      </c>
      <c r="P780" t="s">
        <v>18</v>
      </c>
      <c r="Q780">
        <f>Table1[[#This Row],[Course_Fee_AED]]-Table1[[#This Row],[Amount_Paid_AED]]</f>
        <v>5044</v>
      </c>
      <c r="R780">
        <f>Table1[[#This Row],[Course_Fee_AED]]-Table1[[#This Row],[pending Revenue]]</f>
        <v>2522</v>
      </c>
    </row>
    <row r="781" spans="1:18" x14ac:dyDescent="0.25">
      <c r="A781" t="s">
        <v>858</v>
      </c>
      <c r="B781" s="2">
        <v>45605</v>
      </c>
      <c r="C781" t="s">
        <v>82</v>
      </c>
      <c r="D781" t="s">
        <v>83</v>
      </c>
      <c r="E781" t="s">
        <v>26</v>
      </c>
      <c r="F781" s="5">
        <v>3</v>
      </c>
      <c r="G781" s="5">
        <v>1</v>
      </c>
      <c r="H781" s="5">
        <v>14959</v>
      </c>
      <c r="I781" s="5">
        <v>1</v>
      </c>
      <c r="J781" s="5">
        <v>4986</v>
      </c>
      <c r="K781" t="s">
        <v>18</v>
      </c>
      <c r="L781" t="s">
        <v>57</v>
      </c>
      <c r="M781" t="s">
        <v>41</v>
      </c>
      <c r="N781" t="s">
        <v>61</v>
      </c>
      <c r="O781" t="s">
        <v>64</v>
      </c>
      <c r="P781" t="s">
        <v>36</v>
      </c>
      <c r="Q781">
        <f>Table1[[#This Row],[Course_Fee_AED]]-Table1[[#This Row],[Amount_Paid_AED]]</f>
        <v>9973</v>
      </c>
      <c r="R781">
        <f>Table1[[#This Row],[Course_Fee_AED]]-Table1[[#This Row],[pending Revenue]]</f>
        <v>4986</v>
      </c>
    </row>
    <row r="782" spans="1:18" x14ac:dyDescent="0.25">
      <c r="A782" t="s">
        <v>859</v>
      </c>
      <c r="B782" s="2">
        <v>45310</v>
      </c>
      <c r="C782" t="s">
        <v>31</v>
      </c>
      <c r="D782" t="s">
        <v>32</v>
      </c>
      <c r="E782" t="s">
        <v>26</v>
      </c>
      <c r="F782" s="5">
        <v>3</v>
      </c>
      <c r="G782" s="5">
        <v>1</v>
      </c>
      <c r="H782" s="5">
        <v>7137</v>
      </c>
      <c r="I782" s="5">
        <v>3</v>
      </c>
      <c r="J782" s="5">
        <v>7137</v>
      </c>
      <c r="K782" t="s">
        <v>33</v>
      </c>
      <c r="L782" t="s">
        <v>57</v>
      </c>
      <c r="M782" t="s">
        <v>20</v>
      </c>
      <c r="N782" t="s">
        <v>116</v>
      </c>
      <c r="O782" t="s">
        <v>43</v>
      </c>
      <c r="P782" t="s">
        <v>36</v>
      </c>
      <c r="Q782">
        <f>Table1[[#This Row],[Course_Fee_AED]]-Table1[[#This Row],[Amount_Paid_AED]]</f>
        <v>0</v>
      </c>
      <c r="R782">
        <f>Table1[[#This Row],[Course_Fee_AED]]-Table1[[#This Row],[pending Revenue]]</f>
        <v>7137</v>
      </c>
    </row>
    <row r="783" spans="1:18" x14ac:dyDescent="0.25">
      <c r="A783" t="s">
        <v>860</v>
      </c>
      <c r="B783" s="2">
        <v>45498</v>
      </c>
      <c r="C783" t="s">
        <v>15</v>
      </c>
      <c r="D783" t="s">
        <v>16</v>
      </c>
      <c r="E783" t="s">
        <v>26</v>
      </c>
      <c r="F783" s="5">
        <v>3</v>
      </c>
      <c r="G783" s="5">
        <v>1</v>
      </c>
      <c r="H783" s="5">
        <v>6095</v>
      </c>
      <c r="I783" s="5">
        <v>2</v>
      </c>
      <c r="J783" s="5">
        <v>4062</v>
      </c>
      <c r="K783" t="s">
        <v>18</v>
      </c>
      <c r="L783" t="s">
        <v>40</v>
      </c>
      <c r="M783" t="s">
        <v>27</v>
      </c>
      <c r="N783" t="s">
        <v>21</v>
      </c>
      <c r="O783" t="s">
        <v>35</v>
      </c>
      <c r="P783" t="s">
        <v>18</v>
      </c>
      <c r="Q783">
        <f>Table1[[#This Row],[Course_Fee_AED]]-Table1[[#This Row],[Amount_Paid_AED]]</f>
        <v>2033</v>
      </c>
      <c r="R783">
        <f>Table1[[#This Row],[Course_Fee_AED]]-Table1[[#This Row],[pending Revenue]]</f>
        <v>4062</v>
      </c>
    </row>
    <row r="784" spans="1:18" x14ac:dyDescent="0.25">
      <c r="A784" t="s">
        <v>861</v>
      </c>
      <c r="B784" s="2">
        <v>45613</v>
      </c>
      <c r="C784" t="s">
        <v>45</v>
      </c>
      <c r="D784" t="s">
        <v>46</v>
      </c>
      <c r="E784" t="s">
        <v>26</v>
      </c>
      <c r="F784" s="5">
        <v>3</v>
      </c>
      <c r="G784" s="5">
        <v>1</v>
      </c>
      <c r="H784" s="5">
        <v>4427</v>
      </c>
      <c r="I784" s="5">
        <v>2</v>
      </c>
      <c r="J784" s="5">
        <v>2950</v>
      </c>
      <c r="K784" t="s">
        <v>18</v>
      </c>
      <c r="L784" t="s">
        <v>40</v>
      </c>
      <c r="M784" t="s">
        <v>60</v>
      </c>
      <c r="N784" t="s">
        <v>28</v>
      </c>
      <c r="O784" t="s">
        <v>43</v>
      </c>
      <c r="P784" t="s">
        <v>36</v>
      </c>
      <c r="Q784">
        <f>Table1[[#This Row],[Course_Fee_AED]]-Table1[[#This Row],[Amount_Paid_AED]]</f>
        <v>1477</v>
      </c>
      <c r="R784">
        <f>Table1[[#This Row],[Course_Fee_AED]]-Table1[[#This Row],[pending Revenue]]</f>
        <v>2950</v>
      </c>
    </row>
    <row r="785" spans="1:18" x14ac:dyDescent="0.25">
      <c r="A785" t="s">
        <v>862</v>
      </c>
      <c r="B785" s="2">
        <v>45339</v>
      </c>
      <c r="C785" t="s">
        <v>100</v>
      </c>
      <c r="D785" t="s">
        <v>101</v>
      </c>
      <c r="E785" t="s">
        <v>26</v>
      </c>
      <c r="F785" s="5">
        <v>3</v>
      </c>
      <c r="G785" s="5">
        <v>1</v>
      </c>
      <c r="H785" s="5">
        <v>5053</v>
      </c>
      <c r="I785" s="5">
        <v>3</v>
      </c>
      <c r="J785" s="5">
        <v>5052</v>
      </c>
      <c r="K785" t="s">
        <v>18</v>
      </c>
      <c r="L785" t="s">
        <v>19</v>
      </c>
      <c r="M785" t="s">
        <v>20</v>
      </c>
      <c r="N785" t="s">
        <v>73</v>
      </c>
      <c r="O785" t="s">
        <v>68</v>
      </c>
      <c r="P785" t="s">
        <v>36</v>
      </c>
      <c r="Q785">
        <f>Table1[[#This Row],[Course_Fee_AED]]-Table1[[#This Row],[Amount_Paid_AED]]</f>
        <v>1</v>
      </c>
      <c r="R785">
        <f>Table1[[#This Row],[Course_Fee_AED]]-Table1[[#This Row],[pending Revenue]]</f>
        <v>5052</v>
      </c>
    </row>
    <row r="786" spans="1:18" x14ac:dyDescent="0.25">
      <c r="A786" t="s">
        <v>863</v>
      </c>
      <c r="B786" s="2">
        <v>45522</v>
      </c>
      <c r="C786" t="s">
        <v>31</v>
      </c>
      <c r="D786" t="s">
        <v>32</v>
      </c>
      <c r="E786" t="s">
        <v>26</v>
      </c>
      <c r="F786" s="5">
        <v>3</v>
      </c>
      <c r="G786" s="5">
        <v>1</v>
      </c>
      <c r="H786" s="5">
        <v>7000</v>
      </c>
      <c r="I786" s="5">
        <v>1</v>
      </c>
      <c r="J786" s="5">
        <v>2333</v>
      </c>
      <c r="K786" t="s">
        <v>18</v>
      </c>
      <c r="L786" t="s">
        <v>19</v>
      </c>
      <c r="M786" t="s">
        <v>41</v>
      </c>
      <c r="N786" t="s">
        <v>21</v>
      </c>
      <c r="O786" t="s">
        <v>35</v>
      </c>
      <c r="P786" t="s">
        <v>18</v>
      </c>
      <c r="Q786">
        <f>Table1[[#This Row],[Course_Fee_AED]]-Table1[[#This Row],[Amount_Paid_AED]]</f>
        <v>4667</v>
      </c>
      <c r="R786">
        <f>Table1[[#This Row],[Course_Fee_AED]]-Table1[[#This Row],[pending Revenue]]</f>
        <v>2333</v>
      </c>
    </row>
    <row r="787" spans="1:18" x14ac:dyDescent="0.25">
      <c r="A787" t="s">
        <v>864</v>
      </c>
      <c r="B787" s="2">
        <v>45308</v>
      </c>
      <c r="C787" t="s">
        <v>75</v>
      </c>
      <c r="D787" t="s">
        <v>76</v>
      </c>
      <c r="E787" t="s">
        <v>26</v>
      </c>
      <c r="F787" s="5">
        <v>3</v>
      </c>
      <c r="G787" s="5">
        <v>1</v>
      </c>
      <c r="H787" s="5">
        <v>9602</v>
      </c>
      <c r="I787" s="5">
        <v>2</v>
      </c>
      <c r="J787" s="5">
        <v>6400</v>
      </c>
      <c r="K787" t="s">
        <v>18</v>
      </c>
      <c r="L787" t="s">
        <v>40</v>
      </c>
      <c r="M787" t="s">
        <v>41</v>
      </c>
      <c r="N787" t="s">
        <v>42</v>
      </c>
      <c r="O787" t="s">
        <v>71</v>
      </c>
      <c r="P787" t="s">
        <v>36</v>
      </c>
      <c r="Q787">
        <f>Table1[[#This Row],[Course_Fee_AED]]-Table1[[#This Row],[Amount_Paid_AED]]</f>
        <v>3202</v>
      </c>
      <c r="R787">
        <f>Table1[[#This Row],[Course_Fee_AED]]-Table1[[#This Row],[pending Revenue]]</f>
        <v>6400</v>
      </c>
    </row>
    <row r="788" spans="1:18" x14ac:dyDescent="0.25">
      <c r="A788" t="s">
        <v>865</v>
      </c>
      <c r="B788" s="2">
        <v>45582</v>
      </c>
      <c r="C788" t="s">
        <v>51</v>
      </c>
      <c r="D788" t="s">
        <v>52</v>
      </c>
      <c r="E788" t="s">
        <v>17</v>
      </c>
      <c r="F788" s="5">
        <v>6</v>
      </c>
      <c r="G788" s="5">
        <v>1</v>
      </c>
      <c r="H788" s="5">
        <v>5432</v>
      </c>
      <c r="I788" s="5">
        <v>1</v>
      </c>
      <c r="J788" s="5">
        <v>1810</v>
      </c>
      <c r="K788" t="s">
        <v>18</v>
      </c>
      <c r="L788" t="s">
        <v>57</v>
      </c>
      <c r="M788" t="s">
        <v>63</v>
      </c>
      <c r="N788" t="s">
        <v>154</v>
      </c>
      <c r="O788" t="s">
        <v>43</v>
      </c>
      <c r="P788" t="s">
        <v>18</v>
      </c>
      <c r="Q788">
        <f>Table1[[#This Row],[Course_Fee_AED]]-Table1[[#This Row],[Amount_Paid_AED]]</f>
        <v>3622</v>
      </c>
      <c r="R788">
        <f>Table1[[#This Row],[Course_Fee_AED]]-Table1[[#This Row],[pending Revenue]]</f>
        <v>1810</v>
      </c>
    </row>
    <row r="789" spans="1:18" x14ac:dyDescent="0.25">
      <c r="A789" t="s">
        <v>866</v>
      </c>
      <c r="B789" s="2">
        <v>45483</v>
      </c>
      <c r="C789" t="s">
        <v>45</v>
      </c>
      <c r="D789" t="s">
        <v>46</v>
      </c>
      <c r="E789" t="s">
        <v>17</v>
      </c>
      <c r="F789" s="5">
        <v>6</v>
      </c>
      <c r="G789" s="5">
        <v>1</v>
      </c>
      <c r="H789" s="5">
        <v>5728</v>
      </c>
      <c r="I789" s="5">
        <v>3</v>
      </c>
      <c r="J789" s="5">
        <v>5727</v>
      </c>
      <c r="K789" t="s">
        <v>18</v>
      </c>
      <c r="L789" t="s">
        <v>40</v>
      </c>
      <c r="M789" t="s">
        <v>60</v>
      </c>
      <c r="N789" t="s">
        <v>86</v>
      </c>
      <c r="O789" t="s">
        <v>68</v>
      </c>
      <c r="P789" t="s">
        <v>36</v>
      </c>
      <c r="Q789">
        <f>Table1[[#This Row],[Course_Fee_AED]]-Table1[[#This Row],[Amount_Paid_AED]]</f>
        <v>1</v>
      </c>
      <c r="R789">
        <f>Table1[[#This Row],[Course_Fee_AED]]-Table1[[#This Row],[pending Revenue]]</f>
        <v>5727</v>
      </c>
    </row>
    <row r="790" spans="1:18" x14ac:dyDescent="0.25">
      <c r="A790" t="s">
        <v>867</v>
      </c>
      <c r="B790" s="2">
        <v>45452</v>
      </c>
      <c r="C790" t="s">
        <v>92</v>
      </c>
      <c r="D790" t="s">
        <v>93</v>
      </c>
      <c r="E790" t="s">
        <v>26</v>
      </c>
      <c r="F790" s="5">
        <v>3</v>
      </c>
      <c r="G790" s="5">
        <v>1</v>
      </c>
      <c r="H790" s="5">
        <v>5137</v>
      </c>
      <c r="I790" s="5">
        <v>2</v>
      </c>
      <c r="J790" s="5">
        <v>3424</v>
      </c>
      <c r="K790" t="s">
        <v>18</v>
      </c>
      <c r="L790" t="s">
        <v>57</v>
      </c>
      <c r="M790" t="s">
        <v>41</v>
      </c>
      <c r="N790" t="s">
        <v>86</v>
      </c>
      <c r="O790" t="s">
        <v>22</v>
      </c>
      <c r="P790" t="s">
        <v>18</v>
      </c>
      <c r="Q790">
        <f>Table1[[#This Row],[Course_Fee_AED]]-Table1[[#This Row],[Amount_Paid_AED]]</f>
        <v>1713</v>
      </c>
      <c r="R790">
        <f>Table1[[#This Row],[Course_Fee_AED]]-Table1[[#This Row],[pending Revenue]]</f>
        <v>3424</v>
      </c>
    </row>
    <row r="791" spans="1:18" x14ac:dyDescent="0.25">
      <c r="A791" t="s">
        <v>868</v>
      </c>
      <c r="B791" s="2">
        <v>45411</v>
      </c>
      <c r="C791" t="s">
        <v>45</v>
      </c>
      <c r="D791" t="s">
        <v>46</v>
      </c>
      <c r="E791" t="s">
        <v>26</v>
      </c>
      <c r="F791" s="5">
        <v>3</v>
      </c>
      <c r="G791" s="5">
        <v>1</v>
      </c>
      <c r="H791" s="5">
        <v>6951</v>
      </c>
      <c r="I791" s="5">
        <v>1</v>
      </c>
      <c r="J791" s="5">
        <v>2317</v>
      </c>
      <c r="K791" t="s">
        <v>18</v>
      </c>
      <c r="L791" t="s">
        <v>40</v>
      </c>
      <c r="M791" t="s">
        <v>20</v>
      </c>
      <c r="N791" t="s">
        <v>42</v>
      </c>
      <c r="O791" t="s">
        <v>49</v>
      </c>
      <c r="P791" t="s">
        <v>36</v>
      </c>
      <c r="Q791">
        <f>Table1[[#This Row],[Course_Fee_AED]]-Table1[[#This Row],[Amount_Paid_AED]]</f>
        <v>4634</v>
      </c>
      <c r="R791">
        <f>Table1[[#This Row],[Course_Fee_AED]]-Table1[[#This Row],[pending Revenue]]</f>
        <v>2317</v>
      </c>
    </row>
    <row r="792" spans="1:18" x14ac:dyDescent="0.25">
      <c r="A792" t="s">
        <v>869</v>
      </c>
      <c r="B792" s="2">
        <v>45395</v>
      </c>
      <c r="C792" t="s">
        <v>113</v>
      </c>
      <c r="D792" t="s">
        <v>93</v>
      </c>
      <c r="E792" t="s">
        <v>17</v>
      </c>
      <c r="F792" s="5">
        <v>6</v>
      </c>
      <c r="G792" s="5">
        <v>1</v>
      </c>
      <c r="H792" s="5">
        <v>3077</v>
      </c>
      <c r="I792" s="5">
        <v>1</v>
      </c>
      <c r="J792" s="5">
        <v>1025</v>
      </c>
      <c r="K792" t="s">
        <v>18</v>
      </c>
      <c r="L792" t="s">
        <v>19</v>
      </c>
      <c r="M792" t="s">
        <v>60</v>
      </c>
      <c r="N792" t="s">
        <v>48</v>
      </c>
      <c r="O792" t="s">
        <v>71</v>
      </c>
      <c r="P792" t="s">
        <v>18</v>
      </c>
      <c r="Q792">
        <f>Table1[[#This Row],[Course_Fee_AED]]-Table1[[#This Row],[Amount_Paid_AED]]</f>
        <v>2052</v>
      </c>
      <c r="R792">
        <f>Table1[[#This Row],[Course_Fee_AED]]-Table1[[#This Row],[pending Revenue]]</f>
        <v>1025</v>
      </c>
    </row>
    <row r="793" spans="1:18" x14ac:dyDescent="0.25">
      <c r="A793" t="s">
        <v>870</v>
      </c>
      <c r="B793" s="2">
        <v>45434</v>
      </c>
      <c r="C793" t="s">
        <v>15</v>
      </c>
      <c r="D793" t="s">
        <v>16</v>
      </c>
      <c r="E793" t="s">
        <v>26</v>
      </c>
      <c r="F793" s="5">
        <v>3</v>
      </c>
      <c r="G793" s="5">
        <v>1</v>
      </c>
      <c r="H793" s="5">
        <v>5523</v>
      </c>
      <c r="I793" s="5">
        <v>2</v>
      </c>
      <c r="J793" s="5">
        <v>3682</v>
      </c>
      <c r="K793" t="s">
        <v>18</v>
      </c>
      <c r="L793" t="s">
        <v>19</v>
      </c>
      <c r="M793" t="s">
        <v>20</v>
      </c>
      <c r="N793" t="s">
        <v>42</v>
      </c>
      <c r="O793" t="s">
        <v>68</v>
      </c>
      <c r="P793" t="s">
        <v>18</v>
      </c>
      <c r="Q793">
        <f>Table1[[#This Row],[Course_Fee_AED]]-Table1[[#This Row],[Amount_Paid_AED]]</f>
        <v>1841</v>
      </c>
      <c r="R793">
        <f>Table1[[#This Row],[Course_Fee_AED]]-Table1[[#This Row],[pending Revenue]]</f>
        <v>3682</v>
      </c>
    </row>
    <row r="794" spans="1:18" x14ac:dyDescent="0.25">
      <c r="A794" t="s">
        <v>871</v>
      </c>
      <c r="B794" s="2">
        <v>45589</v>
      </c>
      <c r="C794" t="s">
        <v>82</v>
      </c>
      <c r="D794" t="s">
        <v>83</v>
      </c>
      <c r="E794" t="s">
        <v>17</v>
      </c>
      <c r="F794" s="5">
        <v>6</v>
      </c>
      <c r="G794" s="5">
        <v>1</v>
      </c>
      <c r="H794" s="5">
        <v>10209</v>
      </c>
      <c r="I794" s="5">
        <v>2</v>
      </c>
      <c r="J794" s="5">
        <v>6806</v>
      </c>
      <c r="K794" t="s">
        <v>18</v>
      </c>
      <c r="L794" t="s">
        <v>40</v>
      </c>
      <c r="M794" t="s">
        <v>60</v>
      </c>
      <c r="N794" t="s">
        <v>48</v>
      </c>
      <c r="O794" t="s">
        <v>22</v>
      </c>
      <c r="P794" t="s">
        <v>36</v>
      </c>
      <c r="Q794">
        <f>Table1[[#This Row],[Course_Fee_AED]]-Table1[[#This Row],[Amount_Paid_AED]]</f>
        <v>3403</v>
      </c>
      <c r="R794">
        <f>Table1[[#This Row],[Course_Fee_AED]]-Table1[[#This Row],[pending Revenue]]</f>
        <v>6806</v>
      </c>
    </row>
    <row r="795" spans="1:18" x14ac:dyDescent="0.25">
      <c r="A795" t="s">
        <v>872</v>
      </c>
      <c r="B795" s="2">
        <v>45638</v>
      </c>
      <c r="C795" t="s">
        <v>55</v>
      </c>
      <c r="D795" t="s">
        <v>56</v>
      </c>
      <c r="E795" t="s">
        <v>17</v>
      </c>
      <c r="F795" s="5">
        <v>6</v>
      </c>
      <c r="G795" s="5">
        <v>1</v>
      </c>
      <c r="H795" s="5">
        <v>8617</v>
      </c>
      <c r="I795" s="5">
        <v>1</v>
      </c>
      <c r="J795" s="5">
        <v>2872</v>
      </c>
      <c r="K795" t="s">
        <v>18</v>
      </c>
      <c r="L795" t="s">
        <v>40</v>
      </c>
      <c r="M795" t="s">
        <v>41</v>
      </c>
      <c r="N795" t="s">
        <v>79</v>
      </c>
      <c r="O795" t="s">
        <v>58</v>
      </c>
      <c r="P795" t="s">
        <v>18</v>
      </c>
      <c r="Q795">
        <f>Table1[[#This Row],[Course_Fee_AED]]-Table1[[#This Row],[Amount_Paid_AED]]</f>
        <v>5745</v>
      </c>
      <c r="R795">
        <f>Table1[[#This Row],[Course_Fee_AED]]-Table1[[#This Row],[pending Revenue]]</f>
        <v>2872</v>
      </c>
    </row>
    <row r="796" spans="1:18" x14ac:dyDescent="0.25">
      <c r="A796" t="s">
        <v>873</v>
      </c>
      <c r="B796" s="2">
        <v>45523</v>
      </c>
      <c r="C796" t="s">
        <v>75</v>
      </c>
      <c r="D796" t="s">
        <v>76</v>
      </c>
      <c r="E796" t="s">
        <v>17</v>
      </c>
      <c r="F796" s="5">
        <v>6</v>
      </c>
      <c r="G796" s="5">
        <v>1</v>
      </c>
      <c r="H796" s="5">
        <v>14701</v>
      </c>
      <c r="I796" s="5">
        <v>3</v>
      </c>
      <c r="J796" s="5">
        <v>14700</v>
      </c>
      <c r="K796" t="s">
        <v>18</v>
      </c>
      <c r="L796" t="s">
        <v>19</v>
      </c>
      <c r="M796" t="s">
        <v>41</v>
      </c>
      <c r="N796" t="s">
        <v>116</v>
      </c>
      <c r="O796" t="s">
        <v>29</v>
      </c>
      <c r="P796" t="s">
        <v>18</v>
      </c>
      <c r="Q796">
        <f>Table1[[#This Row],[Course_Fee_AED]]-Table1[[#This Row],[Amount_Paid_AED]]</f>
        <v>1</v>
      </c>
      <c r="R796">
        <f>Table1[[#This Row],[Course_Fee_AED]]-Table1[[#This Row],[pending Revenue]]</f>
        <v>14700</v>
      </c>
    </row>
    <row r="797" spans="1:18" x14ac:dyDescent="0.25">
      <c r="A797" t="s">
        <v>874</v>
      </c>
      <c r="B797" s="2">
        <v>45477</v>
      </c>
      <c r="C797" t="s">
        <v>38</v>
      </c>
      <c r="D797" t="s">
        <v>39</v>
      </c>
      <c r="E797" t="s">
        <v>17</v>
      </c>
      <c r="F797" s="5">
        <v>6</v>
      </c>
      <c r="G797" s="5">
        <v>1</v>
      </c>
      <c r="H797" s="5">
        <v>5203</v>
      </c>
      <c r="I797" s="5">
        <v>3</v>
      </c>
      <c r="J797" s="5">
        <v>5202</v>
      </c>
      <c r="K797" t="s">
        <v>18</v>
      </c>
      <c r="L797" t="s">
        <v>40</v>
      </c>
      <c r="M797" t="s">
        <v>60</v>
      </c>
      <c r="N797" t="s">
        <v>86</v>
      </c>
      <c r="O797" t="s">
        <v>29</v>
      </c>
      <c r="P797" t="s">
        <v>36</v>
      </c>
      <c r="Q797">
        <f>Table1[[#This Row],[Course_Fee_AED]]-Table1[[#This Row],[Amount_Paid_AED]]</f>
        <v>1</v>
      </c>
      <c r="R797">
        <f>Table1[[#This Row],[Course_Fee_AED]]-Table1[[#This Row],[pending Revenue]]</f>
        <v>5202</v>
      </c>
    </row>
    <row r="798" spans="1:18" x14ac:dyDescent="0.25">
      <c r="A798" t="s">
        <v>875</v>
      </c>
      <c r="B798" s="2">
        <v>45610</v>
      </c>
      <c r="C798" t="s">
        <v>51</v>
      </c>
      <c r="D798" t="s">
        <v>52</v>
      </c>
      <c r="E798" t="s">
        <v>26</v>
      </c>
      <c r="F798" s="5">
        <v>3</v>
      </c>
      <c r="G798" s="5">
        <v>1</v>
      </c>
      <c r="H798" s="5">
        <v>4695</v>
      </c>
      <c r="I798" s="5">
        <v>3</v>
      </c>
      <c r="J798" s="5">
        <v>4695</v>
      </c>
      <c r="K798" t="s">
        <v>33</v>
      </c>
      <c r="L798" t="s">
        <v>40</v>
      </c>
      <c r="M798" t="s">
        <v>41</v>
      </c>
      <c r="N798" t="s">
        <v>79</v>
      </c>
      <c r="O798" t="s">
        <v>68</v>
      </c>
      <c r="P798" t="s">
        <v>36</v>
      </c>
      <c r="Q798">
        <f>Table1[[#This Row],[Course_Fee_AED]]-Table1[[#This Row],[Amount_Paid_AED]]</f>
        <v>0</v>
      </c>
      <c r="R798">
        <f>Table1[[#This Row],[Course_Fee_AED]]-Table1[[#This Row],[pending Revenue]]</f>
        <v>4695</v>
      </c>
    </row>
    <row r="799" spans="1:18" x14ac:dyDescent="0.25">
      <c r="A799" t="s">
        <v>876</v>
      </c>
      <c r="B799" s="2">
        <v>45565</v>
      </c>
      <c r="C799" t="s">
        <v>100</v>
      </c>
      <c r="D799" t="s">
        <v>101</v>
      </c>
      <c r="E799" t="s">
        <v>17</v>
      </c>
      <c r="F799" s="5">
        <v>6</v>
      </c>
      <c r="G799" s="5">
        <v>1</v>
      </c>
      <c r="H799" s="5">
        <v>5347</v>
      </c>
      <c r="I799" s="5">
        <v>1</v>
      </c>
      <c r="J799" s="5">
        <v>1782</v>
      </c>
      <c r="K799" t="s">
        <v>18</v>
      </c>
      <c r="L799" t="s">
        <v>19</v>
      </c>
      <c r="M799" t="s">
        <v>20</v>
      </c>
      <c r="N799" t="s">
        <v>86</v>
      </c>
      <c r="O799" t="s">
        <v>49</v>
      </c>
      <c r="P799" t="s">
        <v>36</v>
      </c>
      <c r="Q799">
        <f>Table1[[#This Row],[Course_Fee_AED]]-Table1[[#This Row],[Amount_Paid_AED]]</f>
        <v>3565</v>
      </c>
      <c r="R799">
        <f>Table1[[#This Row],[Course_Fee_AED]]-Table1[[#This Row],[pending Revenue]]</f>
        <v>1782</v>
      </c>
    </row>
    <row r="800" spans="1:18" x14ac:dyDescent="0.25">
      <c r="A800" t="s">
        <v>877</v>
      </c>
      <c r="B800" s="2">
        <v>45326</v>
      </c>
      <c r="C800" t="s">
        <v>31</v>
      </c>
      <c r="D800" t="s">
        <v>32</v>
      </c>
      <c r="E800" t="s">
        <v>17</v>
      </c>
      <c r="F800" s="5">
        <v>6</v>
      </c>
      <c r="G800" s="5">
        <v>1</v>
      </c>
      <c r="H800" s="5">
        <v>4533</v>
      </c>
      <c r="I800" s="5">
        <v>1</v>
      </c>
      <c r="J800" s="5">
        <v>1511</v>
      </c>
      <c r="K800" t="s">
        <v>18</v>
      </c>
      <c r="L800" t="s">
        <v>40</v>
      </c>
      <c r="M800" t="s">
        <v>60</v>
      </c>
      <c r="N800" t="s">
        <v>28</v>
      </c>
      <c r="O800" t="s">
        <v>58</v>
      </c>
      <c r="P800" t="s">
        <v>18</v>
      </c>
      <c r="Q800">
        <f>Table1[[#This Row],[Course_Fee_AED]]-Table1[[#This Row],[Amount_Paid_AED]]</f>
        <v>3022</v>
      </c>
      <c r="R800">
        <f>Table1[[#This Row],[Course_Fee_AED]]-Table1[[#This Row],[pending Revenue]]</f>
        <v>1511</v>
      </c>
    </row>
    <row r="801" spans="1:18" x14ac:dyDescent="0.25">
      <c r="A801" t="s">
        <v>878</v>
      </c>
      <c r="B801" s="2">
        <v>45520</v>
      </c>
      <c r="C801" t="s">
        <v>113</v>
      </c>
      <c r="D801" t="s">
        <v>93</v>
      </c>
      <c r="E801" t="s">
        <v>26</v>
      </c>
      <c r="F801" s="5">
        <v>3</v>
      </c>
      <c r="G801" s="5">
        <v>1</v>
      </c>
      <c r="H801" s="5">
        <v>3132</v>
      </c>
      <c r="I801" s="5">
        <v>3</v>
      </c>
      <c r="J801" s="5">
        <v>3132</v>
      </c>
      <c r="K801" t="s">
        <v>33</v>
      </c>
      <c r="L801" t="s">
        <v>40</v>
      </c>
      <c r="M801" t="s">
        <v>60</v>
      </c>
      <c r="N801" t="s">
        <v>34</v>
      </c>
      <c r="O801" t="s">
        <v>22</v>
      </c>
      <c r="P801" t="s">
        <v>36</v>
      </c>
      <c r="Q801">
        <f>Table1[[#This Row],[Course_Fee_AED]]-Table1[[#This Row],[Amount_Paid_AED]]</f>
        <v>0</v>
      </c>
      <c r="R801">
        <f>Table1[[#This Row],[Course_Fee_AED]]-Table1[[#This Row],[pending Revenue]]</f>
        <v>3132</v>
      </c>
    </row>
    <row r="802" spans="1:18" x14ac:dyDescent="0.25">
      <c r="A802" t="s">
        <v>879</v>
      </c>
      <c r="B802" s="2">
        <v>45610</v>
      </c>
      <c r="C802" t="s">
        <v>113</v>
      </c>
      <c r="D802" t="s">
        <v>93</v>
      </c>
      <c r="E802" t="s">
        <v>26</v>
      </c>
      <c r="F802" s="5">
        <v>3</v>
      </c>
      <c r="G802" s="5">
        <v>1</v>
      </c>
      <c r="H802" s="5">
        <v>4824</v>
      </c>
      <c r="I802" s="5">
        <v>3</v>
      </c>
      <c r="J802" s="5">
        <v>4824</v>
      </c>
      <c r="K802" t="s">
        <v>33</v>
      </c>
      <c r="L802" t="s">
        <v>40</v>
      </c>
      <c r="M802" t="s">
        <v>27</v>
      </c>
      <c r="N802" t="s">
        <v>86</v>
      </c>
      <c r="O802" t="s">
        <v>71</v>
      </c>
      <c r="P802" t="s">
        <v>18</v>
      </c>
      <c r="Q802">
        <f>Table1[[#This Row],[Course_Fee_AED]]-Table1[[#This Row],[Amount_Paid_AED]]</f>
        <v>0</v>
      </c>
      <c r="R802">
        <f>Table1[[#This Row],[Course_Fee_AED]]-Table1[[#This Row],[pending Revenue]]</f>
        <v>4824</v>
      </c>
    </row>
    <row r="803" spans="1:18" x14ac:dyDescent="0.25">
      <c r="A803" t="s">
        <v>880</v>
      </c>
      <c r="B803" s="2">
        <v>45627</v>
      </c>
      <c r="C803" t="s">
        <v>38</v>
      </c>
      <c r="D803" t="s">
        <v>39</v>
      </c>
      <c r="E803" t="s">
        <v>17</v>
      </c>
      <c r="F803" s="5">
        <v>6</v>
      </c>
      <c r="G803" s="5">
        <v>1</v>
      </c>
      <c r="H803" s="5">
        <v>5626</v>
      </c>
      <c r="I803" s="5">
        <v>3</v>
      </c>
      <c r="J803" s="5">
        <v>5625</v>
      </c>
      <c r="K803" t="s">
        <v>18</v>
      </c>
      <c r="L803" t="s">
        <v>19</v>
      </c>
      <c r="M803" t="s">
        <v>20</v>
      </c>
      <c r="N803" t="s">
        <v>116</v>
      </c>
      <c r="O803" t="s">
        <v>68</v>
      </c>
      <c r="P803" t="s">
        <v>18</v>
      </c>
      <c r="Q803">
        <f>Table1[[#This Row],[Course_Fee_AED]]-Table1[[#This Row],[Amount_Paid_AED]]</f>
        <v>1</v>
      </c>
      <c r="R803">
        <f>Table1[[#This Row],[Course_Fee_AED]]-Table1[[#This Row],[pending Revenue]]</f>
        <v>5625</v>
      </c>
    </row>
    <row r="804" spans="1:18" x14ac:dyDescent="0.25">
      <c r="A804" t="s">
        <v>881</v>
      </c>
      <c r="B804" s="2">
        <v>45386</v>
      </c>
      <c r="C804" t="s">
        <v>31</v>
      </c>
      <c r="D804" t="s">
        <v>32</v>
      </c>
      <c r="E804" t="s">
        <v>26</v>
      </c>
      <c r="F804" s="5">
        <v>3</v>
      </c>
      <c r="G804" s="5">
        <v>1</v>
      </c>
      <c r="H804" s="5">
        <v>5037</v>
      </c>
      <c r="I804" s="5">
        <v>1</v>
      </c>
      <c r="J804" s="5">
        <v>1679</v>
      </c>
      <c r="K804" t="s">
        <v>18</v>
      </c>
      <c r="L804" t="s">
        <v>40</v>
      </c>
      <c r="M804" t="s">
        <v>27</v>
      </c>
      <c r="N804" t="s">
        <v>34</v>
      </c>
      <c r="O804" t="s">
        <v>35</v>
      </c>
      <c r="P804" t="s">
        <v>18</v>
      </c>
      <c r="Q804">
        <f>Table1[[#This Row],[Course_Fee_AED]]-Table1[[#This Row],[Amount_Paid_AED]]</f>
        <v>3358</v>
      </c>
      <c r="R804">
        <f>Table1[[#This Row],[Course_Fee_AED]]-Table1[[#This Row],[pending Revenue]]</f>
        <v>1679</v>
      </c>
    </row>
    <row r="805" spans="1:18" x14ac:dyDescent="0.25">
      <c r="A805" t="s">
        <v>882</v>
      </c>
      <c r="B805" s="2">
        <v>45524</v>
      </c>
      <c r="C805" t="s">
        <v>38</v>
      </c>
      <c r="D805" t="s">
        <v>39</v>
      </c>
      <c r="E805" t="s">
        <v>17</v>
      </c>
      <c r="F805" s="5">
        <v>6</v>
      </c>
      <c r="G805" s="5">
        <v>1</v>
      </c>
      <c r="H805" s="5">
        <v>5841</v>
      </c>
      <c r="I805" s="5">
        <v>1</v>
      </c>
      <c r="J805" s="5">
        <v>1947</v>
      </c>
      <c r="K805" t="s">
        <v>18</v>
      </c>
      <c r="L805" t="s">
        <v>40</v>
      </c>
      <c r="M805" t="s">
        <v>20</v>
      </c>
      <c r="N805" t="s">
        <v>48</v>
      </c>
      <c r="O805" t="s">
        <v>58</v>
      </c>
      <c r="P805" t="s">
        <v>36</v>
      </c>
      <c r="Q805">
        <f>Table1[[#This Row],[Course_Fee_AED]]-Table1[[#This Row],[Amount_Paid_AED]]</f>
        <v>3894</v>
      </c>
      <c r="R805">
        <f>Table1[[#This Row],[Course_Fee_AED]]-Table1[[#This Row],[pending Revenue]]</f>
        <v>1947</v>
      </c>
    </row>
    <row r="806" spans="1:18" x14ac:dyDescent="0.25">
      <c r="A806" t="s">
        <v>883</v>
      </c>
      <c r="B806" s="2">
        <v>45562</v>
      </c>
      <c r="C806" t="s">
        <v>66</v>
      </c>
      <c r="D806" t="s">
        <v>56</v>
      </c>
      <c r="E806" t="s">
        <v>17</v>
      </c>
      <c r="F806" s="5">
        <v>6</v>
      </c>
      <c r="G806" s="5">
        <v>1</v>
      </c>
      <c r="H806" s="5">
        <v>10154</v>
      </c>
      <c r="I806" s="5">
        <v>2</v>
      </c>
      <c r="J806" s="5">
        <v>6768</v>
      </c>
      <c r="K806" t="s">
        <v>18</v>
      </c>
      <c r="L806" t="s">
        <v>57</v>
      </c>
      <c r="M806" t="s">
        <v>63</v>
      </c>
      <c r="N806" t="s">
        <v>116</v>
      </c>
      <c r="O806" t="s">
        <v>35</v>
      </c>
      <c r="P806" t="s">
        <v>36</v>
      </c>
      <c r="Q806">
        <f>Table1[[#This Row],[Course_Fee_AED]]-Table1[[#This Row],[Amount_Paid_AED]]</f>
        <v>3386</v>
      </c>
      <c r="R806">
        <f>Table1[[#This Row],[Course_Fee_AED]]-Table1[[#This Row],[pending Revenue]]</f>
        <v>6768</v>
      </c>
    </row>
    <row r="807" spans="1:18" x14ac:dyDescent="0.25">
      <c r="A807" t="s">
        <v>884</v>
      </c>
      <c r="B807" s="2">
        <v>45548</v>
      </c>
      <c r="C807" t="s">
        <v>55</v>
      </c>
      <c r="D807" t="s">
        <v>56</v>
      </c>
      <c r="E807" t="s">
        <v>26</v>
      </c>
      <c r="F807" s="5">
        <v>3</v>
      </c>
      <c r="G807" s="5">
        <v>1</v>
      </c>
      <c r="H807" s="5">
        <v>10357</v>
      </c>
      <c r="I807" s="5">
        <v>2</v>
      </c>
      <c r="J807" s="5">
        <v>6904</v>
      </c>
      <c r="K807" t="s">
        <v>18</v>
      </c>
      <c r="L807" t="s">
        <v>57</v>
      </c>
      <c r="M807" t="s">
        <v>63</v>
      </c>
      <c r="N807" t="s">
        <v>61</v>
      </c>
      <c r="O807" t="s">
        <v>71</v>
      </c>
      <c r="P807" t="s">
        <v>18</v>
      </c>
      <c r="Q807">
        <f>Table1[[#This Row],[Course_Fee_AED]]-Table1[[#This Row],[Amount_Paid_AED]]</f>
        <v>3453</v>
      </c>
      <c r="R807">
        <f>Table1[[#This Row],[Course_Fee_AED]]-Table1[[#This Row],[pending Revenue]]</f>
        <v>6904</v>
      </c>
    </row>
    <row r="808" spans="1:18" x14ac:dyDescent="0.25">
      <c r="A808" t="s">
        <v>885</v>
      </c>
      <c r="B808" s="2">
        <v>45364</v>
      </c>
      <c r="C808" t="s">
        <v>75</v>
      </c>
      <c r="D808" t="s">
        <v>76</v>
      </c>
      <c r="E808" t="s">
        <v>17</v>
      </c>
      <c r="F808" s="5">
        <v>6</v>
      </c>
      <c r="G808" s="5">
        <v>1</v>
      </c>
      <c r="H808" s="5">
        <v>8130</v>
      </c>
      <c r="I808" s="5">
        <v>2</v>
      </c>
      <c r="J808" s="5">
        <v>5420</v>
      </c>
      <c r="K808" t="s">
        <v>18</v>
      </c>
      <c r="L808" t="s">
        <v>19</v>
      </c>
      <c r="M808" t="s">
        <v>20</v>
      </c>
      <c r="N808" t="s">
        <v>42</v>
      </c>
      <c r="O808" t="s">
        <v>43</v>
      </c>
      <c r="P808" t="s">
        <v>18</v>
      </c>
      <c r="Q808">
        <f>Table1[[#This Row],[Course_Fee_AED]]-Table1[[#This Row],[Amount_Paid_AED]]</f>
        <v>2710</v>
      </c>
      <c r="R808">
        <f>Table1[[#This Row],[Course_Fee_AED]]-Table1[[#This Row],[pending Revenue]]</f>
        <v>5420</v>
      </c>
    </row>
    <row r="809" spans="1:18" x14ac:dyDescent="0.25">
      <c r="A809" t="s">
        <v>886</v>
      </c>
      <c r="B809" s="2">
        <v>45292</v>
      </c>
      <c r="C809" t="s">
        <v>51</v>
      </c>
      <c r="D809" t="s">
        <v>52</v>
      </c>
      <c r="E809" t="s">
        <v>17</v>
      </c>
      <c r="F809" s="5">
        <v>6</v>
      </c>
      <c r="G809" s="5">
        <v>1</v>
      </c>
      <c r="H809" s="5">
        <v>5061</v>
      </c>
      <c r="I809" s="5">
        <v>1</v>
      </c>
      <c r="J809" s="5">
        <v>1687</v>
      </c>
      <c r="K809" t="s">
        <v>18</v>
      </c>
      <c r="L809" t="s">
        <v>57</v>
      </c>
      <c r="M809" t="s">
        <v>60</v>
      </c>
      <c r="N809" t="s">
        <v>90</v>
      </c>
      <c r="O809" t="s">
        <v>64</v>
      </c>
      <c r="P809" t="s">
        <v>18</v>
      </c>
      <c r="Q809">
        <f>Table1[[#This Row],[Course_Fee_AED]]-Table1[[#This Row],[Amount_Paid_AED]]</f>
        <v>3374</v>
      </c>
      <c r="R809">
        <f>Table1[[#This Row],[Course_Fee_AED]]-Table1[[#This Row],[pending Revenue]]</f>
        <v>1687</v>
      </c>
    </row>
    <row r="810" spans="1:18" x14ac:dyDescent="0.25">
      <c r="A810" t="s">
        <v>887</v>
      </c>
      <c r="B810" s="2">
        <v>45368</v>
      </c>
      <c r="C810" t="s">
        <v>45</v>
      </c>
      <c r="D810" t="s">
        <v>46</v>
      </c>
      <c r="E810" t="s">
        <v>26</v>
      </c>
      <c r="F810" s="5">
        <v>3</v>
      </c>
      <c r="G810" s="5">
        <v>1</v>
      </c>
      <c r="H810" s="5">
        <v>4444</v>
      </c>
      <c r="I810" s="5">
        <v>1</v>
      </c>
      <c r="J810" s="5">
        <v>1481</v>
      </c>
      <c r="K810" t="s">
        <v>18</v>
      </c>
      <c r="L810" t="s">
        <v>57</v>
      </c>
      <c r="M810" t="s">
        <v>47</v>
      </c>
      <c r="N810" t="s">
        <v>21</v>
      </c>
      <c r="O810" t="s">
        <v>64</v>
      </c>
      <c r="P810" t="s">
        <v>18</v>
      </c>
      <c r="Q810">
        <f>Table1[[#This Row],[Course_Fee_AED]]-Table1[[#This Row],[Amount_Paid_AED]]</f>
        <v>2963</v>
      </c>
      <c r="R810">
        <f>Table1[[#This Row],[Course_Fee_AED]]-Table1[[#This Row],[pending Revenue]]</f>
        <v>1481</v>
      </c>
    </row>
    <row r="811" spans="1:18" x14ac:dyDescent="0.25">
      <c r="A811" t="s">
        <v>888</v>
      </c>
      <c r="B811" s="2">
        <v>45656</v>
      </c>
      <c r="C811" t="s">
        <v>31</v>
      </c>
      <c r="D811" t="s">
        <v>32</v>
      </c>
      <c r="E811" t="s">
        <v>17</v>
      </c>
      <c r="F811" s="5">
        <v>6</v>
      </c>
      <c r="G811" s="5">
        <v>1</v>
      </c>
      <c r="H811" s="5">
        <v>6003</v>
      </c>
      <c r="I811" s="5">
        <v>1</v>
      </c>
      <c r="J811" s="5">
        <v>2001</v>
      </c>
      <c r="K811" t="s">
        <v>18</v>
      </c>
      <c r="L811" t="s">
        <v>57</v>
      </c>
      <c r="M811" t="s">
        <v>47</v>
      </c>
      <c r="N811" t="s">
        <v>34</v>
      </c>
      <c r="O811" t="s">
        <v>22</v>
      </c>
      <c r="P811" t="s">
        <v>36</v>
      </c>
      <c r="Q811">
        <f>Table1[[#This Row],[Course_Fee_AED]]-Table1[[#This Row],[Amount_Paid_AED]]</f>
        <v>4002</v>
      </c>
      <c r="R811">
        <f>Table1[[#This Row],[Course_Fee_AED]]-Table1[[#This Row],[pending Revenue]]</f>
        <v>2001</v>
      </c>
    </row>
    <row r="812" spans="1:18" x14ac:dyDescent="0.25">
      <c r="A812" t="s">
        <v>889</v>
      </c>
      <c r="B812" s="2">
        <v>45592</v>
      </c>
      <c r="C812" t="s">
        <v>55</v>
      </c>
      <c r="D812" t="s">
        <v>56</v>
      </c>
      <c r="E812" t="s">
        <v>17</v>
      </c>
      <c r="F812" s="5">
        <v>6</v>
      </c>
      <c r="G812" s="5">
        <v>1</v>
      </c>
      <c r="H812" s="5">
        <v>8658</v>
      </c>
      <c r="I812" s="5">
        <v>2</v>
      </c>
      <c r="J812" s="5">
        <v>5772</v>
      </c>
      <c r="K812" t="s">
        <v>18</v>
      </c>
      <c r="L812" t="s">
        <v>19</v>
      </c>
      <c r="M812" t="s">
        <v>63</v>
      </c>
      <c r="N812" t="s">
        <v>70</v>
      </c>
      <c r="O812" t="s">
        <v>64</v>
      </c>
      <c r="P812" t="s">
        <v>18</v>
      </c>
      <c r="Q812">
        <f>Table1[[#This Row],[Course_Fee_AED]]-Table1[[#This Row],[Amount_Paid_AED]]</f>
        <v>2886</v>
      </c>
      <c r="R812">
        <f>Table1[[#This Row],[Course_Fee_AED]]-Table1[[#This Row],[pending Revenue]]</f>
        <v>5772</v>
      </c>
    </row>
    <row r="813" spans="1:18" x14ac:dyDescent="0.25">
      <c r="A813" t="s">
        <v>890</v>
      </c>
      <c r="B813" s="2">
        <v>45563</v>
      </c>
      <c r="C813" t="s">
        <v>31</v>
      </c>
      <c r="D813" t="s">
        <v>32</v>
      </c>
      <c r="E813" t="s">
        <v>26</v>
      </c>
      <c r="F813" s="5">
        <v>3</v>
      </c>
      <c r="G813" s="5">
        <v>1</v>
      </c>
      <c r="H813" s="5">
        <v>7531</v>
      </c>
      <c r="I813" s="5">
        <v>1</v>
      </c>
      <c r="J813" s="5">
        <v>2510</v>
      </c>
      <c r="K813" t="s">
        <v>18</v>
      </c>
      <c r="L813" t="s">
        <v>40</v>
      </c>
      <c r="M813" t="s">
        <v>41</v>
      </c>
      <c r="N813" t="s">
        <v>61</v>
      </c>
      <c r="O813" t="s">
        <v>35</v>
      </c>
      <c r="P813" t="s">
        <v>36</v>
      </c>
      <c r="Q813">
        <f>Table1[[#This Row],[Course_Fee_AED]]-Table1[[#This Row],[Amount_Paid_AED]]</f>
        <v>5021</v>
      </c>
      <c r="R813">
        <f>Table1[[#This Row],[Course_Fee_AED]]-Table1[[#This Row],[pending Revenue]]</f>
        <v>2510</v>
      </c>
    </row>
    <row r="814" spans="1:18" x14ac:dyDescent="0.25">
      <c r="A814" t="s">
        <v>891</v>
      </c>
      <c r="B814" s="2">
        <v>45312</v>
      </c>
      <c r="C814" t="s">
        <v>92</v>
      </c>
      <c r="D814" t="s">
        <v>93</v>
      </c>
      <c r="E814" t="s">
        <v>26</v>
      </c>
      <c r="F814" s="5">
        <v>3</v>
      </c>
      <c r="G814" s="5">
        <v>1</v>
      </c>
      <c r="H814" s="5">
        <v>6415</v>
      </c>
      <c r="I814" s="5">
        <v>2</v>
      </c>
      <c r="J814" s="5">
        <v>4276</v>
      </c>
      <c r="K814" t="s">
        <v>18</v>
      </c>
      <c r="L814" t="s">
        <v>40</v>
      </c>
      <c r="M814" t="s">
        <v>41</v>
      </c>
      <c r="N814" t="s">
        <v>95</v>
      </c>
      <c r="O814" t="s">
        <v>29</v>
      </c>
      <c r="P814" t="s">
        <v>18</v>
      </c>
      <c r="Q814">
        <f>Table1[[#This Row],[Course_Fee_AED]]-Table1[[#This Row],[Amount_Paid_AED]]</f>
        <v>2139</v>
      </c>
      <c r="R814">
        <f>Table1[[#This Row],[Course_Fee_AED]]-Table1[[#This Row],[pending Revenue]]</f>
        <v>4276</v>
      </c>
    </row>
    <row r="815" spans="1:18" x14ac:dyDescent="0.25">
      <c r="A815" t="s">
        <v>892</v>
      </c>
      <c r="B815" s="2">
        <v>45503</v>
      </c>
      <c r="C815" t="s">
        <v>31</v>
      </c>
      <c r="D815" t="s">
        <v>32</v>
      </c>
      <c r="E815" t="s">
        <v>26</v>
      </c>
      <c r="F815" s="5">
        <v>3</v>
      </c>
      <c r="G815" s="5">
        <v>1</v>
      </c>
      <c r="H815" s="5">
        <v>5455</v>
      </c>
      <c r="I815" s="5">
        <v>1</v>
      </c>
      <c r="J815" s="5">
        <v>1818</v>
      </c>
      <c r="K815" t="s">
        <v>18</v>
      </c>
      <c r="L815" t="s">
        <v>19</v>
      </c>
      <c r="M815" t="s">
        <v>60</v>
      </c>
      <c r="N815" t="s">
        <v>70</v>
      </c>
      <c r="O815" t="s">
        <v>35</v>
      </c>
      <c r="P815" t="s">
        <v>36</v>
      </c>
      <c r="Q815">
        <f>Table1[[#This Row],[Course_Fee_AED]]-Table1[[#This Row],[Amount_Paid_AED]]</f>
        <v>3637</v>
      </c>
      <c r="R815">
        <f>Table1[[#This Row],[Course_Fee_AED]]-Table1[[#This Row],[pending Revenue]]</f>
        <v>1818</v>
      </c>
    </row>
    <row r="816" spans="1:18" x14ac:dyDescent="0.25">
      <c r="A816" t="s">
        <v>893</v>
      </c>
      <c r="B816" s="2">
        <v>45650</v>
      </c>
      <c r="C816" t="s">
        <v>82</v>
      </c>
      <c r="D816" t="s">
        <v>83</v>
      </c>
      <c r="E816" t="s">
        <v>26</v>
      </c>
      <c r="F816" s="5">
        <v>3</v>
      </c>
      <c r="G816" s="5">
        <v>1</v>
      </c>
      <c r="H816" s="5">
        <v>9032</v>
      </c>
      <c r="I816" s="5">
        <v>2</v>
      </c>
      <c r="J816" s="5">
        <v>6020</v>
      </c>
      <c r="K816" t="s">
        <v>18</v>
      </c>
      <c r="L816" t="s">
        <v>19</v>
      </c>
      <c r="M816" t="s">
        <v>63</v>
      </c>
      <c r="N816" t="s">
        <v>28</v>
      </c>
      <c r="O816" t="s">
        <v>58</v>
      </c>
      <c r="P816" t="s">
        <v>36</v>
      </c>
      <c r="Q816">
        <f>Table1[[#This Row],[Course_Fee_AED]]-Table1[[#This Row],[Amount_Paid_AED]]</f>
        <v>3012</v>
      </c>
      <c r="R816">
        <f>Table1[[#This Row],[Course_Fee_AED]]-Table1[[#This Row],[pending Revenue]]</f>
        <v>6020</v>
      </c>
    </row>
    <row r="817" spans="1:18" x14ac:dyDescent="0.25">
      <c r="A817" t="s">
        <v>894</v>
      </c>
      <c r="B817" s="2">
        <v>45632</v>
      </c>
      <c r="C817" t="s">
        <v>92</v>
      </c>
      <c r="D817" t="s">
        <v>93</v>
      </c>
      <c r="E817" t="s">
        <v>17</v>
      </c>
      <c r="F817" s="5">
        <v>6</v>
      </c>
      <c r="G817" s="5">
        <v>1</v>
      </c>
      <c r="H817" s="5">
        <v>6718</v>
      </c>
      <c r="I817" s="5">
        <v>3</v>
      </c>
      <c r="J817" s="5">
        <v>6717</v>
      </c>
      <c r="K817" t="s">
        <v>18</v>
      </c>
      <c r="L817" t="s">
        <v>57</v>
      </c>
      <c r="M817" t="s">
        <v>41</v>
      </c>
      <c r="N817" t="s">
        <v>86</v>
      </c>
      <c r="O817" t="s">
        <v>49</v>
      </c>
      <c r="P817" t="s">
        <v>18</v>
      </c>
      <c r="Q817">
        <f>Table1[[#This Row],[Course_Fee_AED]]-Table1[[#This Row],[Amount_Paid_AED]]</f>
        <v>1</v>
      </c>
      <c r="R817">
        <f>Table1[[#This Row],[Course_Fee_AED]]-Table1[[#This Row],[pending Revenue]]</f>
        <v>6717</v>
      </c>
    </row>
    <row r="818" spans="1:18" x14ac:dyDescent="0.25">
      <c r="A818" t="s">
        <v>895</v>
      </c>
      <c r="B818" s="2">
        <v>45491</v>
      </c>
      <c r="C818" t="s">
        <v>106</v>
      </c>
      <c r="D818" t="s">
        <v>107</v>
      </c>
      <c r="E818" t="s">
        <v>17</v>
      </c>
      <c r="F818" s="5">
        <v>6</v>
      </c>
      <c r="G818" s="5">
        <v>1</v>
      </c>
      <c r="H818" s="5">
        <v>8562</v>
      </c>
      <c r="I818" s="5">
        <v>1</v>
      </c>
      <c r="J818" s="5">
        <v>2854</v>
      </c>
      <c r="K818" t="s">
        <v>18</v>
      </c>
      <c r="L818" t="s">
        <v>19</v>
      </c>
      <c r="M818" t="s">
        <v>63</v>
      </c>
      <c r="N818" t="s">
        <v>48</v>
      </c>
      <c r="O818" t="s">
        <v>87</v>
      </c>
      <c r="P818" t="s">
        <v>18</v>
      </c>
      <c r="Q818">
        <f>Table1[[#This Row],[Course_Fee_AED]]-Table1[[#This Row],[Amount_Paid_AED]]</f>
        <v>5708</v>
      </c>
      <c r="R818">
        <f>Table1[[#This Row],[Course_Fee_AED]]-Table1[[#This Row],[pending Revenue]]</f>
        <v>2854</v>
      </c>
    </row>
    <row r="819" spans="1:18" x14ac:dyDescent="0.25">
      <c r="A819" t="s">
        <v>896</v>
      </c>
      <c r="B819" s="2">
        <v>45392</v>
      </c>
      <c r="C819" t="s">
        <v>75</v>
      </c>
      <c r="D819" t="s">
        <v>76</v>
      </c>
      <c r="E819" t="s">
        <v>17</v>
      </c>
      <c r="F819" s="5">
        <v>6</v>
      </c>
      <c r="G819" s="5">
        <v>1</v>
      </c>
      <c r="H819" s="5">
        <v>12417</v>
      </c>
      <c r="I819" s="5">
        <v>1</v>
      </c>
      <c r="J819" s="5">
        <v>4139</v>
      </c>
      <c r="K819" t="s">
        <v>18</v>
      </c>
      <c r="L819" t="s">
        <v>19</v>
      </c>
      <c r="M819" t="s">
        <v>41</v>
      </c>
      <c r="N819" t="s">
        <v>61</v>
      </c>
      <c r="O819" t="s">
        <v>43</v>
      </c>
      <c r="P819" t="s">
        <v>36</v>
      </c>
      <c r="Q819">
        <f>Table1[[#This Row],[Course_Fee_AED]]-Table1[[#This Row],[Amount_Paid_AED]]</f>
        <v>8278</v>
      </c>
      <c r="R819">
        <f>Table1[[#This Row],[Course_Fee_AED]]-Table1[[#This Row],[pending Revenue]]</f>
        <v>4139</v>
      </c>
    </row>
    <row r="820" spans="1:18" x14ac:dyDescent="0.25">
      <c r="A820" t="s">
        <v>897</v>
      </c>
      <c r="B820" s="2">
        <v>45612</v>
      </c>
      <c r="C820" t="s">
        <v>51</v>
      </c>
      <c r="D820" t="s">
        <v>52</v>
      </c>
      <c r="E820" t="s">
        <v>26</v>
      </c>
      <c r="F820" s="5">
        <v>3</v>
      </c>
      <c r="G820" s="5">
        <v>1</v>
      </c>
      <c r="H820" s="5">
        <v>4559</v>
      </c>
      <c r="I820" s="5">
        <v>3</v>
      </c>
      <c r="J820" s="5">
        <v>4557</v>
      </c>
      <c r="K820" t="s">
        <v>18</v>
      </c>
      <c r="L820" t="s">
        <v>57</v>
      </c>
      <c r="M820" t="s">
        <v>47</v>
      </c>
      <c r="N820" t="s">
        <v>90</v>
      </c>
      <c r="O820" t="s">
        <v>71</v>
      </c>
      <c r="P820" t="s">
        <v>36</v>
      </c>
      <c r="Q820">
        <f>Table1[[#This Row],[Course_Fee_AED]]-Table1[[#This Row],[Amount_Paid_AED]]</f>
        <v>2</v>
      </c>
      <c r="R820">
        <f>Table1[[#This Row],[Course_Fee_AED]]-Table1[[#This Row],[pending Revenue]]</f>
        <v>4557</v>
      </c>
    </row>
    <row r="821" spans="1:18" x14ac:dyDescent="0.25">
      <c r="A821" t="s">
        <v>898</v>
      </c>
      <c r="B821" s="2">
        <v>45639</v>
      </c>
      <c r="C821" t="s">
        <v>92</v>
      </c>
      <c r="D821" t="s">
        <v>93</v>
      </c>
      <c r="E821" t="s">
        <v>17</v>
      </c>
      <c r="F821" s="5">
        <v>6</v>
      </c>
      <c r="G821" s="5">
        <v>1</v>
      </c>
      <c r="H821" s="5">
        <v>6870</v>
      </c>
      <c r="I821" s="5">
        <v>2</v>
      </c>
      <c r="J821" s="5">
        <v>4580</v>
      </c>
      <c r="K821" t="s">
        <v>18</v>
      </c>
      <c r="L821" t="s">
        <v>19</v>
      </c>
      <c r="M821" t="s">
        <v>60</v>
      </c>
      <c r="N821" t="s">
        <v>21</v>
      </c>
      <c r="O821" t="s">
        <v>58</v>
      </c>
      <c r="P821" t="s">
        <v>36</v>
      </c>
      <c r="Q821">
        <f>Table1[[#This Row],[Course_Fee_AED]]-Table1[[#This Row],[Amount_Paid_AED]]</f>
        <v>2290</v>
      </c>
      <c r="R821">
        <f>Table1[[#This Row],[Course_Fee_AED]]-Table1[[#This Row],[pending Revenue]]</f>
        <v>4580</v>
      </c>
    </row>
    <row r="822" spans="1:18" x14ac:dyDescent="0.25">
      <c r="A822" t="s">
        <v>899</v>
      </c>
      <c r="B822" s="2">
        <v>45374</v>
      </c>
      <c r="C822" t="s">
        <v>55</v>
      </c>
      <c r="D822" t="s">
        <v>56</v>
      </c>
      <c r="E822" t="s">
        <v>26</v>
      </c>
      <c r="F822" s="5">
        <v>3</v>
      </c>
      <c r="G822" s="5">
        <v>1</v>
      </c>
      <c r="H822" s="5">
        <v>8838</v>
      </c>
      <c r="I822" s="5">
        <v>2</v>
      </c>
      <c r="J822" s="5">
        <v>5892</v>
      </c>
      <c r="K822" t="s">
        <v>18</v>
      </c>
      <c r="L822" t="s">
        <v>40</v>
      </c>
      <c r="M822" t="s">
        <v>47</v>
      </c>
      <c r="N822" t="s">
        <v>21</v>
      </c>
      <c r="O822" t="s">
        <v>87</v>
      </c>
      <c r="P822" t="s">
        <v>36</v>
      </c>
      <c r="Q822">
        <f>Table1[[#This Row],[Course_Fee_AED]]-Table1[[#This Row],[Amount_Paid_AED]]</f>
        <v>2946</v>
      </c>
      <c r="R822">
        <f>Table1[[#This Row],[Course_Fee_AED]]-Table1[[#This Row],[pending Revenue]]</f>
        <v>5892</v>
      </c>
    </row>
    <row r="823" spans="1:18" x14ac:dyDescent="0.25">
      <c r="A823" t="s">
        <v>900</v>
      </c>
      <c r="B823" s="2">
        <v>45580</v>
      </c>
      <c r="C823" t="s">
        <v>24</v>
      </c>
      <c r="D823" t="s">
        <v>25</v>
      </c>
      <c r="E823" t="s">
        <v>17</v>
      </c>
      <c r="F823" s="5">
        <v>6</v>
      </c>
      <c r="G823" s="5">
        <v>1</v>
      </c>
      <c r="H823" s="5">
        <v>6307</v>
      </c>
      <c r="I823" s="5">
        <v>2</v>
      </c>
      <c r="J823" s="5">
        <v>4204</v>
      </c>
      <c r="K823" t="s">
        <v>18</v>
      </c>
      <c r="L823" t="s">
        <v>40</v>
      </c>
      <c r="M823" t="s">
        <v>20</v>
      </c>
      <c r="N823" t="s">
        <v>90</v>
      </c>
      <c r="O823" t="s">
        <v>35</v>
      </c>
      <c r="P823" t="s">
        <v>36</v>
      </c>
      <c r="Q823">
        <f>Table1[[#This Row],[Course_Fee_AED]]-Table1[[#This Row],[Amount_Paid_AED]]</f>
        <v>2103</v>
      </c>
      <c r="R823">
        <f>Table1[[#This Row],[Course_Fee_AED]]-Table1[[#This Row],[pending Revenue]]</f>
        <v>4204</v>
      </c>
    </row>
    <row r="824" spans="1:18" x14ac:dyDescent="0.25">
      <c r="A824" t="s">
        <v>901</v>
      </c>
      <c r="B824" s="2">
        <v>45587</v>
      </c>
      <c r="C824" t="s">
        <v>113</v>
      </c>
      <c r="D824" t="s">
        <v>93</v>
      </c>
      <c r="E824" t="s">
        <v>17</v>
      </c>
      <c r="F824" s="5">
        <v>6</v>
      </c>
      <c r="G824" s="5">
        <v>1</v>
      </c>
      <c r="H824" s="5">
        <v>3231</v>
      </c>
      <c r="I824" s="5">
        <v>3</v>
      </c>
      <c r="J824" s="5">
        <v>3231</v>
      </c>
      <c r="K824" t="s">
        <v>33</v>
      </c>
      <c r="L824" t="s">
        <v>57</v>
      </c>
      <c r="M824" t="s">
        <v>63</v>
      </c>
      <c r="N824" t="s">
        <v>73</v>
      </c>
      <c r="O824" t="s">
        <v>29</v>
      </c>
      <c r="P824" t="s">
        <v>18</v>
      </c>
      <c r="Q824">
        <f>Table1[[#This Row],[Course_Fee_AED]]-Table1[[#This Row],[Amount_Paid_AED]]</f>
        <v>0</v>
      </c>
      <c r="R824">
        <f>Table1[[#This Row],[Course_Fee_AED]]-Table1[[#This Row],[pending Revenue]]</f>
        <v>3231</v>
      </c>
    </row>
    <row r="825" spans="1:18" x14ac:dyDescent="0.25">
      <c r="A825" t="s">
        <v>902</v>
      </c>
      <c r="B825" s="2">
        <v>45644</v>
      </c>
      <c r="C825" t="s">
        <v>15</v>
      </c>
      <c r="D825" t="s">
        <v>16</v>
      </c>
      <c r="E825" t="s">
        <v>26</v>
      </c>
      <c r="F825" s="5">
        <v>3</v>
      </c>
      <c r="G825" s="5">
        <v>1</v>
      </c>
      <c r="H825" s="5">
        <v>7026</v>
      </c>
      <c r="I825" s="5">
        <v>1</v>
      </c>
      <c r="J825" s="5">
        <v>2342</v>
      </c>
      <c r="K825" t="s">
        <v>18</v>
      </c>
      <c r="L825" t="s">
        <v>19</v>
      </c>
      <c r="M825" t="s">
        <v>20</v>
      </c>
      <c r="N825" t="s">
        <v>28</v>
      </c>
      <c r="O825" t="s">
        <v>68</v>
      </c>
      <c r="P825" t="s">
        <v>18</v>
      </c>
      <c r="Q825">
        <f>Table1[[#This Row],[Course_Fee_AED]]-Table1[[#This Row],[Amount_Paid_AED]]</f>
        <v>4684</v>
      </c>
      <c r="R825">
        <f>Table1[[#This Row],[Course_Fee_AED]]-Table1[[#This Row],[pending Revenue]]</f>
        <v>2342</v>
      </c>
    </row>
    <row r="826" spans="1:18" x14ac:dyDescent="0.25">
      <c r="A826" t="s">
        <v>903</v>
      </c>
      <c r="B826" s="2">
        <v>45515</v>
      </c>
      <c r="C826" t="s">
        <v>113</v>
      </c>
      <c r="D826" t="s">
        <v>93</v>
      </c>
      <c r="E826" t="s">
        <v>17</v>
      </c>
      <c r="F826" s="5">
        <v>6</v>
      </c>
      <c r="G826" s="5">
        <v>1</v>
      </c>
      <c r="H826" s="5">
        <v>4029</v>
      </c>
      <c r="I826" s="5">
        <v>3</v>
      </c>
      <c r="J826" s="5">
        <v>4029</v>
      </c>
      <c r="K826" t="s">
        <v>33</v>
      </c>
      <c r="L826" t="s">
        <v>57</v>
      </c>
      <c r="M826" t="s">
        <v>63</v>
      </c>
      <c r="N826" t="s">
        <v>73</v>
      </c>
      <c r="O826" t="s">
        <v>35</v>
      </c>
      <c r="P826" t="s">
        <v>36</v>
      </c>
      <c r="Q826">
        <f>Table1[[#This Row],[Course_Fee_AED]]-Table1[[#This Row],[Amount_Paid_AED]]</f>
        <v>0</v>
      </c>
      <c r="R826">
        <f>Table1[[#This Row],[Course_Fee_AED]]-Table1[[#This Row],[pending Revenue]]</f>
        <v>4029</v>
      </c>
    </row>
    <row r="827" spans="1:18" x14ac:dyDescent="0.25">
      <c r="A827" t="s">
        <v>904</v>
      </c>
      <c r="B827" s="2">
        <v>45452</v>
      </c>
      <c r="C827" t="s">
        <v>24</v>
      </c>
      <c r="D827" t="s">
        <v>25</v>
      </c>
      <c r="E827" t="s">
        <v>26</v>
      </c>
      <c r="F827" s="5">
        <v>3</v>
      </c>
      <c r="G827" s="5">
        <v>1</v>
      </c>
      <c r="H827" s="5">
        <v>6797</v>
      </c>
      <c r="I827" s="5">
        <v>1</v>
      </c>
      <c r="J827" s="5">
        <v>2265</v>
      </c>
      <c r="K827" t="s">
        <v>18</v>
      </c>
      <c r="L827" t="s">
        <v>57</v>
      </c>
      <c r="M827" t="s">
        <v>47</v>
      </c>
      <c r="N827" t="s">
        <v>21</v>
      </c>
      <c r="O827" t="s">
        <v>43</v>
      </c>
      <c r="P827" t="s">
        <v>36</v>
      </c>
      <c r="Q827">
        <f>Table1[[#This Row],[Course_Fee_AED]]-Table1[[#This Row],[Amount_Paid_AED]]</f>
        <v>4532</v>
      </c>
      <c r="R827">
        <f>Table1[[#This Row],[Course_Fee_AED]]-Table1[[#This Row],[pending Revenue]]</f>
        <v>2265</v>
      </c>
    </row>
    <row r="828" spans="1:18" x14ac:dyDescent="0.25">
      <c r="A828" t="s">
        <v>905</v>
      </c>
      <c r="B828" s="2">
        <v>45646</v>
      </c>
      <c r="C828" t="s">
        <v>113</v>
      </c>
      <c r="D828" t="s">
        <v>93</v>
      </c>
      <c r="E828" t="s">
        <v>17</v>
      </c>
      <c r="F828" s="5">
        <v>6</v>
      </c>
      <c r="G828" s="5">
        <v>1</v>
      </c>
      <c r="H828" s="5">
        <v>3099</v>
      </c>
      <c r="I828" s="5">
        <v>2</v>
      </c>
      <c r="J828" s="5">
        <v>2066</v>
      </c>
      <c r="K828" t="s">
        <v>18</v>
      </c>
      <c r="L828" t="s">
        <v>40</v>
      </c>
      <c r="M828" t="s">
        <v>27</v>
      </c>
      <c r="N828" t="s">
        <v>79</v>
      </c>
      <c r="O828" t="s">
        <v>29</v>
      </c>
      <c r="P828" t="s">
        <v>18</v>
      </c>
      <c r="Q828">
        <f>Table1[[#This Row],[Course_Fee_AED]]-Table1[[#This Row],[Amount_Paid_AED]]</f>
        <v>1033</v>
      </c>
      <c r="R828">
        <f>Table1[[#This Row],[Course_Fee_AED]]-Table1[[#This Row],[pending Revenue]]</f>
        <v>2066</v>
      </c>
    </row>
    <row r="829" spans="1:18" x14ac:dyDescent="0.25">
      <c r="A829" t="s">
        <v>906</v>
      </c>
      <c r="B829" s="2">
        <v>45475</v>
      </c>
      <c r="C829" t="s">
        <v>106</v>
      </c>
      <c r="D829" t="s">
        <v>107</v>
      </c>
      <c r="E829" t="s">
        <v>17</v>
      </c>
      <c r="F829" s="5">
        <v>6</v>
      </c>
      <c r="G829" s="5">
        <v>1</v>
      </c>
      <c r="H829" s="5">
        <v>8056</v>
      </c>
      <c r="I829" s="5">
        <v>2</v>
      </c>
      <c r="J829" s="5">
        <v>5370</v>
      </c>
      <c r="K829" t="s">
        <v>18</v>
      </c>
      <c r="L829" t="s">
        <v>19</v>
      </c>
      <c r="M829" t="s">
        <v>41</v>
      </c>
      <c r="N829" t="s">
        <v>21</v>
      </c>
      <c r="O829" t="s">
        <v>68</v>
      </c>
      <c r="P829" t="s">
        <v>18</v>
      </c>
      <c r="Q829">
        <f>Table1[[#This Row],[Course_Fee_AED]]-Table1[[#This Row],[Amount_Paid_AED]]</f>
        <v>2686</v>
      </c>
      <c r="R829">
        <f>Table1[[#This Row],[Course_Fee_AED]]-Table1[[#This Row],[pending Revenue]]</f>
        <v>5370</v>
      </c>
    </row>
    <row r="830" spans="1:18" x14ac:dyDescent="0.25">
      <c r="A830" t="s">
        <v>907</v>
      </c>
      <c r="B830" s="2">
        <v>45382</v>
      </c>
      <c r="C830" t="s">
        <v>82</v>
      </c>
      <c r="D830" t="s">
        <v>83</v>
      </c>
      <c r="E830" t="s">
        <v>17</v>
      </c>
      <c r="F830" s="5">
        <v>6</v>
      </c>
      <c r="G830" s="5">
        <v>1</v>
      </c>
      <c r="H830" s="5">
        <v>12536</v>
      </c>
      <c r="I830" s="5">
        <v>2</v>
      </c>
      <c r="J830" s="5">
        <v>8356</v>
      </c>
      <c r="K830" t="s">
        <v>18</v>
      </c>
      <c r="L830" t="s">
        <v>57</v>
      </c>
      <c r="M830" t="s">
        <v>60</v>
      </c>
      <c r="N830" t="s">
        <v>86</v>
      </c>
      <c r="O830" t="s">
        <v>64</v>
      </c>
      <c r="P830" t="s">
        <v>18</v>
      </c>
      <c r="Q830">
        <f>Table1[[#This Row],[Course_Fee_AED]]-Table1[[#This Row],[Amount_Paid_AED]]</f>
        <v>4180</v>
      </c>
      <c r="R830">
        <f>Table1[[#This Row],[Course_Fee_AED]]-Table1[[#This Row],[pending Revenue]]</f>
        <v>8356</v>
      </c>
    </row>
    <row r="831" spans="1:18" x14ac:dyDescent="0.25">
      <c r="A831" t="s">
        <v>908</v>
      </c>
      <c r="B831" s="2">
        <v>45432</v>
      </c>
      <c r="C831" t="s">
        <v>55</v>
      </c>
      <c r="D831" t="s">
        <v>56</v>
      </c>
      <c r="E831" t="s">
        <v>17</v>
      </c>
      <c r="F831" s="5">
        <v>6</v>
      </c>
      <c r="G831" s="5">
        <v>1</v>
      </c>
      <c r="H831" s="5">
        <v>11632</v>
      </c>
      <c r="I831" s="5">
        <v>2</v>
      </c>
      <c r="J831" s="5">
        <v>7754</v>
      </c>
      <c r="K831" t="s">
        <v>18</v>
      </c>
      <c r="L831" t="s">
        <v>57</v>
      </c>
      <c r="M831" t="s">
        <v>63</v>
      </c>
      <c r="N831" t="s">
        <v>154</v>
      </c>
      <c r="O831" t="s">
        <v>71</v>
      </c>
      <c r="P831" t="s">
        <v>18</v>
      </c>
      <c r="Q831">
        <f>Table1[[#This Row],[Course_Fee_AED]]-Table1[[#This Row],[Amount_Paid_AED]]</f>
        <v>3878</v>
      </c>
      <c r="R831">
        <f>Table1[[#This Row],[Course_Fee_AED]]-Table1[[#This Row],[pending Revenue]]</f>
        <v>7754</v>
      </c>
    </row>
    <row r="832" spans="1:18" x14ac:dyDescent="0.25">
      <c r="A832" t="s">
        <v>909</v>
      </c>
      <c r="B832" s="2">
        <v>45338</v>
      </c>
      <c r="C832" t="s">
        <v>24</v>
      </c>
      <c r="D832" t="s">
        <v>25</v>
      </c>
      <c r="E832" t="s">
        <v>26</v>
      </c>
      <c r="F832" s="5">
        <v>3</v>
      </c>
      <c r="G832" s="5">
        <v>1</v>
      </c>
      <c r="H832" s="5">
        <v>5820</v>
      </c>
      <c r="I832" s="5">
        <v>2</v>
      </c>
      <c r="J832" s="5">
        <v>3880</v>
      </c>
      <c r="K832" t="s">
        <v>18</v>
      </c>
      <c r="L832" t="s">
        <v>40</v>
      </c>
      <c r="M832" t="s">
        <v>60</v>
      </c>
      <c r="N832" t="s">
        <v>79</v>
      </c>
      <c r="O832" t="s">
        <v>58</v>
      </c>
      <c r="P832" t="s">
        <v>36</v>
      </c>
      <c r="Q832">
        <f>Table1[[#This Row],[Course_Fee_AED]]-Table1[[#This Row],[Amount_Paid_AED]]</f>
        <v>1940</v>
      </c>
      <c r="R832">
        <f>Table1[[#This Row],[Course_Fee_AED]]-Table1[[#This Row],[pending Revenue]]</f>
        <v>3880</v>
      </c>
    </row>
    <row r="833" spans="1:18" x14ac:dyDescent="0.25">
      <c r="A833" t="s">
        <v>910</v>
      </c>
      <c r="B833" s="2">
        <v>45607</v>
      </c>
      <c r="C833" t="s">
        <v>55</v>
      </c>
      <c r="D833" t="s">
        <v>56</v>
      </c>
      <c r="E833" t="s">
        <v>17</v>
      </c>
      <c r="F833" s="5">
        <v>6</v>
      </c>
      <c r="G833" s="5">
        <v>1</v>
      </c>
      <c r="H833" s="5">
        <v>10884</v>
      </c>
      <c r="I833" s="5">
        <v>3</v>
      </c>
      <c r="J833" s="5">
        <v>10884</v>
      </c>
      <c r="K833" t="s">
        <v>33</v>
      </c>
      <c r="L833" t="s">
        <v>19</v>
      </c>
      <c r="M833" t="s">
        <v>60</v>
      </c>
      <c r="N833" t="s">
        <v>61</v>
      </c>
      <c r="O833" t="s">
        <v>35</v>
      </c>
      <c r="P833" t="s">
        <v>36</v>
      </c>
      <c r="Q833">
        <f>Table1[[#This Row],[Course_Fee_AED]]-Table1[[#This Row],[Amount_Paid_AED]]</f>
        <v>0</v>
      </c>
      <c r="R833">
        <f>Table1[[#This Row],[Course_Fee_AED]]-Table1[[#This Row],[pending Revenue]]</f>
        <v>10884</v>
      </c>
    </row>
    <row r="834" spans="1:18" x14ac:dyDescent="0.25">
      <c r="A834" t="s">
        <v>911</v>
      </c>
      <c r="B834" s="2">
        <v>45432</v>
      </c>
      <c r="C834" t="s">
        <v>38</v>
      </c>
      <c r="D834" t="s">
        <v>39</v>
      </c>
      <c r="E834" t="s">
        <v>26</v>
      </c>
      <c r="F834" s="5">
        <v>3</v>
      </c>
      <c r="G834" s="5">
        <v>1</v>
      </c>
      <c r="H834" s="5">
        <v>5840</v>
      </c>
      <c r="I834" s="5">
        <v>3</v>
      </c>
      <c r="J834" s="5">
        <v>5838</v>
      </c>
      <c r="K834" t="s">
        <v>18</v>
      </c>
      <c r="L834" t="s">
        <v>57</v>
      </c>
      <c r="M834" t="s">
        <v>41</v>
      </c>
      <c r="N834" t="s">
        <v>86</v>
      </c>
      <c r="O834" t="s">
        <v>29</v>
      </c>
      <c r="P834" t="s">
        <v>18</v>
      </c>
      <c r="Q834">
        <f>Table1[[#This Row],[Course_Fee_AED]]-Table1[[#This Row],[Amount_Paid_AED]]</f>
        <v>2</v>
      </c>
      <c r="R834">
        <f>Table1[[#This Row],[Course_Fee_AED]]-Table1[[#This Row],[pending Revenue]]</f>
        <v>5838</v>
      </c>
    </row>
    <row r="835" spans="1:18" x14ac:dyDescent="0.25">
      <c r="A835" t="s">
        <v>912</v>
      </c>
      <c r="B835" s="2">
        <v>45381</v>
      </c>
      <c r="C835" t="s">
        <v>82</v>
      </c>
      <c r="D835" t="s">
        <v>83</v>
      </c>
      <c r="E835" t="s">
        <v>26</v>
      </c>
      <c r="F835" s="5">
        <v>3</v>
      </c>
      <c r="G835" s="5">
        <v>1</v>
      </c>
      <c r="H835" s="5">
        <v>13091</v>
      </c>
      <c r="I835" s="5">
        <v>2</v>
      </c>
      <c r="J835" s="5">
        <v>8726</v>
      </c>
      <c r="K835" t="s">
        <v>18</v>
      </c>
      <c r="L835" t="s">
        <v>19</v>
      </c>
      <c r="M835" t="s">
        <v>60</v>
      </c>
      <c r="N835" t="s">
        <v>95</v>
      </c>
      <c r="O835" t="s">
        <v>64</v>
      </c>
      <c r="P835" t="s">
        <v>36</v>
      </c>
      <c r="Q835">
        <f>Table1[[#This Row],[Course_Fee_AED]]-Table1[[#This Row],[Amount_Paid_AED]]</f>
        <v>4365</v>
      </c>
      <c r="R835">
        <f>Table1[[#This Row],[Course_Fee_AED]]-Table1[[#This Row],[pending Revenue]]</f>
        <v>8726</v>
      </c>
    </row>
    <row r="836" spans="1:18" x14ac:dyDescent="0.25">
      <c r="A836" t="s">
        <v>913</v>
      </c>
      <c r="B836" s="2">
        <v>45409</v>
      </c>
      <c r="C836" t="s">
        <v>38</v>
      </c>
      <c r="D836" t="s">
        <v>39</v>
      </c>
      <c r="E836" t="s">
        <v>17</v>
      </c>
      <c r="F836" s="5">
        <v>6</v>
      </c>
      <c r="G836" s="5">
        <v>1</v>
      </c>
      <c r="H836" s="5">
        <v>5989</v>
      </c>
      <c r="I836" s="5">
        <v>3</v>
      </c>
      <c r="J836" s="5">
        <v>5988</v>
      </c>
      <c r="K836" t="s">
        <v>18</v>
      </c>
      <c r="L836" t="s">
        <v>57</v>
      </c>
      <c r="M836" t="s">
        <v>20</v>
      </c>
      <c r="N836" t="s">
        <v>28</v>
      </c>
      <c r="O836" t="s">
        <v>29</v>
      </c>
      <c r="P836" t="s">
        <v>18</v>
      </c>
      <c r="Q836">
        <f>Table1[[#This Row],[Course_Fee_AED]]-Table1[[#This Row],[Amount_Paid_AED]]</f>
        <v>1</v>
      </c>
      <c r="R836">
        <f>Table1[[#This Row],[Course_Fee_AED]]-Table1[[#This Row],[pending Revenue]]</f>
        <v>5988</v>
      </c>
    </row>
    <row r="837" spans="1:18" x14ac:dyDescent="0.25">
      <c r="A837" t="s">
        <v>914</v>
      </c>
      <c r="B837" s="2">
        <v>45556</v>
      </c>
      <c r="C837" t="s">
        <v>66</v>
      </c>
      <c r="D837" t="s">
        <v>56</v>
      </c>
      <c r="E837" t="s">
        <v>17</v>
      </c>
      <c r="F837" s="5">
        <v>6</v>
      </c>
      <c r="G837" s="5">
        <v>1</v>
      </c>
      <c r="H837" s="5">
        <v>9948</v>
      </c>
      <c r="I837" s="5">
        <v>3</v>
      </c>
      <c r="J837" s="5">
        <v>9948</v>
      </c>
      <c r="K837" t="s">
        <v>33</v>
      </c>
      <c r="L837" t="s">
        <v>19</v>
      </c>
      <c r="M837" t="s">
        <v>63</v>
      </c>
      <c r="N837" t="s">
        <v>53</v>
      </c>
      <c r="O837" t="s">
        <v>35</v>
      </c>
      <c r="P837" t="s">
        <v>36</v>
      </c>
      <c r="Q837">
        <f>Table1[[#This Row],[Course_Fee_AED]]-Table1[[#This Row],[Amount_Paid_AED]]</f>
        <v>0</v>
      </c>
      <c r="R837">
        <f>Table1[[#This Row],[Course_Fee_AED]]-Table1[[#This Row],[pending Revenue]]</f>
        <v>9948</v>
      </c>
    </row>
    <row r="838" spans="1:18" x14ac:dyDescent="0.25">
      <c r="A838" t="s">
        <v>915</v>
      </c>
      <c r="B838" s="2">
        <v>45501</v>
      </c>
      <c r="C838" t="s">
        <v>66</v>
      </c>
      <c r="D838" t="s">
        <v>56</v>
      </c>
      <c r="E838" t="s">
        <v>17</v>
      </c>
      <c r="F838" s="5">
        <v>6</v>
      </c>
      <c r="G838" s="5">
        <v>1</v>
      </c>
      <c r="H838" s="5">
        <v>9195</v>
      </c>
      <c r="I838" s="5">
        <v>2</v>
      </c>
      <c r="J838" s="5">
        <v>6130</v>
      </c>
      <c r="K838" t="s">
        <v>18</v>
      </c>
      <c r="L838" t="s">
        <v>19</v>
      </c>
      <c r="M838" t="s">
        <v>60</v>
      </c>
      <c r="N838" t="s">
        <v>79</v>
      </c>
      <c r="O838" t="s">
        <v>68</v>
      </c>
      <c r="P838" t="s">
        <v>36</v>
      </c>
      <c r="Q838">
        <f>Table1[[#This Row],[Course_Fee_AED]]-Table1[[#This Row],[Amount_Paid_AED]]</f>
        <v>3065</v>
      </c>
      <c r="R838">
        <f>Table1[[#This Row],[Course_Fee_AED]]-Table1[[#This Row],[pending Revenue]]</f>
        <v>6130</v>
      </c>
    </row>
    <row r="839" spans="1:18" x14ac:dyDescent="0.25">
      <c r="A839" t="s">
        <v>916</v>
      </c>
      <c r="B839" s="2">
        <v>45415</v>
      </c>
      <c r="C839" t="s">
        <v>82</v>
      </c>
      <c r="D839" t="s">
        <v>83</v>
      </c>
      <c r="E839" t="s">
        <v>26</v>
      </c>
      <c r="F839" s="5">
        <v>3</v>
      </c>
      <c r="G839" s="5">
        <v>1</v>
      </c>
      <c r="H839" s="5">
        <v>10698</v>
      </c>
      <c r="I839" s="5">
        <v>2</v>
      </c>
      <c r="J839" s="5">
        <v>7132</v>
      </c>
      <c r="K839" t="s">
        <v>18</v>
      </c>
      <c r="L839" t="s">
        <v>57</v>
      </c>
      <c r="M839" t="s">
        <v>41</v>
      </c>
      <c r="N839" t="s">
        <v>42</v>
      </c>
      <c r="O839" t="s">
        <v>29</v>
      </c>
      <c r="P839" t="s">
        <v>36</v>
      </c>
      <c r="Q839">
        <f>Table1[[#This Row],[Course_Fee_AED]]-Table1[[#This Row],[Amount_Paid_AED]]</f>
        <v>3566</v>
      </c>
      <c r="R839">
        <f>Table1[[#This Row],[Course_Fee_AED]]-Table1[[#This Row],[pending Revenue]]</f>
        <v>7132</v>
      </c>
    </row>
    <row r="840" spans="1:18" x14ac:dyDescent="0.25">
      <c r="A840" t="s">
        <v>917</v>
      </c>
      <c r="B840" s="2">
        <v>45582</v>
      </c>
      <c r="C840" t="s">
        <v>106</v>
      </c>
      <c r="D840" t="s">
        <v>107</v>
      </c>
      <c r="E840" t="s">
        <v>17</v>
      </c>
      <c r="F840" s="5">
        <v>6</v>
      </c>
      <c r="G840" s="5">
        <v>1</v>
      </c>
      <c r="H840" s="5">
        <v>8057</v>
      </c>
      <c r="I840" s="5">
        <v>2</v>
      </c>
      <c r="J840" s="5">
        <v>5370</v>
      </c>
      <c r="K840" t="s">
        <v>18</v>
      </c>
      <c r="L840" t="s">
        <v>19</v>
      </c>
      <c r="M840" t="s">
        <v>60</v>
      </c>
      <c r="N840" t="s">
        <v>48</v>
      </c>
      <c r="O840" t="s">
        <v>58</v>
      </c>
      <c r="P840" t="s">
        <v>36</v>
      </c>
      <c r="Q840">
        <f>Table1[[#This Row],[Course_Fee_AED]]-Table1[[#This Row],[Amount_Paid_AED]]</f>
        <v>2687</v>
      </c>
      <c r="R840">
        <f>Table1[[#This Row],[Course_Fee_AED]]-Table1[[#This Row],[pending Revenue]]</f>
        <v>5370</v>
      </c>
    </row>
    <row r="841" spans="1:18" x14ac:dyDescent="0.25">
      <c r="A841" t="s">
        <v>918</v>
      </c>
      <c r="B841" s="2">
        <v>45618</v>
      </c>
      <c r="C841" t="s">
        <v>113</v>
      </c>
      <c r="D841" t="s">
        <v>93</v>
      </c>
      <c r="E841" t="s">
        <v>26</v>
      </c>
      <c r="F841" s="5">
        <v>3</v>
      </c>
      <c r="G841" s="5">
        <v>1</v>
      </c>
      <c r="H841" s="5">
        <v>4612</v>
      </c>
      <c r="I841" s="5">
        <v>1</v>
      </c>
      <c r="J841" s="5">
        <v>1537</v>
      </c>
      <c r="K841" t="s">
        <v>18</v>
      </c>
      <c r="L841" t="s">
        <v>57</v>
      </c>
      <c r="M841" t="s">
        <v>60</v>
      </c>
      <c r="N841" t="s">
        <v>86</v>
      </c>
      <c r="O841" t="s">
        <v>64</v>
      </c>
      <c r="P841" t="s">
        <v>36</v>
      </c>
      <c r="Q841">
        <f>Table1[[#This Row],[Course_Fee_AED]]-Table1[[#This Row],[Amount_Paid_AED]]</f>
        <v>3075</v>
      </c>
      <c r="R841">
        <f>Table1[[#This Row],[Course_Fee_AED]]-Table1[[#This Row],[pending Revenue]]</f>
        <v>1537</v>
      </c>
    </row>
    <row r="842" spans="1:18" x14ac:dyDescent="0.25">
      <c r="A842" t="s">
        <v>919</v>
      </c>
      <c r="B842" s="2">
        <v>45565</v>
      </c>
      <c r="C842" t="s">
        <v>45</v>
      </c>
      <c r="D842" t="s">
        <v>46</v>
      </c>
      <c r="E842" t="s">
        <v>17</v>
      </c>
      <c r="F842" s="5">
        <v>6</v>
      </c>
      <c r="G842" s="5">
        <v>1</v>
      </c>
      <c r="H842" s="5">
        <v>6344</v>
      </c>
      <c r="I842" s="5">
        <v>3</v>
      </c>
      <c r="J842" s="5">
        <v>6342</v>
      </c>
      <c r="K842" t="s">
        <v>18</v>
      </c>
      <c r="L842" t="s">
        <v>40</v>
      </c>
      <c r="M842" t="s">
        <v>20</v>
      </c>
      <c r="N842" t="s">
        <v>53</v>
      </c>
      <c r="O842" t="s">
        <v>87</v>
      </c>
      <c r="P842" t="s">
        <v>36</v>
      </c>
      <c r="Q842">
        <f>Table1[[#This Row],[Course_Fee_AED]]-Table1[[#This Row],[Amount_Paid_AED]]</f>
        <v>2</v>
      </c>
      <c r="R842">
        <f>Table1[[#This Row],[Course_Fee_AED]]-Table1[[#This Row],[pending Revenue]]</f>
        <v>6342</v>
      </c>
    </row>
    <row r="843" spans="1:18" x14ac:dyDescent="0.25">
      <c r="A843" t="s">
        <v>920</v>
      </c>
      <c r="B843" s="2">
        <v>45630</v>
      </c>
      <c r="C843" t="s">
        <v>82</v>
      </c>
      <c r="D843" t="s">
        <v>83</v>
      </c>
      <c r="E843" t="s">
        <v>17</v>
      </c>
      <c r="F843" s="5">
        <v>6</v>
      </c>
      <c r="G843" s="5">
        <v>1</v>
      </c>
      <c r="H843" s="5">
        <v>9383</v>
      </c>
      <c r="I843" s="5">
        <v>1</v>
      </c>
      <c r="J843" s="5">
        <v>3127</v>
      </c>
      <c r="K843" t="s">
        <v>18</v>
      </c>
      <c r="L843" t="s">
        <v>40</v>
      </c>
      <c r="M843" t="s">
        <v>47</v>
      </c>
      <c r="N843" t="s">
        <v>61</v>
      </c>
      <c r="O843" t="s">
        <v>49</v>
      </c>
      <c r="P843" t="s">
        <v>18</v>
      </c>
      <c r="Q843">
        <f>Table1[[#This Row],[Course_Fee_AED]]-Table1[[#This Row],[Amount_Paid_AED]]</f>
        <v>6256</v>
      </c>
      <c r="R843">
        <f>Table1[[#This Row],[Course_Fee_AED]]-Table1[[#This Row],[pending Revenue]]</f>
        <v>3127</v>
      </c>
    </row>
    <row r="844" spans="1:18" x14ac:dyDescent="0.25">
      <c r="A844" t="s">
        <v>921</v>
      </c>
      <c r="B844" s="2">
        <v>45555</v>
      </c>
      <c r="C844" t="s">
        <v>31</v>
      </c>
      <c r="D844" t="s">
        <v>32</v>
      </c>
      <c r="E844" t="s">
        <v>26</v>
      </c>
      <c r="F844" s="5">
        <v>3</v>
      </c>
      <c r="G844" s="5">
        <v>1</v>
      </c>
      <c r="H844" s="5">
        <v>7963</v>
      </c>
      <c r="I844" s="5">
        <v>3</v>
      </c>
      <c r="J844" s="5">
        <v>7962</v>
      </c>
      <c r="K844" t="s">
        <v>18</v>
      </c>
      <c r="L844" t="s">
        <v>19</v>
      </c>
      <c r="M844" t="s">
        <v>20</v>
      </c>
      <c r="N844" t="s">
        <v>79</v>
      </c>
      <c r="O844" t="s">
        <v>35</v>
      </c>
      <c r="P844" t="s">
        <v>18</v>
      </c>
      <c r="Q844">
        <f>Table1[[#This Row],[Course_Fee_AED]]-Table1[[#This Row],[Amount_Paid_AED]]</f>
        <v>1</v>
      </c>
      <c r="R844">
        <f>Table1[[#This Row],[Course_Fee_AED]]-Table1[[#This Row],[pending Revenue]]</f>
        <v>7962</v>
      </c>
    </row>
    <row r="845" spans="1:18" x14ac:dyDescent="0.25">
      <c r="A845" t="s">
        <v>922</v>
      </c>
      <c r="B845" s="2">
        <v>45537</v>
      </c>
      <c r="C845" t="s">
        <v>82</v>
      </c>
      <c r="D845" t="s">
        <v>83</v>
      </c>
      <c r="E845" t="s">
        <v>26</v>
      </c>
      <c r="F845" s="5">
        <v>3</v>
      </c>
      <c r="G845" s="5">
        <v>1</v>
      </c>
      <c r="H845" s="5">
        <v>13318</v>
      </c>
      <c r="I845" s="5">
        <v>1</v>
      </c>
      <c r="J845" s="5">
        <v>4439</v>
      </c>
      <c r="K845" t="s">
        <v>18</v>
      </c>
      <c r="L845" t="s">
        <v>57</v>
      </c>
      <c r="M845" t="s">
        <v>60</v>
      </c>
      <c r="N845" t="s">
        <v>95</v>
      </c>
      <c r="O845" t="s">
        <v>35</v>
      </c>
      <c r="P845" t="s">
        <v>18</v>
      </c>
      <c r="Q845">
        <f>Table1[[#This Row],[Course_Fee_AED]]-Table1[[#This Row],[Amount_Paid_AED]]</f>
        <v>8879</v>
      </c>
      <c r="R845">
        <f>Table1[[#This Row],[Course_Fee_AED]]-Table1[[#This Row],[pending Revenue]]</f>
        <v>4439</v>
      </c>
    </row>
    <row r="846" spans="1:18" x14ac:dyDescent="0.25">
      <c r="A846" t="s">
        <v>923</v>
      </c>
      <c r="B846" s="2">
        <v>45420</v>
      </c>
      <c r="C846" t="s">
        <v>51</v>
      </c>
      <c r="D846" t="s">
        <v>52</v>
      </c>
      <c r="E846" t="s">
        <v>26</v>
      </c>
      <c r="F846" s="5">
        <v>3</v>
      </c>
      <c r="G846" s="5">
        <v>1</v>
      </c>
      <c r="H846" s="5">
        <v>3653</v>
      </c>
      <c r="I846" s="5">
        <v>2</v>
      </c>
      <c r="J846" s="5">
        <v>2434</v>
      </c>
      <c r="K846" t="s">
        <v>18</v>
      </c>
      <c r="L846" t="s">
        <v>19</v>
      </c>
      <c r="M846" t="s">
        <v>60</v>
      </c>
      <c r="N846" t="s">
        <v>79</v>
      </c>
      <c r="O846" t="s">
        <v>68</v>
      </c>
      <c r="P846" t="s">
        <v>36</v>
      </c>
      <c r="Q846">
        <f>Table1[[#This Row],[Course_Fee_AED]]-Table1[[#This Row],[Amount_Paid_AED]]</f>
        <v>1219</v>
      </c>
      <c r="R846">
        <f>Table1[[#This Row],[Course_Fee_AED]]-Table1[[#This Row],[pending Revenue]]</f>
        <v>2434</v>
      </c>
    </row>
    <row r="847" spans="1:18" x14ac:dyDescent="0.25">
      <c r="A847" t="s">
        <v>924</v>
      </c>
      <c r="B847" s="2">
        <v>45326</v>
      </c>
      <c r="C847" t="s">
        <v>45</v>
      </c>
      <c r="D847" t="s">
        <v>46</v>
      </c>
      <c r="E847" t="s">
        <v>26</v>
      </c>
      <c r="F847" s="5">
        <v>3</v>
      </c>
      <c r="G847" s="5">
        <v>1</v>
      </c>
      <c r="H847" s="5">
        <v>5331</v>
      </c>
      <c r="I847" s="5">
        <v>1</v>
      </c>
      <c r="J847" s="5">
        <v>1777</v>
      </c>
      <c r="K847" t="s">
        <v>18</v>
      </c>
      <c r="L847" t="s">
        <v>19</v>
      </c>
      <c r="M847" t="s">
        <v>47</v>
      </c>
      <c r="N847" t="s">
        <v>95</v>
      </c>
      <c r="O847" t="s">
        <v>58</v>
      </c>
      <c r="P847" t="s">
        <v>36</v>
      </c>
      <c r="Q847">
        <f>Table1[[#This Row],[Course_Fee_AED]]-Table1[[#This Row],[Amount_Paid_AED]]</f>
        <v>3554</v>
      </c>
      <c r="R847">
        <f>Table1[[#This Row],[Course_Fee_AED]]-Table1[[#This Row],[pending Revenue]]</f>
        <v>1777</v>
      </c>
    </row>
    <row r="848" spans="1:18" x14ac:dyDescent="0.25">
      <c r="A848" t="s">
        <v>925</v>
      </c>
      <c r="B848" s="2">
        <v>45294</v>
      </c>
      <c r="C848" t="s">
        <v>82</v>
      </c>
      <c r="D848" t="s">
        <v>83</v>
      </c>
      <c r="E848" t="s">
        <v>17</v>
      </c>
      <c r="F848" s="5">
        <v>6</v>
      </c>
      <c r="G848" s="5">
        <v>1</v>
      </c>
      <c r="H848" s="5">
        <v>11327</v>
      </c>
      <c r="I848" s="5">
        <v>1</v>
      </c>
      <c r="J848" s="5">
        <v>3775</v>
      </c>
      <c r="K848" t="s">
        <v>18</v>
      </c>
      <c r="L848" t="s">
        <v>40</v>
      </c>
      <c r="M848" t="s">
        <v>47</v>
      </c>
      <c r="N848" t="s">
        <v>154</v>
      </c>
      <c r="O848" t="s">
        <v>87</v>
      </c>
      <c r="P848" t="s">
        <v>36</v>
      </c>
      <c r="Q848">
        <f>Table1[[#This Row],[Course_Fee_AED]]-Table1[[#This Row],[Amount_Paid_AED]]</f>
        <v>7552</v>
      </c>
      <c r="R848">
        <f>Table1[[#This Row],[Course_Fee_AED]]-Table1[[#This Row],[pending Revenue]]</f>
        <v>3775</v>
      </c>
    </row>
    <row r="849" spans="1:18" x14ac:dyDescent="0.25">
      <c r="A849" t="s">
        <v>926</v>
      </c>
      <c r="B849" s="2">
        <v>45437</v>
      </c>
      <c r="C849" t="s">
        <v>92</v>
      </c>
      <c r="D849" t="s">
        <v>93</v>
      </c>
      <c r="E849" t="s">
        <v>17</v>
      </c>
      <c r="F849" s="5">
        <v>6</v>
      </c>
      <c r="G849" s="5">
        <v>1</v>
      </c>
      <c r="H849" s="5">
        <v>4750</v>
      </c>
      <c r="I849" s="5">
        <v>2</v>
      </c>
      <c r="J849" s="5">
        <v>3166</v>
      </c>
      <c r="K849" t="s">
        <v>18</v>
      </c>
      <c r="L849" t="s">
        <v>19</v>
      </c>
      <c r="M849" t="s">
        <v>20</v>
      </c>
      <c r="N849" t="s">
        <v>73</v>
      </c>
      <c r="O849" t="s">
        <v>49</v>
      </c>
      <c r="P849" t="s">
        <v>18</v>
      </c>
      <c r="Q849">
        <f>Table1[[#This Row],[Course_Fee_AED]]-Table1[[#This Row],[Amount_Paid_AED]]</f>
        <v>1584</v>
      </c>
      <c r="R849">
        <f>Table1[[#This Row],[Course_Fee_AED]]-Table1[[#This Row],[pending Revenue]]</f>
        <v>3166</v>
      </c>
    </row>
    <row r="850" spans="1:18" x14ac:dyDescent="0.25">
      <c r="A850" t="s">
        <v>927</v>
      </c>
      <c r="B850" s="2">
        <v>45456</v>
      </c>
      <c r="C850" t="s">
        <v>92</v>
      </c>
      <c r="D850" t="s">
        <v>93</v>
      </c>
      <c r="E850" t="s">
        <v>26</v>
      </c>
      <c r="F850" s="5">
        <v>3</v>
      </c>
      <c r="G850" s="5">
        <v>1</v>
      </c>
      <c r="H850" s="5">
        <v>4701</v>
      </c>
      <c r="I850" s="5">
        <v>2</v>
      </c>
      <c r="J850" s="5">
        <v>3134</v>
      </c>
      <c r="K850" t="s">
        <v>18</v>
      </c>
      <c r="L850" t="s">
        <v>57</v>
      </c>
      <c r="M850" t="s">
        <v>47</v>
      </c>
      <c r="N850" t="s">
        <v>116</v>
      </c>
      <c r="O850" t="s">
        <v>49</v>
      </c>
      <c r="P850" t="s">
        <v>36</v>
      </c>
      <c r="Q850">
        <f>Table1[[#This Row],[Course_Fee_AED]]-Table1[[#This Row],[Amount_Paid_AED]]</f>
        <v>1567</v>
      </c>
      <c r="R850">
        <f>Table1[[#This Row],[Course_Fee_AED]]-Table1[[#This Row],[pending Revenue]]</f>
        <v>3134</v>
      </c>
    </row>
    <row r="851" spans="1:18" x14ac:dyDescent="0.25">
      <c r="A851" t="s">
        <v>928</v>
      </c>
      <c r="B851" s="2">
        <v>45349</v>
      </c>
      <c r="C851" t="s">
        <v>82</v>
      </c>
      <c r="D851" t="s">
        <v>83</v>
      </c>
      <c r="E851" t="s">
        <v>26</v>
      </c>
      <c r="F851" s="5">
        <v>3</v>
      </c>
      <c r="G851" s="5">
        <v>1</v>
      </c>
      <c r="H851" s="5">
        <v>10439</v>
      </c>
      <c r="I851" s="5">
        <v>2</v>
      </c>
      <c r="J851" s="5">
        <v>6958</v>
      </c>
      <c r="K851" t="s">
        <v>18</v>
      </c>
      <c r="L851" t="s">
        <v>19</v>
      </c>
      <c r="M851" t="s">
        <v>63</v>
      </c>
      <c r="N851" t="s">
        <v>21</v>
      </c>
      <c r="O851" t="s">
        <v>58</v>
      </c>
      <c r="P851" t="s">
        <v>36</v>
      </c>
      <c r="Q851">
        <f>Table1[[#This Row],[Course_Fee_AED]]-Table1[[#This Row],[Amount_Paid_AED]]</f>
        <v>3481</v>
      </c>
      <c r="R851">
        <f>Table1[[#This Row],[Course_Fee_AED]]-Table1[[#This Row],[pending Revenue]]</f>
        <v>6958</v>
      </c>
    </row>
    <row r="852" spans="1:18" x14ac:dyDescent="0.25">
      <c r="A852" t="s">
        <v>929</v>
      </c>
      <c r="B852" s="2">
        <v>45331</v>
      </c>
      <c r="C852" t="s">
        <v>38</v>
      </c>
      <c r="D852" t="s">
        <v>39</v>
      </c>
      <c r="E852" t="s">
        <v>17</v>
      </c>
      <c r="F852" s="5">
        <v>6</v>
      </c>
      <c r="G852" s="5">
        <v>1</v>
      </c>
      <c r="H852" s="5">
        <v>4676</v>
      </c>
      <c r="I852" s="5">
        <v>2</v>
      </c>
      <c r="J852" s="5">
        <v>3116</v>
      </c>
      <c r="K852" t="s">
        <v>18</v>
      </c>
      <c r="L852" t="s">
        <v>19</v>
      </c>
      <c r="M852" t="s">
        <v>20</v>
      </c>
      <c r="N852" t="s">
        <v>73</v>
      </c>
      <c r="O852" t="s">
        <v>22</v>
      </c>
      <c r="P852" t="s">
        <v>36</v>
      </c>
      <c r="Q852">
        <f>Table1[[#This Row],[Course_Fee_AED]]-Table1[[#This Row],[Amount_Paid_AED]]</f>
        <v>1560</v>
      </c>
      <c r="R852">
        <f>Table1[[#This Row],[Course_Fee_AED]]-Table1[[#This Row],[pending Revenue]]</f>
        <v>3116</v>
      </c>
    </row>
    <row r="853" spans="1:18" x14ac:dyDescent="0.25">
      <c r="A853" t="s">
        <v>930</v>
      </c>
      <c r="B853" s="2">
        <v>45611</v>
      </c>
      <c r="C853" t="s">
        <v>31</v>
      </c>
      <c r="D853" t="s">
        <v>32</v>
      </c>
      <c r="E853" t="s">
        <v>26</v>
      </c>
      <c r="F853" s="5">
        <v>3</v>
      </c>
      <c r="G853" s="5">
        <v>1</v>
      </c>
      <c r="H853" s="5">
        <v>6408</v>
      </c>
      <c r="I853" s="5">
        <v>3</v>
      </c>
      <c r="J853" s="5">
        <v>6408</v>
      </c>
      <c r="K853" t="s">
        <v>33</v>
      </c>
      <c r="L853" t="s">
        <v>57</v>
      </c>
      <c r="M853" t="s">
        <v>41</v>
      </c>
      <c r="N853" t="s">
        <v>70</v>
      </c>
      <c r="O853" t="s">
        <v>49</v>
      </c>
      <c r="P853" t="s">
        <v>36</v>
      </c>
      <c r="Q853">
        <f>Table1[[#This Row],[Course_Fee_AED]]-Table1[[#This Row],[Amount_Paid_AED]]</f>
        <v>0</v>
      </c>
      <c r="R853">
        <f>Table1[[#This Row],[Course_Fee_AED]]-Table1[[#This Row],[pending Revenue]]</f>
        <v>6408</v>
      </c>
    </row>
    <row r="854" spans="1:18" x14ac:dyDescent="0.25">
      <c r="A854" t="s">
        <v>931</v>
      </c>
      <c r="B854" s="2">
        <v>45301</v>
      </c>
      <c r="C854" t="s">
        <v>31</v>
      </c>
      <c r="D854" t="s">
        <v>32</v>
      </c>
      <c r="E854" t="s">
        <v>26</v>
      </c>
      <c r="F854" s="5">
        <v>3</v>
      </c>
      <c r="G854" s="5">
        <v>1</v>
      </c>
      <c r="H854" s="5">
        <v>6036</v>
      </c>
      <c r="I854" s="5">
        <v>3</v>
      </c>
      <c r="J854" s="5">
        <v>6036</v>
      </c>
      <c r="K854" t="s">
        <v>33</v>
      </c>
      <c r="L854" t="s">
        <v>19</v>
      </c>
      <c r="M854" t="s">
        <v>20</v>
      </c>
      <c r="N854" t="s">
        <v>79</v>
      </c>
      <c r="O854" t="s">
        <v>35</v>
      </c>
      <c r="P854" t="s">
        <v>18</v>
      </c>
      <c r="Q854">
        <f>Table1[[#This Row],[Course_Fee_AED]]-Table1[[#This Row],[Amount_Paid_AED]]</f>
        <v>0</v>
      </c>
      <c r="R854">
        <f>Table1[[#This Row],[Course_Fee_AED]]-Table1[[#This Row],[pending Revenue]]</f>
        <v>6036</v>
      </c>
    </row>
    <row r="855" spans="1:18" x14ac:dyDescent="0.25">
      <c r="A855" t="s">
        <v>932</v>
      </c>
      <c r="B855" s="2">
        <v>45642</v>
      </c>
      <c r="C855" t="s">
        <v>45</v>
      </c>
      <c r="D855" t="s">
        <v>46</v>
      </c>
      <c r="E855" t="s">
        <v>17</v>
      </c>
      <c r="F855" s="5">
        <v>6</v>
      </c>
      <c r="G855" s="5">
        <v>1</v>
      </c>
      <c r="H855" s="5">
        <v>4805</v>
      </c>
      <c r="I855" s="5">
        <v>2</v>
      </c>
      <c r="J855" s="5">
        <v>3202</v>
      </c>
      <c r="K855" t="s">
        <v>18</v>
      </c>
      <c r="L855" t="s">
        <v>19</v>
      </c>
      <c r="M855" t="s">
        <v>20</v>
      </c>
      <c r="N855" t="s">
        <v>28</v>
      </c>
      <c r="O855" t="s">
        <v>49</v>
      </c>
      <c r="P855" t="s">
        <v>36</v>
      </c>
      <c r="Q855">
        <f>Table1[[#This Row],[Course_Fee_AED]]-Table1[[#This Row],[Amount_Paid_AED]]</f>
        <v>1603</v>
      </c>
      <c r="R855">
        <f>Table1[[#This Row],[Course_Fee_AED]]-Table1[[#This Row],[pending Revenue]]</f>
        <v>3202</v>
      </c>
    </row>
    <row r="856" spans="1:18" x14ac:dyDescent="0.25">
      <c r="A856" t="s">
        <v>933</v>
      </c>
      <c r="B856" s="2">
        <v>45629</v>
      </c>
      <c r="C856" t="s">
        <v>100</v>
      </c>
      <c r="D856" t="s">
        <v>101</v>
      </c>
      <c r="E856" t="s">
        <v>17</v>
      </c>
      <c r="F856" s="5">
        <v>6</v>
      </c>
      <c r="G856" s="5">
        <v>1</v>
      </c>
      <c r="H856" s="5">
        <v>4271</v>
      </c>
      <c r="I856" s="5">
        <v>1</v>
      </c>
      <c r="J856" s="5">
        <v>1423</v>
      </c>
      <c r="K856" t="s">
        <v>18</v>
      </c>
      <c r="L856" t="s">
        <v>40</v>
      </c>
      <c r="M856" t="s">
        <v>20</v>
      </c>
      <c r="N856" t="s">
        <v>70</v>
      </c>
      <c r="O856" t="s">
        <v>29</v>
      </c>
      <c r="P856" t="s">
        <v>18</v>
      </c>
      <c r="Q856">
        <f>Table1[[#This Row],[Course_Fee_AED]]-Table1[[#This Row],[Amount_Paid_AED]]</f>
        <v>2848</v>
      </c>
      <c r="R856">
        <f>Table1[[#This Row],[Course_Fee_AED]]-Table1[[#This Row],[pending Revenue]]</f>
        <v>1423</v>
      </c>
    </row>
    <row r="857" spans="1:18" x14ac:dyDescent="0.25">
      <c r="A857" t="s">
        <v>934</v>
      </c>
      <c r="B857" s="2">
        <v>45414</v>
      </c>
      <c r="C857" t="s">
        <v>51</v>
      </c>
      <c r="D857" t="s">
        <v>52</v>
      </c>
      <c r="E857" t="s">
        <v>26</v>
      </c>
      <c r="F857" s="5">
        <v>3</v>
      </c>
      <c r="G857" s="5">
        <v>1</v>
      </c>
      <c r="H857" s="5">
        <v>5620</v>
      </c>
      <c r="I857" s="5">
        <v>1</v>
      </c>
      <c r="J857" s="5">
        <v>1873</v>
      </c>
      <c r="K857" t="s">
        <v>18</v>
      </c>
      <c r="L857" t="s">
        <v>40</v>
      </c>
      <c r="M857" t="s">
        <v>41</v>
      </c>
      <c r="N857" t="s">
        <v>61</v>
      </c>
      <c r="O857" t="s">
        <v>68</v>
      </c>
      <c r="P857" t="s">
        <v>36</v>
      </c>
      <c r="Q857">
        <f>Table1[[#This Row],[Course_Fee_AED]]-Table1[[#This Row],[Amount_Paid_AED]]</f>
        <v>3747</v>
      </c>
      <c r="R857">
        <f>Table1[[#This Row],[Course_Fee_AED]]-Table1[[#This Row],[pending Revenue]]</f>
        <v>1873</v>
      </c>
    </row>
    <row r="858" spans="1:18" x14ac:dyDescent="0.25">
      <c r="A858" t="s">
        <v>935</v>
      </c>
      <c r="B858" s="2">
        <v>45428</v>
      </c>
      <c r="C858" t="s">
        <v>24</v>
      </c>
      <c r="D858" t="s">
        <v>25</v>
      </c>
      <c r="E858" t="s">
        <v>26</v>
      </c>
      <c r="F858" s="5">
        <v>3</v>
      </c>
      <c r="G858" s="5">
        <v>1</v>
      </c>
      <c r="H858" s="5">
        <v>5562</v>
      </c>
      <c r="I858" s="5">
        <v>2</v>
      </c>
      <c r="J858" s="5">
        <v>3708</v>
      </c>
      <c r="K858" t="s">
        <v>18</v>
      </c>
      <c r="L858" t="s">
        <v>19</v>
      </c>
      <c r="M858" t="s">
        <v>27</v>
      </c>
      <c r="N858" t="s">
        <v>154</v>
      </c>
      <c r="O858" t="s">
        <v>68</v>
      </c>
      <c r="P858" t="s">
        <v>18</v>
      </c>
      <c r="Q858">
        <f>Table1[[#This Row],[Course_Fee_AED]]-Table1[[#This Row],[Amount_Paid_AED]]</f>
        <v>1854</v>
      </c>
      <c r="R858">
        <f>Table1[[#This Row],[Course_Fee_AED]]-Table1[[#This Row],[pending Revenue]]</f>
        <v>3708</v>
      </c>
    </row>
    <row r="859" spans="1:18" x14ac:dyDescent="0.25">
      <c r="A859" t="s">
        <v>936</v>
      </c>
      <c r="B859" s="2">
        <v>45405</v>
      </c>
      <c r="C859" t="s">
        <v>55</v>
      </c>
      <c r="D859" t="s">
        <v>56</v>
      </c>
      <c r="E859" t="s">
        <v>26</v>
      </c>
      <c r="F859" s="5">
        <v>3</v>
      </c>
      <c r="G859" s="5">
        <v>1</v>
      </c>
      <c r="H859" s="5">
        <v>8526</v>
      </c>
      <c r="I859" s="5">
        <v>2</v>
      </c>
      <c r="J859" s="5">
        <v>5684</v>
      </c>
      <c r="K859" t="s">
        <v>18</v>
      </c>
      <c r="L859" t="s">
        <v>57</v>
      </c>
      <c r="M859" t="s">
        <v>63</v>
      </c>
      <c r="N859" t="s">
        <v>86</v>
      </c>
      <c r="O859" t="s">
        <v>68</v>
      </c>
      <c r="P859" t="s">
        <v>36</v>
      </c>
      <c r="Q859">
        <f>Table1[[#This Row],[Course_Fee_AED]]-Table1[[#This Row],[Amount_Paid_AED]]</f>
        <v>2842</v>
      </c>
      <c r="R859">
        <f>Table1[[#This Row],[Course_Fee_AED]]-Table1[[#This Row],[pending Revenue]]</f>
        <v>5684</v>
      </c>
    </row>
    <row r="860" spans="1:18" x14ac:dyDescent="0.25">
      <c r="A860" t="s">
        <v>937</v>
      </c>
      <c r="B860" s="2">
        <v>45569</v>
      </c>
      <c r="C860" t="s">
        <v>55</v>
      </c>
      <c r="D860" t="s">
        <v>56</v>
      </c>
      <c r="E860" t="s">
        <v>17</v>
      </c>
      <c r="F860" s="5">
        <v>6</v>
      </c>
      <c r="G860" s="5">
        <v>1</v>
      </c>
      <c r="H860" s="5">
        <v>9440</v>
      </c>
      <c r="I860" s="5">
        <v>2</v>
      </c>
      <c r="J860" s="5">
        <v>6292</v>
      </c>
      <c r="K860" t="s">
        <v>18</v>
      </c>
      <c r="L860" t="s">
        <v>19</v>
      </c>
      <c r="M860" t="s">
        <v>41</v>
      </c>
      <c r="N860" t="s">
        <v>95</v>
      </c>
      <c r="O860" t="s">
        <v>29</v>
      </c>
      <c r="P860" t="s">
        <v>36</v>
      </c>
      <c r="Q860">
        <f>Table1[[#This Row],[Course_Fee_AED]]-Table1[[#This Row],[Amount_Paid_AED]]</f>
        <v>3148</v>
      </c>
      <c r="R860">
        <f>Table1[[#This Row],[Course_Fee_AED]]-Table1[[#This Row],[pending Revenue]]</f>
        <v>6292</v>
      </c>
    </row>
    <row r="861" spans="1:18" x14ac:dyDescent="0.25">
      <c r="A861" t="s">
        <v>938</v>
      </c>
      <c r="B861" s="2">
        <v>45497</v>
      </c>
      <c r="C861" t="s">
        <v>45</v>
      </c>
      <c r="D861" t="s">
        <v>46</v>
      </c>
      <c r="E861" t="s">
        <v>26</v>
      </c>
      <c r="F861" s="5">
        <v>3</v>
      </c>
      <c r="G861" s="5">
        <v>1</v>
      </c>
      <c r="H861" s="5">
        <v>4026</v>
      </c>
      <c r="I861" s="5">
        <v>2</v>
      </c>
      <c r="J861" s="5">
        <v>2684</v>
      </c>
      <c r="K861" t="s">
        <v>18</v>
      </c>
      <c r="L861" t="s">
        <v>19</v>
      </c>
      <c r="M861" t="s">
        <v>60</v>
      </c>
      <c r="N861" t="s">
        <v>95</v>
      </c>
      <c r="O861" t="s">
        <v>64</v>
      </c>
      <c r="P861" t="s">
        <v>36</v>
      </c>
      <c r="Q861">
        <f>Table1[[#This Row],[Course_Fee_AED]]-Table1[[#This Row],[Amount_Paid_AED]]</f>
        <v>1342</v>
      </c>
      <c r="R861">
        <f>Table1[[#This Row],[Course_Fee_AED]]-Table1[[#This Row],[pending Revenue]]</f>
        <v>2684</v>
      </c>
    </row>
    <row r="862" spans="1:18" x14ac:dyDescent="0.25">
      <c r="A862" t="s">
        <v>939</v>
      </c>
      <c r="B862" s="2">
        <v>45541</v>
      </c>
      <c r="C862" t="s">
        <v>55</v>
      </c>
      <c r="D862" t="s">
        <v>56</v>
      </c>
      <c r="E862" t="s">
        <v>17</v>
      </c>
      <c r="F862" s="5">
        <v>6</v>
      </c>
      <c r="G862" s="5">
        <v>1</v>
      </c>
      <c r="H862" s="5">
        <v>9023</v>
      </c>
      <c r="I862" s="5">
        <v>2</v>
      </c>
      <c r="J862" s="5">
        <v>6014</v>
      </c>
      <c r="K862" t="s">
        <v>18</v>
      </c>
      <c r="L862" t="s">
        <v>19</v>
      </c>
      <c r="M862" t="s">
        <v>47</v>
      </c>
      <c r="N862" t="s">
        <v>70</v>
      </c>
      <c r="O862" t="s">
        <v>22</v>
      </c>
      <c r="P862" t="s">
        <v>18</v>
      </c>
      <c r="Q862">
        <f>Table1[[#This Row],[Course_Fee_AED]]-Table1[[#This Row],[Amount_Paid_AED]]</f>
        <v>3009</v>
      </c>
      <c r="R862">
        <f>Table1[[#This Row],[Course_Fee_AED]]-Table1[[#This Row],[pending Revenue]]</f>
        <v>6014</v>
      </c>
    </row>
    <row r="863" spans="1:18" x14ac:dyDescent="0.25">
      <c r="A863" t="s">
        <v>940</v>
      </c>
      <c r="B863" s="2">
        <v>45464</v>
      </c>
      <c r="C863" t="s">
        <v>82</v>
      </c>
      <c r="D863" t="s">
        <v>83</v>
      </c>
      <c r="E863" t="s">
        <v>26</v>
      </c>
      <c r="F863" s="5">
        <v>3</v>
      </c>
      <c r="G863" s="5">
        <v>1</v>
      </c>
      <c r="H863" s="5">
        <v>8065</v>
      </c>
      <c r="I863" s="5">
        <v>3</v>
      </c>
      <c r="J863" s="5">
        <v>8064</v>
      </c>
      <c r="K863" t="s">
        <v>18</v>
      </c>
      <c r="L863" t="s">
        <v>40</v>
      </c>
      <c r="M863" t="s">
        <v>60</v>
      </c>
      <c r="N863" t="s">
        <v>28</v>
      </c>
      <c r="O863" t="s">
        <v>22</v>
      </c>
      <c r="P863" t="s">
        <v>36</v>
      </c>
      <c r="Q863">
        <f>Table1[[#This Row],[Course_Fee_AED]]-Table1[[#This Row],[Amount_Paid_AED]]</f>
        <v>1</v>
      </c>
      <c r="R863">
        <f>Table1[[#This Row],[Course_Fee_AED]]-Table1[[#This Row],[pending Revenue]]</f>
        <v>8064</v>
      </c>
    </row>
    <row r="864" spans="1:18" x14ac:dyDescent="0.25">
      <c r="A864" t="s">
        <v>941</v>
      </c>
      <c r="B864" s="2">
        <v>45362</v>
      </c>
      <c r="C864" t="s">
        <v>45</v>
      </c>
      <c r="D864" t="s">
        <v>46</v>
      </c>
      <c r="E864" t="s">
        <v>26</v>
      </c>
      <c r="F864" s="5">
        <v>3</v>
      </c>
      <c r="G864" s="5">
        <v>1</v>
      </c>
      <c r="H864" s="5">
        <v>5649</v>
      </c>
      <c r="I864" s="5">
        <v>2</v>
      </c>
      <c r="J864" s="5">
        <v>3766</v>
      </c>
      <c r="K864" t="s">
        <v>18</v>
      </c>
      <c r="L864" t="s">
        <v>19</v>
      </c>
      <c r="M864" t="s">
        <v>41</v>
      </c>
      <c r="N864" t="s">
        <v>79</v>
      </c>
      <c r="O864" t="s">
        <v>71</v>
      </c>
      <c r="P864" t="s">
        <v>36</v>
      </c>
      <c r="Q864">
        <f>Table1[[#This Row],[Course_Fee_AED]]-Table1[[#This Row],[Amount_Paid_AED]]</f>
        <v>1883</v>
      </c>
      <c r="R864">
        <f>Table1[[#This Row],[Course_Fee_AED]]-Table1[[#This Row],[pending Revenue]]</f>
        <v>3766</v>
      </c>
    </row>
    <row r="865" spans="1:18" x14ac:dyDescent="0.25">
      <c r="A865" t="s">
        <v>942</v>
      </c>
      <c r="B865" s="2">
        <v>45506</v>
      </c>
      <c r="C865" t="s">
        <v>66</v>
      </c>
      <c r="D865" t="s">
        <v>56</v>
      </c>
      <c r="E865" t="s">
        <v>26</v>
      </c>
      <c r="F865" s="5">
        <v>3</v>
      </c>
      <c r="G865" s="5">
        <v>1</v>
      </c>
      <c r="H865" s="5">
        <v>9103</v>
      </c>
      <c r="I865" s="5">
        <v>1</v>
      </c>
      <c r="J865" s="5">
        <v>3034</v>
      </c>
      <c r="K865" t="s">
        <v>18</v>
      </c>
      <c r="L865" t="s">
        <v>40</v>
      </c>
      <c r="M865" t="s">
        <v>41</v>
      </c>
      <c r="N865" t="s">
        <v>116</v>
      </c>
      <c r="O865" t="s">
        <v>29</v>
      </c>
      <c r="P865" t="s">
        <v>18</v>
      </c>
      <c r="Q865">
        <f>Table1[[#This Row],[Course_Fee_AED]]-Table1[[#This Row],[Amount_Paid_AED]]</f>
        <v>6069</v>
      </c>
      <c r="R865">
        <f>Table1[[#This Row],[Course_Fee_AED]]-Table1[[#This Row],[pending Revenue]]</f>
        <v>3034</v>
      </c>
    </row>
    <row r="866" spans="1:18" x14ac:dyDescent="0.25">
      <c r="A866" t="s">
        <v>943</v>
      </c>
      <c r="B866" s="2">
        <v>45598</v>
      </c>
      <c r="C866" t="s">
        <v>51</v>
      </c>
      <c r="D866" t="s">
        <v>52</v>
      </c>
      <c r="E866" t="s">
        <v>26</v>
      </c>
      <c r="F866" s="5">
        <v>3</v>
      </c>
      <c r="G866" s="5">
        <v>1</v>
      </c>
      <c r="H866" s="5">
        <v>5130</v>
      </c>
      <c r="I866" s="5">
        <v>3</v>
      </c>
      <c r="J866" s="5">
        <v>5130</v>
      </c>
      <c r="K866" t="s">
        <v>33</v>
      </c>
      <c r="L866" t="s">
        <v>57</v>
      </c>
      <c r="M866" t="s">
        <v>47</v>
      </c>
      <c r="N866" t="s">
        <v>116</v>
      </c>
      <c r="O866" t="s">
        <v>49</v>
      </c>
      <c r="P866" t="s">
        <v>36</v>
      </c>
      <c r="Q866">
        <f>Table1[[#This Row],[Course_Fee_AED]]-Table1[[#This Row],[Amount_Paid_AED]]</f>
        <v>0</v>
      </c>
      <c r="R866">
        <f>Table1[[#This Row],[Course_Fee_AED]]-Table1[[#This Row],[pending Revenue]]</f>
        <v>5130</v>
      </c>
    </row>
    <row r="867" spans="1:18" x14ac:dyDescent="0.25">
      <c r="A867" t="s">
        <v>944</v>
      </c>
      <c r="B867" s="2">
        <v>45656</v>
      </c>
      <c r="C867" t="s">
        <v>75</v>
      </c>
      <c r="D867" t="s">
        <v>76</v>
      </c>
      <c r="E867" t="s">
        <v>26</v>
      </c>
      <c r="F867" s="5">
        <v>3</v>
      </c>
      <c r="G867" s="5">
        <v>1</v>
      </c>
      <c r="H867" s="5">
        <v>9258</v>
      </c>
      <c r="I867" s="5">
        <v>3</v>
      </c>
      <c r="J867" s="5">
        <v>9258</v>
      </c>
      <c r="K867" t="s">
        <v>33</v>
      </c>
      <c r="L867" t="s">
        <v>19</v>
      </c>
      <c r="M867" t="s">
        <v>41</v>
      </c>
      <c r="N867" t="s">
        <v>48</v>
      </c>
      <c r="O867" t="s">
        <v>71</v>
      </c>
      <c r="P867" t="s">
        <v>18</v>
      </c>
      <c r="Q867">
        <f>Table1[[#This Row],[Course_Fee_AED]]-Table1[[#This Row],[Amount_Paid_AED]]</f>
        <v>0</v>
      </c>
      <c r="R867">
        <f>Table1[[#This Row],[Course_Fee_AED]]-Table1[[#This Row],[pending Revenue]]</f>
        <v>9258</v>
      </c>
    </row>
    <row r="868" spans="1:18" x14ac:dyDescent="0.25">
      <c r="A868" t="s">
        <v>945</v>
      </c>
      <c r="B868" s="2">
        <v>45408</v>
      </c>
      <c r="C868" t="s">
        <v>106</v>
      </c>
      <c r="D868" t="s">
        <v>107</v>
      </c>
      <c r="E868" t="s">
        <v>26</v>
      </c>
      <c r="F868" s="5">
        <v>3</v>
      </c>
      <c r="G868" s="5">
        <v>1</v>
      </c>
      <c r="H868" s="5">
        <v>5021</v>
      </c>
      <c r="I868" s="5">
        <v>2</v>
      </c>
      <c r="J868" s="5">
        <v>3346</v>
      </c>
      <c r="K868" t="s">
        <v>18</v>
      </c>
      <c r="L868" t="s">
        <v>57</v>
      </c>
      <c r="M868" t="s">
        <v>27</v>
      </c>
      <c r="N868" t="s">
        <v>21</v>
      </c>
      <c r="O868" t="s">
        <v>68</v>
      </c>
      <c r="P868" t="s">
        <v>36</v>
      </c>
      <c r="Q868">
        <f>Table1[[#This Row],[Course_Fee_AED]]-Table1[[#This Row],[Amount_Paid_AED]]</f>
        <v>1675</v>
      </c>
      <c r="R868">
        <f>Table1[[#This Row],[Course_Fee_AED]]-Table1[[#This Row],[pending Revenue]]</f>
        <v>3346</v>
      </c>
    </row>
    <row r="869" spans="1:18" x14ac:dyDescent="0.25">
      <c r="A869" t="s">
        <v>946</v>
      </c>
      <c r="B869" s="2">
        <v>45573</v>
      </c>
      <c r="C869" t="s">
        <v>106</v>
      </c>
      <c r="D869" t="s">
        <v>107</v>
      </c>
      <c r="E869" t="s">
        <v>26</v>
      </c>
      <c r="F869" s="5">
        <v>3</v>
      </c>
      <c r="G869" s="5">
        <v>1</v>
      </c>
      <c r="H869" s="5">
        <v>5002</v>
      </c>
      <c r="I869" s="5">
        <v>2</v>
      </c>
      <c r="J869" s="5">
        <v>3334</v>
      </c>
      <c r="K869" t="s">
        <v>18</v>
      </c>
      <c r="L869" t="s">
        <v>57</v>
      </c>
      <c r="M869" t="s">
        <v>41</v>
      </c>
      <c r="N869" t="s">
        <v>28</v>
      </c>
      <c r="O869" t="s">
        <v>35</v>
      </c>
      <c r="P869" t="s">
        <v>36</v>
      </c>
      <c r="Q869">
        <f>Table1[[#This Row],[Course_Fee_AED]]-Table1[[#This Row],[Amount_Paid_AED]]</f>
        <v>1668</v>
      </c>
      <c r="R869">
        <f>Table1[[#This Row],[Course_Fee_AED]]-Table1[[#This Row],[pending Revenue]]</f>
        <v>3334</v>
      </c>
    </row>
    <row r="870" spans="1:18" x14ac:dyDescent="0.25">
      <c r="A870" t="s">
        <v>947</v>
      </c>
      <c r="B870" s="2">
        <v>45628</v>
      </c>
      <c r="C870" t="s">
        <v>106</v>
      </c>
      <c r="D870" t="s">
        <v>107</v>
      </c>
      <c r="E870" t="s">
        <v>17</v>
      </c>
      <c r="F870" s="5">
        <v>6</v>
      </c>
      <c r="G870" s="5">
        <v>1</v>
      </c>
      <c r="H870" s="5">
        <v>6184</v>
      </c>
      <c r="I870" s="5">
        <v>3</v>
      </c>
      <c r="J870" s="5">
        <v>6183</v>
      </c>
      <c r="K870" t="s">
        <v>18</v>
      </c>
      <c r="L870" t="s">
        <v>57</v>
      </c>
      <c r="M870" t="s">
        <v>27</v>
      </c>
      <c r="N870" t="s">
        <v>116</v>
      </c>
      <c r="O870" t="s">
        <v>35</v>
      </c>
      <c r="P870" t="s">
        <v>36</v>
      </c>
      <c r="Q870">
        <f>Table1[[#This Row],[Course_Fee_AED]]-Table1[[#This Row],[Amount_Paid_AED]]</f>
        <v>1</v>
      </c>
      <c r="R870">
        <f>Table1[[#This Row],[Course_Fee_AED]]-Table1[[#This Row],[pending Revenue]]</f>
        <v>6183</v>
      </c>
    </row>
    <row r="871" spans="1:18" x14ac:dyDescent="0.25">
      <c r="A871" t="s">
        <v>948</v>
      </c>
      <c r="B871" s="2">
        <v>45400</v>
      </c>
      <c r="C871" t="s">
        <v>100</v>
      </c>
      <c r="D871" t="s">
        <v>101</v>
      </c>
      <c r="E871" t="s">
        <v>17</v>
      </c>
      <c r="F871" s="5">
        <v>6</v>
      </c>
      <c r="G871" s="5">
        <v>1</v>
      </c>
      <c r="H871" s="5">
        <v>4069</v>
      </c>
      <c r="I871" s="5">
        <v>2</v>
      </c>
      <c r="J871" s="5">
        <v>2712</v>
      </c>
      <c r="K871" t="s">
        <v>18</v>
      </c>
      <c r="L871" t="s">
        <v>40</v>
      </c>
      <c r="M871" t="s">
        <v>41</v>
      </c>
      <c r="N871" t="s">
        <v>95</v>
      </c>
      <c r="O871" t="s">
        <v>35</v>
      </c>
      <c r="P871" t="s">
        <v>18</v>
      </c>
      <c r="Q871">
        <f>Table1[[#This Row],[Course_Fee_AED]]-Table1[[#This Row],[Amount_Paid_AED]]</f>
        <v>1357</v>
      </c>
      <c r="R871">
        <f>Table1[[#This Row],[Course_Fee_AED]]-Table1[[#This Row],[pending Revenue]]</f>
        <v>2712</v>
      </c>
    </row>
    <row r="872" spans="1:18" x14ac:dyDescent="0.25">
      <c r="A872" t="s">
        <v>949</v>
      </c>
      <c r="B872" s="2">
        <v>45591</v>
      </c>
      <c r="C872" t="s">
        <v>106</v>
      </c>
      <c r="D872" t="s">
        <v>107</v>
      </c>
      <c r="E872" t="s">
        <v>17</v>
      </c>
      <c r="F872" s="5">
        <v>6</v>
      </c>
      <c r="G872" s="5">
        <v>1</v>
      </c>
      <c r="H872" s="5">
        <v>6752</v>
      </c>
      <c r="I872" s="5">
        <v>3</v>
      </c>
      <c r="J872" s="5">
        <v>6750</v>
      </c>
      <c r="K872" t="s">
        <v>18</v>
      </c>
      <c r="L872" t="s">
        <v>40</v>
      </c>
      <c r="M872" t="s">
        <v>20</v>
      </c>
      <c r="N872" t="s">
        <v>28</v>
      </c>
      <c r="O872" t="s">
        <v>29</v>
      </c>
      <c r="P872" t="s">
        <v>36</v>
      </c>
      <c r="Q872">
        <f>Table1[[#This Row],[Course_Fee_AED]]-Table1[[#This Row],[Amount_Paid_AED]]</f>
        <v>2</v>
      </c>
      <c r="R872">
        <f>Table1[[#This Row],[Course_Fee_AED]]-Table1[[#This Row],[pending Revenue]]</f>
        <v>6750</v>
      </c>
    </row>
    <row r="873" spans="1:18" x14ac:dyDescent="0.25">
      <c r="A873" t="s">
        <v>950</v>
      </c>
      <c r="B873" s="2">
        <v>45432</v>
      </c>
      <c r="C873" t="s">
        <v>113</v>
      </c>
      <c r="D873" t="s">
        <v>93</v>
      </c>
      <c r="E873" t="s">
        <v>26</v>
      </c>
      <c r="F873" s="5">
        <v>3</v>
      </c>
      <c r="G873" s="5">
        <v>1</v>
      </c>
      <c r="H873" s="5">
        <v>4029</v>
      </c>
      <c r="I873" s="5">
        <v>1</v>
      </c>
      <c r="J873" s="5">
        <v>1343</v>
      </c>
      <c r="K873" t="s">
        <v>18</v>
      </c>
      <c r="L873" t="s">
        <v>40</v>
      </c>
      <c r="M873" t="s">
        <v>60</v>
      </c>
      <c r="N873" t="s">
        <v>86</v>
      </c>
      <c r="O873" t="s">
        <v>87</v>
      </c>
      <c r="P873" t="s">
        <v>36</v>
      </c>
      <c r="Q873">
        <f>Table1[[#This Row],[Course_Fee_AED]]-Table1[[#This Row],[Amount_Paid_AED]]</f>
        <v>2686</v>
      </c>
      <c r="R873">
        <f>Table1[[#This Row],[Course_Fee_AED]]-Table1[[#This Row],[pending Revenue]]</f>
        <v>1343</v>
      </c>
    </row>
    <row r="874" spans="1:18" x14ac:dyDescent="0.25">
      <c r="A874" t="s">
        <v>951</v>
      </c>
      <c r="B874" s="2">
        <v>45643</v>
      </c>
      <c r="C874" t="s">
        <v>113</v>
      </c>
      <c r="D874" t="s">
        <v>93</v>
      </c>
      <c r="E874" t="s">
        <v>17</v>
      </c>
      <c r="F874" s="5">
        <v>6</v>
      </c>
      <c r="G874" s="5">
        <v>1</v>
      </c>
      <c r="H874" s="5">
        <v>3457</v>
      </c>
      <c r="I874" s="5">
        <v>1</v>
      </c>
      <c r="J874" s="5">
        <v>1152</v>
      </c>
      <c r="K874" t="s">
        <v>18</v>
      </c>
      <c r="L874" t="s">
        <v>57</v>
      </c>
      <c r="M874" t="s">
        <v>27</v>
      </c>
      <c r="N874" t="s">
        <v>48</v>
      </c>
      <c r="O874" t="s">
        <v>68</v>
      </c>
      <c r="P874" t="s">
        <v>36</v>
      </c>
      <c r="Q874">
        <f>Table1[[#This Row],[Course_Fee_AED]]-Table1[[#This Row],[Amount_Paid_AED]]</f>
        <v>2305</v>
      </c>
      <c r="R874">
        <f>Table1[[#This Row],[Course_Fee_AED]]-Table1[[#This Row],[pending Revenue]]</f>
        <v>1152</v>
      </c>
    </row>
    <row r="875" spans="1:18" x14ac:dyDescent="0.25">
      <c r="A875" t="s">
        <v>952</v>
      </c>
      <c r="B875" s="2">
        <v>45321</v>
      </c>
      <c r="C875" t="s">
        <v>66</v>
      </c>
      <c r="D875" t="s">
        <v>56</v>
      </c>
      <c r="E875" t="s">
        <v>26</v>
      </c>
      <c r="F875" s="5">
        <v>3</v>
      </c>
      <c r="G875" s="5">
        <v>1</v>
      </c>
      <c r="H875" s="5">
        <v>10501</v>
      </c>
      <c r="I875" s="5">
        <v>1</v>
      </c>
      <c r="J875" s="5">
        <v>3500</v>
      </c>
      <c r="K875" t="s">
        <v>18</v>
      </c>
      <c r="L875" t="s">
        <v>19</v>
      </c>
      <c r="M875" t="s">
        <v>27</v>
      </c>
      <c r="N875" t="s">
        <v>53</v>
      </c>
      <c r="O875" t="s">
        <v>58</v>
      </c>
      <c r="P875" t="s">
        <v>36</v>
      </c>
      <c r="Q875">
        <f>Table1[[#This Row],[Course_Fee_AED]]-Table1[[#This Row],[Amount_Paid_AED]]</f>
        <v>7001</v>
      </c>
      <c r="R875">
        <f>Table1[[#This Row],[Course_Fee_AED]]-Table1[[#This Row],[pending Revenue]]</f>
        <v>3500</v>
      </c>
    </row>
    <row r="876" spans="1:18" x14ac:dyDescent="0.25">
      <c r="A876" t="s">
        <v>953</v>
      </c>
      <c r="B876" s="2">
        <v>45547</v>
      </c>
      <c r="C876" t="s">
        <v>24</v>
      </c>
      <c r="D876" t="s">
        <v>25</v>
      </c>
      <c r="E876" t="s">
        <v>26</v>
      </c>
      <c r="F876" s="5">
        <v>3</v>
      </c>
      <c r="G876" s="5">
        <v>1</v>
      </c>
      <c r="H876" s="5">
        <v>5149</v>
      </c>
      <c r="I876" s="5">
        <v>3</v>
      </c>
      <c r="J876" s="5">
        <v>5148</v>
      </c>
      <c r="K876" t="s">
        <v>18</v>
      </c>
      <c r="L876" t="s">
        <v>40</v>
      </c>
      <c r="M876" t="s">
        <v>60</v>
      </c>
      <c r="N876" t="s">
        <v>34</v>
      </c>
      <c r="O876" t="s">
        <v>22</v>
      </c>
      <c r="P876" t="s">
        <v>36</v>
      </c>
      <c r="Q876">
        <f>Table1[[#This Row],[Course_Fee_AED]]-Table1[[#This Row],[Amount_Paid_AED]]</f>
        <v>1</v>
      </c>
      <c r="R876">
        <f>Table1[[#This Row],[Course_Fee_AED]]-Table1[[#This Row],[pending Revenue]]</f>
        <v>5148</v>
      </c>
    </row>
    <row r="877" spans="1:18" x14ac:dyDescent="0.25">
      <c r="A877" t="s">
        <v>954</v>
      </c>
      <c r="B877" s="2">
        <v>45637</v>
      </c>
      <c r="C877" t="s">
        <v>45</v>
      </c>
      <c r="D877" t="s">
        <v>46</v>
      </c>
      <c r="E877" t="s">
        <v>17</v>
      </c>
      <c r="F877" s="5">
        <v>6</v>
      </c>
      <c r="G877" s="5">
        <v>1</v>
      </c>
      <c r="H877" s="5">
        <v>5247</v>
      </c>
      <c r="I877" s="5">
        <v>2</v>
      </c>
      <c r="J877" s="5">
        <v>3498</v>
      </c>
      <c r="K877" t="s">
        <v>18</v>
      </c>
      <c r="L877" t="s">
        <v>40</v>
      </c>
      <c r="M877" t="s">
        <v>27</v>
      </c>
      <c r="N877" t="s">
        <v>28</v>
      </c>
      <c r="O877" t="s">
        <v>35</v>
      </c>
      <c r="P877" t="s">
        <v>36</v>
      </c>
      <c r="Q877">
        <f>Table1[[#This Row],[Course_Fee_AED]]-Table1[[#This Row],[Amount_Paid_AED]]</f>
        <v>1749</v>
      </c>
      <c r="R877">
        <f>Table1[[#This Row],[Course_Fee_AED]]-Table1[[#This Row],[pending Revenue]]</f>
        <v>3498</v>
      </c>
    </row>
    <row r="878" spans="1:18" x14ac:dyDescent="0.25">
      <c r="A878" t="s">
        <v>955</v>
      </c>
      <c r="B878" s="2">
        <v>45635</v>
      </c>
      <c r="C878" t="s">
        <v>92</v>
      </c>
      <c r="D878" t="s">
        <v>93</v>
      </c>
      <c r="E878" t="s">
        <v>26</v>
      </c>
      <c r="F878" s="5">
        <v>3</v>
      </c>
      <c r="G878" s="5">
        <v>1</v>
      </c>
      <c r="H878" s="5">
        <v>7647</v>
      </c>
      <c r="I878" s="5">
        <v>2</v>
      </c>
      <c r="J878" s="5">
        <v>5098</v>
      </c>
      <c r="K878" t="s">
        <v>18</v>
      </c>
      <c r="L878" t="s">
        <v>57</v>
      </c>
      <c r="M878" t="s">
        <v>41</v>
      </c>
      <c r="N878" t="s">
        <v>53</v>
      </c>
      <c r="O878" t="s">
        <v>29</v>
      </c>
      <c r="P878" t="s">
        <v>36</v>
      </c>
      <c r="Q878">
        <f>Table1[[#This Row],[Course_Fee_AED]]-Table1[[#This Row],[Amount_Paid_AED]]</f>
        <v>2549</v>
      </c>
      <c r="R878">
        <f>Table1[[#This Row],[Course_Fee_AED]]-Table1[[#This Row],[pending Revenue]]</f>
        <v>5098</v>
      </c>
    </row>
    <row r="879" spans="1:18" x14ac:dyDescent="0.25">
      <c r="A879" t="s">
        <v>956</v>
      </c>
      <c r="B879" s="2">
        <v>45571</v>
      </c>
      <c r="C879" t="s">
        <v>106</v>
      </c>
      <c r="D879" t="s">
        <v>107</v>
      </c>
      <c r="E879" t="s">
        <v>17</v>
      </c>
      <c r="F879" s="5">
        <v>6</v>
      </c>
      <c r="G879" s="5">
        <v>1</v>
      </c>
      <c r="H879" s="5">
        <v>7074</v>
      </c>
      <c r="I879" s="5">
        <v>2</v>
      </c>
      <c r="J879" s="5">
        <v>4716</v>
      </c>
      <c r="K879" t="s">
        <v>18</v>
      </c>
      <c r="L879" t="s">
        <v>19</v>
      </c>
      <c r="M879" t="s">
        <v>60</v>
      </c>
      <c r="N879" t="s">
        <v>53</v>
      </c>
      <c r="O879" t="s">
        <v>29</v>
      </c>
      <c r="P879" t="s">
        <v>36</v>
      </c>
      <c r="Q879">
        <f>Table1[[#This Row],[Course_Fee_AED]]-Table1[[#This Row],[Amount_Paid_AED]]</f>
        <v>2358</v>
      </c>
      <c r="R879">
        <f>Table1[[#This Row],[Course_Fee_AED]]-Table1[[#This Row],[pending Revenue]]</f>
        <v>4716</v>
      </c>
    </row>
    <row r="880" spans="1:18" x14ac:dyDescent="0.25">
      <c r="A880" t="s">
        <v>957</v>
      </c>
      <c r="B880" s="2">
        <v>45325</v>
      </c>
      <c r="C880" t="s">
        <v>106</v>
      </c>
      <c r="D880" t="s">
        <v>107</v>
      </c>
      <c r="E880" t="s">
        <v>17</v>
      </c>
      <c r="F880" s="5">
        <v>6</v>
      </c>
      <c r="G880" s="5">
        <v>1</v>
      </c>
      <c r="H880" s="5">
        <v>6949</v>
      </c>
      <c r="I880" s="5">
        <v>3</v>
      </c>
      <c r="J880" s="5">
        <v>6948</v>
      </c>
      <c r="K880" t="s">
        <v>18</v>
      </c>
      <c r="L880" t="s">
        <v>19</v>
      </c>
      <c r="M880" t="s">
        <v>47</v>
      </c>
      <c r="N880" t="s">
        <v>95</v>
      </c>
      <c r="O880" t="s">
        <v>29</v>
      </c>
      <c r="P880" t="s">
        <v>36</v>
      </c>
      <c r="Q880">
        <f>Table1[[#This Row],[Course_Fee_AED]]-Table1[[#This Row],[Amount_Paid_AED]]</f>
        <v>1</v>
      </c>
      <c r="R880">
        <f>Table1[[#This Row],[Course_Fee_AED]]-Table1[[#This Row],[pending Revenue]]</f>
        <v>6948</v>
      </c>
    </row>
    <row r="881" spans="1:18" x14ac:dyDescent="0.25">
      <c r="A881" t="s">
        <v>958</v>
      </c>
      <c r="B881" s="2">
        <v>45563</v>
      </c>
      <c r="C881" t="s">
        <v>82</v>
      </c>
      <c r="D881" t="s">
        <v>83</v>
      </c>
      <c r="E881" t="s">
        <v>26</v>
      </c>
      <c r="F881" s="5">
        <v>3</v>
      </c>
      <c r="G881" s="5">
        <v>1</v>
      </c>
      <c r="H881" s="5">
        <v>12504</v>
      </c>
      <c r="I881" s="5">
        <v>1</v>
      </c>
      <c r="J881" s="5">
        <v>4168</v>
      </c>
      <c r="K881" t="s">
        <v>18</v>
      </c>
      <c r="L881" t="s">
        <v>57</v>
      </c>
      <c r="M881" t="s">
        <v>20</v>
      </c>
      <c r="N881" t="s">
        <v>86</v>
      </c>
      <c r="O881" t="s">
        <v>49</v>
      </c>
      <c r="P881" t="s">
        <v>36</v>
      </c>
      <c r="Q881">
        <f>Table1[[#This Row],[Course_Fee_AED]]-Table1[[#This Row],[Amount_Paid_AED]]</f>
        <v>8336</v>
      </c>
      <c r="R881">
        <f>Table1[[#This Row],[Course_Fee_AED]]-Table1[[#This Row],[pending Revenue]]</f>
        <v>4168</v>
      </c>
    </row>
    <row r="882" spans="1:18" x14ac:dyDescent="0.25">
      <c r="A882" t="s">
        <v>959</v>
      </c>
      <c r="B882" s="2">
        <v>45395</v>
      </c>
      <c r="C882" t="s">
        <v>15</v>
      </c>
      <c r="D882" t="s">
        <v>16</v>
      </c>
      <c r="E882" t="s">
        <v>17</v>
      </c>
      <c r="F882" s="5">
        <v>6</v>
      </c>
      <c r="G882" s="5">
        <v>1</v>
      </c>
      <c r="H882" s="5">
        <v>5377</v>
      </c>
      <c r="I882" s="5">
        <v>2</v>
      </c>
      <c r="J882" s="5">
        <v>3584</v>
      </c>
      <c r="K882" t="s">
        <v>18</v>
      </c>
      <c r="L882" t="s">
        <v>40</v>
      </c>
      <c r="M882" t="s">
        <v>20</v>
      </c>
      <c r="N882" t="s">
        <v>95</v>
      </c>
      <c r="O882" t="s">
        <v>68</v>
      </c>
      <c r="P882" t="s">
        <v>36</v>
      </c>
      <c r="Q882">
        <f>Table1[[#This Row],[Course_Fee_AED]]-Table1[[#This Row],[Amount_Paid_AED]]</f>
        <v>1793</v>
      </c>
      <c r="R882">
        <f>Table1[[#This Row],[Course_Fee_AED]]-Table1[[#This Row],[pending Revenue]]</f>
        <v>3584</v>
      </c>
    </row>
    <row r="883" spans="1:18" x14ac:dyDescent="0.25">
      <c r="A883" t="s">
        <v>960</v>
      </c>
      <c r="B883" s="2">
        <v>45497</v>
      </c>
      <c r="C883" t="s">
        <v>82</v>
      </c>
      <c r="D883" t="s">
        <v>83</v>
      </c>
      <c r="E883" t="s">
        <v>26</v>
      </c>
      <c r="F883" s="5">
        <v>3</v>
      </c>
      <c r="G883" s="5">
        <v>1</v>
      </c>
      <c r="H883" s="5">
        <v>11665</v>
      </c>
      <c r="I883" s="5">
        <v>2</v>
      </c>
      <c r="J883" s="5">
        <v>7776</v>
      </c>
      <c r="K883" t="s">
        <v>18</v>
      </c>
      <c r="L883" t="s">
        <v>40</v>
      </c>
      <c r="M883" t="s">
        <v>20</v>
      </c>
      <c r="N883" t="s">
        <v>42</v>
      </c>
      <c r="O883" t="s">
        <v>64</v>
      </c>
      <c r="P883" t="s">
        <v>36</v>
      </c>
      <c r="Q883">
        <f>Table1[[#This Row],[Course_Fee_AED]]-Table1[[#This Row],[Amount_Paid_AED]]</f>
        <v>3889</v>
      </c>
      <c r="R883">
        <f>Table1[[#This Row],[Course_Fee_AED]]-Table1[[#This Row],[pending Revenue]]</f>
        <v>7776</v>
      </c>
    </row>
    <row r="884" spans="1:18" x14ac:dyDescent="0.25">
      <c r="A884" t="s">
        <v>961</v>
      </c>
      <c r="B884" s="2">
        <v>45389</v>
      </c>
      <c r="C884" t="s">
        <v>45</v>
      </c>
      <c r="D884" t="s">
        <v>46</v>
      </c>
      <c r="E884" t="s">
        <v>17</v>
      </c>
      <c r="F884" s="5">
        <v>6</v>
      </c>
      <c r="G884" s="5">
        <v>1</v>
      </c>
      <c r="H884" s="5">
        <v>4435</v>
      </c>
      <c r="I884" s="5">
        <v>1</v>
      </c>
      <c r="J884" s="5">
        <v>1478</v>
      </c>
      <c r="K884" t="s">
        <v>18</v>
      </c>
      <c r="L884" t="s">
        <v>57</v>
      </c>
      <c r="M884" t="s">
        <v>60</v>
      </c>
      <c r="N884" t="s">
        <v>21</v>
      </c>
      <c r="O884" t="s">
        <v>64</v>
      </c>
      <c r="P884" t="s">
        <v>36</v>
      </c>
      <c r="Q884">
        <f>Table1[[#This Row],[Course_Fee_AED]]-Table1[[#This Row],[Amount_Paid_AED]]</f>
        <v>2957</v>
      </c>
      <c r="R884">
        <f>Table1[[#This Row],[Course_Fee_AED]]-Table1[[#This Row],[pending Revenue]]</f>
        <v>1478</v>
      </c>
    </row>
    <row r="885" spans="1:18" x14ac:dyDescent="0.25">
      <c r="A885" t="s">
        <v>962</v>
      </c>
      <c r="B885" s="2">
        <v>45548</v>
      </c>
      <c r="C885" t="s">
        <v>51</v>
      </c>
      <c r="D885" t="s">
        <v>52</v>
      </c>
      <c r="E885" t="s">
        <v>26</v>
      </c>
      <c r="F885" s="5">
        <v>3</v>
      </c>
      <c r="G885" s="5">
        <v>1</v>
      </c>
      <c r="H885" s="5">
        <v>4920</v>
      </c>
      <c r="I885" s="5">
        <v>2</v>
      </c>
      <c r="J885" s="5">
        <v>3280</v>
      </c>
      <c r="K885" t="s">
        <v>18</v>
      </c>
      <c r="L885" t="s">
        <v>40</v>
      </c>
      <c r="M885" t="s">
        <v>27</v>
      </c>
      <c r="N885" t="s">
        <v>86</v>
      </c>
      <c r="O885" t="s">
        <v>71</v>
      </c>
      <c r="P885" t="s">
        <v>18</v>
      </c>
      <c r="Q885">
        <f>Table1[[#This Row],[Course_Fee_AED]]-Table1[[#This Row],[Amount_Paid_AED]]</f>
        <v>1640</v>
      </c>
      <c r="R885">
        <f>Table1[[#This Row],[Course_Fee_AED]]-Table1[[#This Row],[pending Revenue]]</f>
        <v>3280</v>
      </c>
    </row>
    <row r="886" spans="1:18" x14ac:dyDescent="0.25">
      <c r="A886" t="s">
        <v>963</v>
      </c>
      <c r="B886" s="2">
        <v>45321</v>
      </c>
      <c r="C886" t="s">
        <v>106</v>
      </c>
      <c r="D886" t="s">
        <v>107</v>
      </c>
      <c r="E886" t="s">
        <v>17</v>
      </c>
      <c r="F886" s="5">
        <v>6</v>
      </c>
      <c r="G886" s="5">
        <v>1</v>
      </c>
      <c r="H886" s="5">
        <v>8201</v>
      </c>
      <c r="I886" s="5">
        <v>3</v>
      </c>
      <c r="J886" s="5">
        <v>8199</v>
      </c>
      <c r="K886" t="s">
        <v>18</v>
      </c>
      <c r="L886" t="s">
        <v>19</v>
      </c>
      <c r="M886" t="s">
        <v>41</v>
      </c>
      <c r="N886" t="s">
        <v>61</v>
      </c>
      <c r="O886" t="s">
        <v>49</v>
      </c>
      <c r="P886" t="s">
        <v>36</v>
      </c>
      <c r="Q886">
        <f>Table1[[#This Row],[Course_Fee_AED]]-Table1[[#This Row],[Amount_Paid_AED]]</f>
        <v>2</v>
      </c>
      <c r="R886">
        <f>Table1[[#This Row],[Course_Fee_AED]]-Table1[[#This Row],[pending Revenue]]</f>
        <v>8199</v>
      </c>
    </row>
    <row r="887" spans="1:18" x14ac:dyDescent="0.25">
      <c r="A887" t="s">
        <v>964</v>
      </c>
      <c r="B887" s="2">
        <v>45340</v>
      </c>
      <c r="C887" t="s">
        <v>82</v>
      </c>
      <c r="D887" t="s">
        <v>83</v>
      </c>
      <c r="E887" t="s">
        <v>17</v>
      </c>
      <c r="F887" s="5">
        <v>6</v>
      </c>
      <c r="G887" s="5">
        <v>1</v>
      </c>
      <c r="H887" s="5">
        <v>13589</v>
      </c>
      <c r="I887" s="5">
        <v>2</v>
      </c>
      <c r="J887" s="5">
        <v>9058</v>
      </c>
      <c r="K887" t="s">
        <v>18</v>
      </c>
      <c r="L887" t="s">
        <v>19</v>
      </c>
      <c r="M887" t="s">
        <v>20</v>
      </c>
      <c r="N887" t="s">
        <v>73</v>
      </c>
      <c r="O887" t="s">
        <v>58</v>
      </c>
      <c r="P887" t="s">
        <v>18</v>
      </c>
      <c r="Q887">
        <f>Table1[[#This Row],[Course_Fee_AED]]-Table1[[#This Row],[Amount_Paid_AED]]</f>
        <v>4531</v>
      </c>
      <c r="R887">
        <f>Table1[[#This Row],[Course_Fee_AED]]-Table1[[#This Row],[pending Revenue]]</f>
        <v>9058</v>
      </c>
    </row>
    <row r="888" spans="1:18" x14ac:dyDescent="0.25">
      <c r="A888" t="s">
        <v>965</v>
      </c>
      <c r="B888" s="2">
        <v>45651</v>
      </c>
      <c r="C888" t="s">
        <v>55</v>
      </c>
      <c r="D888" t="s">
        <v>56</v>
      </c>
      <c r="E888" t="s">
        <v>17</v>
      </c>
      <c r="F888" s="5">
        <v>6</v>
      </c>
      <c r="G888" s="5">
        <v>1</v>
      </c>
      <c r="H888" s="5">
        <v>10412</v>
      </c>
      <c r="I888" s="5">
        <v>1</v>
      </c>
      <c r="J888" s="5">
        <v>3470</v>
      </c>
      <c r="K888" t="s">
        <v>18</v>
      </c>
      <c r="L888" t="s">
        <v>40</v>
      </c>
      <c r="M888" t="s">
        <v>47</v>
      </c>
      <c r="N888" t="s">
        <v>48</v>
      </c>
      <c r="O888" t="s">
        <v>87</v>
      </c>
      <c r="P888" t="s">
        <v>36</v>
      </c>
      <c r="Q888">
        <f>Table1[[#This Row],[Course_Fee_AED]]-Table1[[#This Row],[Amount_Paid_AED]]</f>
        <v>6942</v>
      </c>
      <c r="R888">
        <f>Table1[[#This Row],[Course_Fee_AED]]-Table1[[#This Row],[pending Revenue]]</f>
        <v>3470</v>
      </c>
    </row>
    <row r="889" spans="1:18" x14ac:dyDescent="0.25">
      <c r="A889" t="s">
        <v>966</v>
      </c>
      <c r="B889" s="2">
        <v>45552</v>
      </c>
      <c r="C889" t="s">
        <v>113</v>
      </c>
      <c r="D889" t="s">
        <v>93</v>
      </c>
      <c r="E889" t="s">
        <v>17</v>
      </c>
      <c r="F889" s="5">
        <v>6</v>
      </c>
      <c r="G889" s="5">
        <v>1</v>
      </c>
      <c r="H889" s="5">
        <v>3423</v>
      </c>
      <c r="I889" s="5">
        <v>2</v>
      </c>
      <c r="J889" s="5">
        <v>2282</v>
      </c>
      <c r="K889" t="s">
        <v>18</v>
      </c>
      <c r="L889" t="s">
        <v>40</v>
      </c>
      <c r="M889" t="s">
        <v>41</v>
      </c>
      <c r="N889" t="s">
        <v>90</v>
      </c>
      <c r="O889" t="s">
        <v>71</v>
      </c>
      <c r="P889" t="s">
        <v>36</v>
      </c>
      <c r="Q889">
        <f>Table1[[#This Row],[Course_Fee_AED]]-Table1[[#This Row],[Amount_Paid_AED]]</f>
        <v>1141</v>
      </c>
      <c r="R889">
        <f>Table1[[#This Row],[Course_Fee_AED]]-Table1[[#This Row],[pending Revenue]]</f>
        <v>2282</v>
      </c>
    </row>
    <row r="890" spans="1:18" x14ac:dyDescent="0.25">
      <c r="A890" t="s">
        <v>967</v>
      </c>
      <c r="B890" s="2">
        <v>45341</v>
      </c>
      <c r="C890" t="s">
        <v>113</v>
      </c>
      <c r="D890" t="s">
        <v>93</v>
      </c>
      <c r="E890" t="s">
        <v>26</v>
      </c>
      <c r="F890" s="5">
        <v>3</v>
      </c>
      <c r="G890" s="5">
        <v>1</v>
      </c>
      <c r="H890" s="5">
        <v>3163</v>
      </c>
      <c r="I890" s="5">
        <v>1</v>
      </c>
      <c r="J890" s="5">
        <v>1054</v>
      </c>
      <c r="K890" t="s">
        <v>18</v>
      </c>
      <c r="L890" t="s">
        <v>19</v>
      </c>
      <c r="M890" t="s">
        <v>47</v>
      </c>
      <c r="N890" t="s">
        <v>61</v>
      </c>
      <c r="O890" t="s">
        <v>49</v>
      </c>
      <c r="P890" t="s">
        <v>36</v>
      </c>
      <c r="Q890">
        <f>Table1[[#This Row],[Course_Fee_AED]]-Table1[[#This Row],[Amount_Paid_AED]]</f>
        <v>2109</v>
      </c>
      <c r="R890">
        <f>Table1[[#This Row],[Course_Fee_AED]]-Table1[[#This Row],[pending Revenue]]</f>
        <v>1054</v>
      </c>
    </row>
    <row r="891" spans="1:18" x14ac:dyDescent="0.25">
      <c r="A891" t="s">
        <v>968</v>
      </c>
      <c r="B891" s="2">
        <v>45321</v>
      </c>
      <c r="C891" t="s">
        <v>51</v>
      </c>
      <c r="D891" t="s">
        <v>52</v>
      </c>
      <c r="E891" t="s">
        <v>26</v>
      </c>
      <c r="F891" s="5">
        <v>3</v>
      </c>
      <c r="G891" s="5">
        <v>1</v>
      </c>
      <c r="H891" s="5">
        <v>4227</v>
      </c>
      <c r="I891" s="5">
        <v>3</v>
      </c>
      <c r="J891" s="5">
        <v>4227</v>
      </c>
      <c r="K891" t="s">
        <v>33</v>
      </c>
      <c r="L891" t="s">
        <v>19</v>
      </c>
      <c r="M891" t="s">
        <v>63</v>
      </c>
      <c r="N891" t="s">
        <v>79</v>
      </c>
      <c r="O891" t="s">
        <v>68</v>
      </c>
      <c r="P891" t="s">
        <v>18</v>
      </c>
      <c r="Q891">
        <f>Table1[[#This Row],[Course_Fee_AED]]-Table1[[#This Row],[Amount_Paid_AED]]</f>
        <v>0</v>
      </c>
      <c r="R891">
        <f>Table1[[#This Row],[Course_Fee_AED]]-Table1[[#This Row],[pending Revenue]]</f>
        <v>4227</v>
      </c>
    </row>
    <row r="892" spans="1:18" x14ac:dyDescent="0.25">
      <c r="A892" t="s">
        <v>969</v>
      </c>
      <c r="B892" s="2">
        <v>45418</v>
      </c>
      <c r="C892" t="s">
        <v>15</v>
      </c>
      <c r="D892" t="s">
        <v>16</v>
      </c>
      <c r="E892" t="s">
        <v>17</v>
      </c>
      <c r="F892" s="5">
        <v>6</v>
      </c>
      <c r="G892" s="5">
        <v>1</v>
      </c>
      <c r="H892" s="5">
        <v>6807</v>
      </c>
      <c r="I892" s="5">
        <v>2</v>
      </c>
      <c r="J892" s="5">
        <v>4538</v>
      </c>
      <c r="K892" t="s">
        <v>18</v>
      </c>
      <c r="L892" t="s">
        <v>40</v>
      </c>
      <c r="M892" t="s">
        <v>47</v>
      </c>
      <c r="N892" t="s">
        <v>79</v>
      </c>
      <c r="O892" t="s">
        <v>68</v>
      </c>
      <c r="P892" t="s">
        <v>36</v>
      </c>
      <c r="Q892">
        <f>Table1[[#This Row],[Course_Fee_AED]]-Table1[[#This Row],[Amount_Paid_AED]]</f>
        <v>2269</v>
      </c>
      <c r="R892">
        <f>Table1[[#This Row],[Course_Fee_AED]]-Table1[[#This Row],[pending Revenue]]</f>
        <v>4538</v>
      </c>
    </row>
    <row r="893" spans="1:18" x14ac:dyDescent="0.25">
      <c r="A893" t="s">
        <v>970</v>
      </c>
      <c r="B893" s="2">
        <v>45357</v>
      </c>
      <c r="C893" t="s">
        <v>15</v>
      </c>
      <c r="D893" t="s">
        <v>16</v>
      </c>
      <c r="E893" t="s">
        <v>26</v>
      </c>
      <c r="F893" s="5">
        <v>3</v>
      </c>
      <c r="G893" s="5">
        <v>1</v>
      </c>
      <c r="H893" s="5">
        <v>7360</v>
      </c>
      <c r="I893" s="5">
        <v>3</v>
      </c>
      <c r="J893" s="5">
        <v>7359</v>
      </c>
      <c r="K893" t="s">
        <v>18</v>
      </c>
      <c r="L893" t="s">
        <v>57</v>
      </c>
      <c r="M893" t="s">
        <v>47</v>
      </c>
      <c r="N893" t="s">
        <v>48</v>
      </c>
      <c r="O893" t="s">
        <v>64</v>
      </c>
      <c r="P893" t="s">
        <v>18</v>
      </c>
      <c r="Q893">
        <f>Table1[[#This Row],[Course_Fee_AED]]-Table1[[#This Row],[Amount_Paid_AED]]</f>
        <v>1</v>
      </c>
      <c r="R893">
        <f>Table1[[#This Row],[Course_Fee_AED]]-Table1[[#This Row],[pending Revenue]]</f>
        <v>7359</v>
      </c>
    </row>
    <row r="894" spans="1:18" x14ac:dyDescent="0.25">
      <c r="A894" t="s">
        <v>971</v>
      </c>
      <c r="B894" s="2">
        <v>45448</v>
      </c>
      <c r="C894" t="s">
        <v>24</v>
      </c>
      <c r="D894" t="s">
        <v>25</v>
      </c>
      <c r="E894" t="s">
        <v>26</v>
      </c>
      <c r="F894" s="5">
        <v>3</v>
      </c>
      <c r="G894" s="5">
        <v>1</v>
      </c>
      <c r="H894" s="5">
        <v>6713</v>
      </c>
      <c r="I894" s="5">
        <v>1</v>
      </c>
      <c r="J894" s="5">
        <v>2237</v>
      </c>
      <c r="K894" t="s">
        <v>18</v>
      </c>
      <c r="L894" t="s">
        <v>40</v>
      </c>
      <c r="M894" t="s">
        <v>27</v>
      </c>
      <c r="N894" t="s">
        <v>53</v>
      </c>
      <c r="O894" t="s">
        <v>49</v>
      </c>
      <c r="P894" t="s">
        <v>18</v>
      </c>
      <c r="Q894">
        <f>Table1[[#This Row],[Course_Fee_AED]]-Table1[[#This Row],[Amount_Paid_AED]]</f>
        <v>4476</v>
      </c>
      <c r="R894">
        <f>Table1[[#This Row],[Course_Fee_AED]]-Table1[[#This Row],[pending Revenue]]</f>
        <v>2237</v>
      </c>
    </row>
    <row r="895" spans="1:18" x14ac:dyDescent="0.25">
      <c r="A895" t="s">
        <v>972</v>
      </c>
      <c r="B895" s="2">
        <v>45543</v>
      </c>
      <c r="C895" t="s">
        <v>51</v>
      </c>
      <c r="D895" t="s">
        <v>52</v>
      </c>
      <c r="E895" t="s">
        <v>17</v>
      </c>
      <c r="F895" s="5">
        <v>6</v>
      </c>
      <c r="G895" s="5">
        <v>1</v>
      </c>
      <c r="H895" s="5">
        <v>3961</v>
      </c>
      <c r="I895" s="5">
        <v>2</v>
      </c>
      <c r="J895" s="5">
        <v>2640</v>
      </c>
      <c r="K895" t="s">
        <v>18</v>
      </c>
      <c r="L895" t="s">
        <v>40</v>
      </c>
      <c r="M895" t="s">
        <v>47</v>
      </c>
      <c r="N895" t="s">
        <v>70</v>
      </c>
      <c r="O895" t="s">
        <v>49</v>
      </c>
      <c r="P895" t="s">
        <v>18</v>
      </c>
      <c r="Q895">
        <f>Table1[[#This Row],[Course_Fee_AED]]-Table1[[#This Row],[Amount_Paid_AED]]</f>
        <v>1321</v>
      </c>
      <c r="R895">
        <f>Table1[[#This Row],[Course_Fee_AED]]-Table1[[#This Row],[pending Revenue]]</f>
        <v>2640</v>
      </c>
    </row>
    <row r="896" spans="1:18" x14ac:dyDescent="0.25">
      <c r="A896" t="s">
        <v>973</v>
      </c>
      <c r="B896" s="2">
        <v>45341</v>
      </c>
      <c r="C896" t="s">
        <v>24</v>
      </c>
      <c r="D896" t="s">
        <v>25</v>
      </c>
      <c r="E896" t="s">
        <v>26</v>
      </c>
      <c r="F896" s="5">
        <v>3</v>
      </c>
      <c r="G896" s="5">
        <v>1</v>
      </c>
      <c r="H896" s="5">
        <v>6091</v>
      </c>
      <c r="I896" s="5">
        <v>2</v>
      </c>
      <c r="J896" s="5">
        <v>4060</v>
      </c>
      <c r="K896" t="s">
        <v>18</v>
      </c>
      <c r="L896" t="s">
        <v>57</v>
      </c>
      <c r="M896" t="s">
        <v>20</v>
      </c>
      <c r="N896" t="s">
        <v>73</v>
      </c>
      <c r="O896" t="s">
        <v>49</v>
      </c>
      <c r="P896" t="s">
        <v>18</v>
      </c>
      <c r="Q896">
        <f>Table1[[#This Row],[Course_Fee_AED]]-Table1[[#This Row],[Amount_Paid_AED]]</f>
        <v>2031</v>
      </c>
      <c r="R896">
        <f>Table1[[#This Row],[Course_Fee_AED]]-Table1[[#This Row],[pending Revenue]]</f>
        <v>4060</v>
      </c>
    </row>
    <row r="897" spans="1:18" x14ac:dyDescent="0.25">
      <c r="A897" t="s">
        <v>974</v>
      </c>
      <c r="B897" s="2">
        <v>45331</v>
      </c>
      <c r="C897" t="s">
        <v>92</v>
      </c>
      <c r="D897" t="s">
        <v>93</v>
      </c>
      <c r="E897" t="s">
        <v>17</v>
      </c>
      <c r="F897" s="5">
        <v>6</v>
      </c>
      <c r="G897" s="5">
        <v>1</v>
      </c>
      <c r="H897" s="5">
        <v>5752</v>
      </c>
      <c r="I897" s="5">
        <v>2</v>
      </c>
      <c r="J897" s="5">
        <v>3834</v>
      </c>
      <c r="K897" t="s">
        <v>18</v>
      </c>
      <c r="L897" t="s">
        <v>19</v>
      </c>
      <c r="M897" t="s">
        <v>20</v>
      </c>
      <c r="N897" t="s">
        <v>70</v>
      </c>
      <c r="O897" t="s">
        <v>29</v>
      </c>
      <c r="P897" t="s">
        <v>18</v>
      </c>
      <c r="Q897">
        <f>Table1[[#This Row],[Course_Fee_AED]]-Table1[[#This Row],[Amount_Paid_AED]]</f>
        <v>1918</v>
      </c>
      <c r="R897">
        <f>Table1[[#This Row],[Course_Fee_AED]]-Table1[[#This Row],[pending Revenue]]</f>
        <v>3834</v>
      </c>
    </row>
    <row r="898" spans="1:18" x14ac:dyDescent="0.25">
      <c r="A898" t="s">
        <v>975</v>
      </c>
      <c r="B898" s="2">
        <v>45597</v>
      </c>
      <c r="C898" t="s">
        <v>15</v>
      </c>
      <c r="D898" t="s">
        <v>16</v>
      </c>
      <c r="E898" t="s">
        <v>26</v>
      </c>
      <c r="F898" s="5">
        <v>3</v>
      </c>
      <c r="G898" s="5">
        <v>1</v>
      </c>
      <c r="H898" s="5">
        <v>5048</v>
      </c>
      <c r="I898" s="5">
        <v>3</v>
      </c>
      <c r="J898" s="5">
        <v>5046</v>
      </c>
      <c r="K898" t="s">
        <v>18</v>
      </c>
      <c r="L898" t="s">
        <v>40</v>
      </c>
      <c r="M898" t="s">
        <v>41</v>
      </c>
      <c r="N898" t="s">
        <v>21</v>
      </c>
      <c r="O898" t="s">
        <v>49</v>
      </c>
      <c r="P898" t="s">
        <v>36</v>
      </c>
      <c r="Q898">
        <f>Table1[[#This Row],[Course_Fee_AED]]-Table1[[#This Row],[Amount_Paid_AED]]</f>
        <v>2</v>
      </c>
      <c r="R898">
        <f>Table1[[#This Row],[Course_Fee_AED]]-Table1[[#This Row],[pending Revenue]]</f>
        <v>5046</v>
      </c>
    </row>
    <row r="899" spans="1:18" x14ac:dyDescent="0.25">
      <c r="A899" t="s">
        <v>976</v>
      </c>
      <c r="B899" s="2">
        <v>45462</v>
      </c>
      <c r="C899" t="s">
        <v>100</v>
      </c>
      <c r="D899" t="s">
        <v>101</v>
      </c>
      <c r="E899" t="s">
        <v>17</v>
      </c>
      <c r="F899" s="5">
        <v>6</v>
      </c>
      <c r="G899" s="5">
        <v>1</v>
      </c>
      <c r="H899" s="5">
        <v>4995</v>
      </c>
      <c r="I899" s="5">
        <v>2</v>
      </c>
      <c r="J899" s="5">
        <v>3330</v>
      </c>
      <c r="K899" t="s">
        <v>18</v>
      </c>
      <c r="L899" t="s">
        <v>57</v>
      </c>
      <c r="M899" t="s">
        <v>47</v>
      </c>
      <c r="N899" t="s">
        <v>73</v>
      </c>
      <c r="O899" t="s">
        <v>87</v>
      </c>
      <c r="P899" t="s">
        <v>18</v>
      </c>
      <c r="Q899">
        <f>Table1[[#This Row],[Course_Fee_AED]]-Table1[[#This Row],[Amount_Paid_AED]]</f>
        <v>1665</v>
      </c>
      <c r="R899">
        <f>Table1[[#This Row],[Course_Fee_AED]]-Table1[[#This Row],[pending Revenue]]</f>
        <v>3330</v>
      </c>
    </row>
    <row r="900" spans="1:18" x14ac:dyDescent="0.25">
      <c r="A900" t="s">
        <v>977</v>
      </c>
      <c r="B900" s="2">
        <v>45565</v>
      </c>
      <c r="C900" t="s">
        <v>15</v>
      </c>
      <c r="D900" t="s">
        <v>16</v>
      </c>
      <c r="E900" t="s">
        <v>26</v>
      </c>
      <c r="F900" s="5">
        <v>3</v>
      </c>
      <c r="G900" s="5">
        <v>1</v>
      </c>
      <c r="H900" s="5">
        <v>6769</v>
      </c>
      <c r="I900" s="5">
        <v>2</v>
      </c>
      <c r="J900" s="5">
        <v>4512</v>
      </c>
      <c r="K900" t="s">
        <v>18</v>
      </c>
      <c r="L900" t="s">
        <v>57</v>
      </c>
      <c r="M900" t="s">
        <v>27</v>
      </c>
      <c r="N900" t="s">
        <v>70</v>
      </c>
      <c r="O900" t="s">
        <v>49</v>
      </c>
      <c r="P900" t="s">
        <v>18</v>
      </c>
      <c r="Q900">
        <f>Table1[[#This Row],[Course_Fee_AED]]-Table1[[#This Row],[Amount_Paid_AED]]</f>
        <v>2257</v>
      </c>
      <c r="R900">
        <f>Table1[[#This Row],[Course_Fee_AED]]-Table1[[#This Row],[pending Revenue]]</f>
        <v>4512</v>
      </c>
    </row>
    <row r="901" spans="1:18" x14ac:dyDescent="0.25">
      <c r="A901" t="s">
        <v>978</v>
      </c>
      <c r="B901" s="2">
        <v>45414</v>
      </c>
      <c r="C901" t="s">
        <v>100</v>
      </c>
      <c r="D901" t="s">
        <v>101</v>
      </c>
      <c r="E901" t="s">
        <v>26</v>
      </c>
      <c r="F901" s="5">
        <v>3</v>
      </c>
      <c r="G901" s="5">
        <v>1</v>
      </c>
      <c r="H901" s="5">
        <v>5195</v>
      </c>
      <c r="I901" s="5">
        <v>3</v>
      </c>
      <c r="J901" s="5">
        <v>5193</v>
      </c>
      <c r="K901" t="s">
        <v>18</v>
      </c>
      <c r="L901" t="s">
        <v>40</v>
      </c>
      <c r="M901" t="s">
        <v>20</v>
      </c>
      <c r="N901" t="s">
        <v>48</v>
      </c>
      <c r="O901" t="s">
        <v>22</v>
      </c>
      <c r="P901" t="s">
        <v>18</v>
      </c>
      <c r="Q901">
        <f>Table1[[#This Row],[Course_Fee_AED]]-Table1[[#This Row],[Amount_Paid_AED]]</f>
        <v>2</v>
      </c>
      <c r="R901">
        <f>Table1[[#This Row],[Course_Fee_AED]]-Table1[[#This Row],[pending Revenue]]</f>
        <v>5193</v>
      </c>
    </row>
    <row r="902" spans="1:18" x14ac:dyDescent="0.25">
      <c r="A902" t="s">
        <v>979</v>
      </c>
      <c r="B902" s="2">
        <v>45321</v>
      </c>
      <c r="C902" t="s">
        <v>24</v>
      </c>
      <c r="D902" t="s">
        <v>25</v>
      </c>
      <c r="E902" t="s">
        <v>26</v>
      </c>
      <c r="F902" s="5">
        <v>3</v>
      </c>
      <c r="G902" s="5">
        <v>1</v>
      </c>
      <c r="H902" s="5">
        <v>6982</v>
      </c>
      <c r="I902" s="5">
        <v>1</v>
      </c>
      <c r="J902" s="5">
        <v>2327</v>
      </c>
      <c r="K902" t="s">
        <v>18</v>
      </c>
      <c r="L902" t="s">
        <v>57</v>
      </c>
      <c r="M902" t="s">
        <v>60</v>
      </c>
      <c r="N902" t="s">
        <v>79</v>
      </c>
      <c r="O902" t="s">
        <v>58</v>
      </c>
      <c r="P902" t="s">
        <v>18</v>
      </c>
      <c r="Q902">
        <f>Table1[[#This Row],[Course_Fee_AED]]-Table1[[#This Row],[Amount_Paid_AED]]</f>
        <v>4655</v>
      </c>
      <c r="R902">
        <f>Table1[[#This Row],[Course_Fee_AED]]-Table1[[#This Row],[pending Revenue]]</f>
        <v>2327</v>
      </c>
    </row>
    <row r="903" spans="1:18" x14ac:dyDescent="0.25">
      <c r="A903" t="s">
        <v>980</v>
      </c>
      <c r="B903" s="2">
        <v>45541</v>
      </c>
      <c r="C903" t="s">
        <v>38</v>
      </c>
      <c r="D903" t="s">
        <v>39</v>
      </c>
      <c r="E903" t="s">
        <v>17</v>
      </c>
      <c r="F903" s="5">
        <v>6</v>
      </c>
      <c r="G903" s="5">
        <v>1</v>
      </c>
      <c r="H903" s="5">
        <v>7405</v>
      </c>
      <c r="I903" s="5">
        <v>3</v>
      </c>
      <c r="J903" s="5">
        <v>7404</v>
      </c>
      <c r="K903" t="s">
        <v>18</v>
      </c>
      <c r="L903" t="s">
        <v>19</v>
      </c>
      <c r="M903" t="s">
        <v>60</v>
      </c>
      <c r="N903" t="s">
        <v>42</v>
      </c>
      <c r="O903" t="s">
        <v>22</v>
      </c>
      <c r="P903" t="s">
        <v>18</v>
      </c>
      <c r="Q903">
        <f>Table1[[#This Row],[Course_Fee_AED]]-Table1[[#This Row],[Amount_Paid_AED]]</f>
        <v>1</v>
      </c>
      <c r="R903">
        <f>Table1[[#This Row],[Course_Fee_AED]]-Table1[[#This Row],[pending Revenue]]</f>
        <v>7404</v>
      </c>
    </row>
    <row r="904" spans="1:18" x14ac:dyDescent="0.25">
      <c r="A904" t="s">
        <v>981</v>
      </c>
      <c r="B904" s="2">
        <v>45611</v>
      </c>
      <c r="C904" t="s">
        <v>82</v>
      </c>
      <c r="D904" t="s">
        <v>83</v>
      </c>
      <c r="E904" t="s">
        <v>26</v>
      </c>
      <c r="F904" s="5">
        <v>3</v>
      </c>
      <c r="G904" s="5">
        <v>1</v>
      </c>
      <c r="H904" s="5">
        <v>8161</v>
      </c>
      <c r="I904" s="5">
        <v>1</v>
      </c>
      <c r="J904" s="5">
        <v>2720</v>
      </c>
      <c r="K904" t="s">
        <v>18</v>
      </c>
      <c r="L904" t="s">
        <v>40</v>
      </c>
      <c r="M904" t="s">
        <v>60</v>
      </c>
      <c r="N904" t="s">
        <v>154</v>
      </c>
      <c r="O904" t="s">
        <v>43</v>
      </c>
      <c r="P904" t="s">
        <v>36</v>
      </c>
      <c r="Q904">
        <f>Table1[[#This Row],[Course_Fee_AED]]-Table1[[#This Row],[Amount_Paid_AED]]</f>
        <v>5441</v>
      </c>
      <c r="R904">
        <f>Table1[[#This Row],[Course_Fee_AED]]-Table1[[#This Row],[pending Revenue]]</f>
        <v>2720</v>
      </c>
    </row>
    <row r="905" spans="1:18" x14ac:dyDescent="0.25">
      <c r="A905" t="s">
        <v>982</v>
      </c>
      <c r="B905" s="2">
        <v>45387</v>
      </c>
      <c r="C905" t="s">
        <v>100</v>
      </c>
      <c r="D905" t="s">
        <v>101</v>
      </c>
      <c r="E905" t="s">
        <v>17</v>
      </c>
      <c r="F905" s="5">
        <v>6</v>
      </c>
      <c r="G905" s="5">
        <v>1</v>
      </c>
      <c r="H905" s="5">
        <v>5952</v>
      </c>
      <c r="I905" s="5">
        <v>3</v>
      </c>
      <c r="J905" s="5">
        <v>5952</v>
      </c>
      <c r="K905" t="s">
        <v>33</v>
      </c>
      <c r="L905" t="s">
        <v>40</v>
      </c>
      <c r="M905" t="s">
        <v>41</v>
      </c>
      <c r="N905" t="s">
        <v>73</v>
      </c>
      <c r="O905" t="s">
        <v>29</v>
      </c>
      <c r="P905" t="s">
        <v>18</v>
      </c>
      <c r="Q905">
        <f>Table1[[#This Row],[Course_Fee_AED]]-Table1[[#This Row],[Amount_Paid_AED]]</f>
        <v>0</v>
      </c>
      <c r="R905">
        <f>Table1[[#This Row],[Course_Fee_AED]]-Table1[[#This Row],[pending Revenue]]</f>
        <v>5952</v>
      </c>
    </row>
    <row r="906" spans="1:18" x14ac:dyDescent="0.25">
      <c r="A906" t="s">
        <v>983</v>
      </c>
      <c r="B906" s="2">
        <v>45602</v>
      </c>
      <c r="C906" t="s">
        <v>38</v>
      </c>
      <c r="D906" t="s">
        <v>39</v>
      </c>
      <c r="E906" t="s">
        <v>26</v>
      </c>
      <c r="F906" s="5">
        <v>3</v>
      </c>
      <c r="G906" s="5">
        <v>1</v>
      </c>
      <c r="H906" s="5">
        <v>5598</v>
      </c>
      <c r="I906" s="5">
        <v>2</v>
      </c>
      <c r="J906" s="5">
        <v>3732</v>
      </c>
      <c r="K906" t="s">
        <v>18</v>
      </c>
      <c r="L906" t="s">
        <v>40</v>
      </c>
      <c r="M906" t="s">
        <v>27</v>
      </c>
      <c r="N906" t="s">
        <v>34</v>
      </c>
      <c r="O906" t="s">
        <v>35</v>
      </c>
      <c r="P906" t="s">
        <v>36</v>
      </c>
      <c r="Q906">
        <f>Table1[[#This Row],[Course_Fee_AED]]-Table1[[#This Row],[Amount_Paid_AED]]</f>
        <v>1866</v>
      </c>
      <c r="R906">
        <f>Table1[[#This Row],[Course_Fee_AED]]-Table1[[#This Row],[pending Revenue]]</f>
        <v>3732</v>
      </c>
    </row>
    <row r="907" spans="1:18" x14ac:dyDescent="0.25">
      <c r="A907" t="s">
        <v>984</v>
      </c>
      <c r="B907" s="2">
        <v>45351</v>
      </c>
      <c r="C907" t="s">
        <v>31</v>
      </c>
      <c r="D907" t="s">
        <v>32</v>
      </c>
      <c r="E907" t="s">
        <v>17</v>
      </c>
      <c r="F907" s="5">
        <v>6</v>
      </c>
      <c r="G907" s="5">
        <v>1</v>
      </c>
      <c r="H907" s="5">
        <v>5461</v>
      </c>
      <c r="I907" s="5">
        <v>3</v>
      </c>
      <c r="J907" s="5">
        <v>5460</v>
      </c>
      <c r="K907" t="s">
        <v>18</v>
      </c>
      <c r="L907" t="s">
        <v>19</v>
      </c>
      <c r="M907" t="s">
        <v>47</v>
      </c>
      <c r="N907" t="s">
        <v>73</v>
      </c>
      <c r="O907" t="s">
        <v>71</v>
      </c>
      <c r="P907" t="s">
        <v>18</v>
      </c>
      <c r="Q907">
        <f>Table1[[#This Row],[Course_Fee_AED]]-Table1[[#This Row],[Amount_Paid_AED]]</f>
        <v>1</v>
      </c>
      <c r="R907">
        <f>Table1[[#This Row],[Course_Fee_AED]]-Table1[[#This Row],[pending Revenue]]</f>
        <v>5460</v>
      </c>
    </row>
    <row r="908" spans="1:18" x14ac:dyDescent="0.25">
      <c r="A908" t="s">
        <v>985</v>
      </c>
      <c r="B908" s="2">
        <v>45430</v>
      </c>
      <c r="C908" t="s">
        <v>100</v>
      </c>
      <c r="D908" t="s">
        <v>101</v>
      </c>
      <c r="E908" t="s">
        <v>17</v>
      </c>
      <c r="F908" s="5">
        <v>6</v>
      </c>
      <c r="G908" s="5">
        <v>1</v>
      </c>
      <c r="H908" s="5">
        <v>5486</v>
      </c>
      <c r="I908" s="5">
        <v>3</v>
      </c>
      <c r="J908" s="5">
        <v>5484</v>
      </c>
      <c r="K908" t="s">
        <v>18</v>
      </c>
      <c r="L908" t="s">
        <v>40</v>
      </c>
      <c r="M908" t="s">
        <v>27</v>
      </c>
      <c r="N908" t="s">
        <v>42</v>
      </c>
      <c r="O908" t="s">
        <v>58</v>
      </c>
      <c r="P908" t="s">
        <v>18</v>
      </c>
      <c r="Q908">
        <f>Table1[[#This Row],[Course_Fee_AED]]-Table1[[#This Row],[Amount_Paid_AED]]</f>
        <v>2</v>
      </c>
      <c r="R908">
        <f>Table1[[#This Row],[Course_Fee_AED]]-Table1[[#This Row],[pending Revenue]]</f>
        <v>5484</v>
      </c>
    </row>
    <row r="909" spans="1:18" x14ac:dyDescent="0.25">
      <c r="A909" t="s">
        <v>986</v>
      </c>
      <c r="B909" s="2">
        <v>45452</v>
      </c>
      <c r="C909" t="s">
        <v>51</v>
      </c>
      <c r="D909" t="s">
        <v>52</v>
      </c>
      <c r="E909" t="s">
        <v>17</v>
      </c>
      <c r="F909" s="5">
        <v>6</v>
      </c>
      <c r="G909" s="5">
        <v>1</v>
      </c>
      <c r="H909" s="5">
        <v>5985</v>
      </c>
      <c r="I909" s="5">
        <v>2</v>
      </c>
      <c r="J909" s="5">
        <v>3990</v>
      </c>
      <c r="K909" t="s">
        <v>18</v>
      </c>
      <c r="L909" t="s">
        <v>40</v>
      </c>
      <c r="M909" t="s">
        <v>60</v>
      </c>
      <c r="N909" t="s">
        <v>73</v>
      </c>
      <c r="O909" t="s">
        <v>22</v>
      </c>
      <c r="P909" t="s">
        <v>18</v>
      </c>
      <c r="Q909">
        <f>Table1[[#This Row],[Course_Fee_AED]]-Table1[[#This Row],[Amount_Paid_AED]]</f>
        <v>1995</v>
      </c>
      <c r="R909">
        <f>Table1[[#This Row],[Course_Fee_AED]]-Table1[[#This Row],[pending Revenue]]</f>
        <v>3990</v>
      </c>
    </row>
    <row r="910" spans="1:18" x14ac:dyDescent="0.25">
      <c r="A910" t="s">
        <v>987</v>
      </c>
      <c r="B910" s="2">
        <v>45493</v>
      </c>
      <c r="C910" t="s">
        <v>51</v>
      </c>
      <c r="D910" t="s">
        <v>52</v>
      </c>
      <c r="E910" t="s">
        <v>17</v>
      </c>
      <c r="F910" s="5">
        <v>6</v>
      </c>
      <c r="G910" s="5">
        <v>1</v>
      </c>
      <c r="H910" s="5">
        <v>4245</v>
      </c>
      <c r="I910" s="5">
        <v>2</v>
      </c>
      <c r="J910" s="5">
        <v>2830</v>
      </c>
      <c r="K910" t="s">
        <v>18</v>
      </c>
      <c r="L910" t="s">
        <v>40</v>
      </c>
      <c r="M910" t="s">
        <v>47</v>
      </c>
      <c r="N910" t="s">
        <v>73</v>
      </c>
      <c r="O910" t="s">
        <v>71</v>
      </c>
      <c r="P910" t="s">
        <v>18</v>
      </c>
      <c r="Q910">
        <f>Table1[[#This Row],[Course_Fee_AED]]-Table1[[#This Row],[Amount_Paid_AED]]</f>
        <v>1415</v>
      </c>
      <c r="R910">
        <f>Table1[[#This Row],[Course_Fee_AED]]-Table1[[#This Row],[pending Revenue]]</f>
        <v>2830</v>
      </c>
    </row>
    <row r="911" spans="1:18" x14ac:dyDescent="0.25">
      <c r="A911" t="s">
        <v>988</v>
      </c>
      <c r="B911" s="2">
        <v>45560</v>
      </c>
      <c r="C911" t="s">
        <v>100</v>
      </c>
      <c r="D911" t="s">
        <v>101</v>
      </c>
      <c r="E911" t="s">
        <v>26</v>
      </c>
      <c r="F911" s="5">
        <v>3</v>
      </c>
      <c r="G911" s="5">
        <v>1</v>
      </c>
      <c r="H911" s="5">
        <v>4885</v>
      </c>
      <c r="I911" s="5">
        <v>2</v>
      </c>
      <c r="J911" s="5">
        <v>3256</v>
      </c>
      <c r="K911" t="s">
        <v>18</v>
      </c>
      <c r="L911" t="s">
        <v>57</v>
      </c>
      <c r="M911" t="s">
        <v>20</v>
      </c>
      <c r="N911" t="s">
        <v>28</v>
      </c>
      <c r="O911" t="s">
        <v>71</v>
      </c>
      <c r="P911" t="s">
        <v>36</v>
      </c>
      <c r="Q911">
        <f>Table1[[#This Row],[Course_Fee_AED]]-Table1[[#This Row],[Amount_Paid_AED]]</f>
        <v>1629</v>
      </c>
      <c r="R911">
        <f>Table1[[#This Row],[Course_Fee_AED]]-Table1[[#This Row],[pending Revenue]]</f>
        <v>3256</v>
      </c>
    </row>
    <row r="912" spans="1:18" x14ac:dyDescent="0.25">
      <c r="A912" t="s">
        <v>989</v>
      </c>
      <c r="B912" s="2">
        <v>45484</v>
      </c>
      <c r="C912" t="s">
        <v>106</v>
      </c>
      <c r="D912" t="s">
        <v>107</v>
      </c>
      <c r="E912" t="s">
        <v>26</v>
      </c>
      <c r="F912" s="5">
        <v>3</v>
      </c>
      <c r="G912" s="5">
        <v>1</v>
      </c>
      <c r="H912" s="5">
        <v>8279</v>
      </c>
      <c r="I912" s="5">
        <v>3</v>
      </c>
      <c r="J912" s="5">
        <v>8277</v>
      </c>
      <c r="K912" t="s">
        <v>18</v>
      </c>
      <c r="L912" t="s">
        <v>19</v>
      </c>
      <c r="M912" t="s">
        <v>63</v>
      </c>
      <c r="N912" t="s">
        <v>73</v>
      </c>
      <c r="O912" t="s">
        <v>49</v>
      </c>
      <c r="P912" t="s">
        <v>18</v>
      </c>
      <c r="Q912">
        <f>Table1[[#This Row],[Course_Fee_AED]]-Table1[[#This Row],[Amount_Paid_AED]]</f>
        <v>2</v>
      </c>
      <c r="R912">
        <f>Table1[[#This Row],[Course_Fee_AED]]-Table1[[#This Row],[pending Revenue]]</f>
        <v>8277</v>
      </c>
    </row>
    <row r="913" spans="1:18" x14ac:dyDescent="0.25">
      <c r="A913" t="s">
        <v>990</v>
      </c>
      <c r="B913" s="2">
        <v>45503</v>
      </c>
      <c r="C913" t="s">
        <v>106</v>
      </c>
      <c r="D913" t="s">
        <v>107</v>
      </c>
      <c r="E913" t="s">
        <v>17</v>
      </c>
      <c r="F913" s="5">
        <v>6</v>
      </c>
      <c r="G913" s="5">
        <v>1</v>
      </c>
      <c r="H913" s="5">
        <v>8518</v>
      </c>
      <c r="I913" s="5">
        <v>2</v>
      </c>
      <c r="J913" s="5">
        <v>5678</v>
      </c>
      <c r="K913" t="s">
        <v>18</v>
      </c>
      <c r="L913" t="s">
        <v>19</v>
      </c>
      <c r="M913" t="s">
        <v>20</v>
      </c>
      <c r="N913" t="s">
        <v>61</v>
      </c>
      <c r="O913" t="s">
        <v>43</v>
      </c>
      <c r="P913" t="s">
        <v>36</v>
      </c>
      <c r="Q913">
        <f>Table1[[#This Row],[Course_Fee_AED]]-Table1[[#This Row],[Amount_Paid_AED]]</f>
        <v>2840</v>
      </c>
      <c r="R913">
        <f>Table1[[#This Row],[Course_Fee_AED]]-Table1[[#This Row],[pending Revenue]]</f>
        <v>5678</v>
      </c>
    </row>
    <row r="914" spans="1:18" x14ac:dyDescent="0.25">
      <c r="A914" t="s">
        <v>991</v>
      </c>
      <c r="B914" s="2">
        <v>45447</v>
      </c>
      <c r="C914" t="s">
        <v>38</v>
      </c>
      <c r="D914" t="s">
        <v>39</v>
      </c>
      <c r="E914" t="s">
        <v>17</v>
      </c>
      <c r="F914" s="5">
        <v>6</v>
      </c>
      <c r="G914" s="5">
        <v>1</v>
      </c>
      <c r="H914" s="5">
        <v>7130</v>
      </c>
      <c r="I914" s="5">
        <v>3</v>
      </c>
      <c r="J914" s="5">
        <v>7128</v>
      </c>
      <c r="K914" t="s">
        <v>18</v>
      </c>
      <c r="L914" t="s">
        <v>19</v>
      </c>
      <c r="M914" t="s">
        <v>63</v>
      </c>
      <c r="N914" t="s">
        <v>61</v>
      </c>
      <c r="O914" t="s">
        <v>49</v>
      </c>
      <c r="P914" t="s">
        <v>36</v>
      </c>
      <c r="Q914">
        <f>Table1[[#This Row],[Course_Fee_AED]]-Table1[[#This Row],[Amount_Paid_AED]]</f>
        <v>2</v>
      </c>
      <c r="R914">
        <f>Table1[[#This Row],[Course_Fee_AED]]-Table1[[#This Row],[pending Revenue]]</f>
        <v>7128</v>
      </c>
    </row>
    <row r="915" spans="1:18" x14ac:dyDescent="0.25">
      <c r="A915" t="s">
        <v>992</v>
      </c>
      <c r="B915" s="2">
        <v>45617</v>
      </c>
      <c r="C915" t="s">
        <v>51</v>
      </c>
      <c r="D915" t="s">
        <v>52</v>
      </c>
      <c r="E915" t="s">
        <v>17</v>
      </c>
      <c r="F915" s="5">
        <v>6</v>
      </c>
      <c r="G915" s="5">
        <v>1</v>
      </c>
      <c r="H915" s="5">
        <v>5448</v>
      </c>
      <c r="I915" s="5">
        <v>2</v>
      </c>
      <c r="J915" s="5">
        <v>3632</v>
      </c>
      <c r="K915" t="s">
        <v>18</v>
      </c>
      <c r="L915" t="s">
        <v>40</v>
      </c>
      <c r="M915" t="s">
        <v>41</v>
      </c>
      <c r="N915" t="s">
        <v>116</v>
      </c>
      <c r="O915" t="s">
        <v>71</v>
      </c>
      <c r="P915" t="s">
        <v>36</v>
      </c>
      <c r="Q915">
        <f>Table1[[#This Row],[Course_Fee_AED]]-Table1[[#This Row],[Amount_Paid_AED]]</f>
        <v>1816</v>
      </c>
      <c r="R915">
        <f>Table1[[#This Row],[Course_Fee_AED]]-Table1[[#This Row],[pending Revenue]]</f>
        <v>3632</v>
      </c>
    </row>
    <row r="916" spans="1:18" x14ac:dyDescent="0.25">
      <c r="A916" t="s">
        <v>993</v>
      </c>
      <c r="B916" s="2">
        <v>45375</v>
      </c>
      <c r="C916" t="s">
        <v>51</v>
      </c>
      <c r="D916" t="s">
        <v>52</v>
      </c>
      <c r="E916" t="s">
        <v>26</v>
      </c>
      <c r="F916" s="5">
        <v>3</v>
      </c>
      <c r="G916" s="5">
        <v>1</v>
      </c>
      <c r="H916" s="5">
        <v>3772</v>
      </c>
      <c r="I916" s="5">
        <v>1</v>
      </c>
      <c r="J916" s="5">
        <v>1257</v>
      </c>
      <c r="K916" t="s">
        <v>18</v>
      </c>
      <c r="L916" t="s">
        <v>40</v>
      </c>
      <c r="M916" t="s">
        <v>41</v>
      </c>
      <c r="N916" t="s">
        <v>28</v>
      </c>
      <c r="O916" t="s">
        <v>43</v>
      </c>
      <c r="P916" t="s">
        <v>36</v>
      </c>
      <c r="Q916">
        <f>Table1[[#This Row],[Course_Fee_AED]]-Table1[[#This Row],[Amount_Paid_AED]]</f>
        <v>2515</v>
      </c>
      <c r="R916">
        <f>Table1[[#This Row],[Course_Fee_AED]]-Table1[[#This Row],[pending Revenue]]</f>
        <v>1257</v>
      </c>
    </row>
    <row r="917" spans="1:18" x14ac:dyDescent="0.25">
      <c r="A917" t="s">
        <v>994</v>
      </c>
      <c r="B917" s="2">
        <v>45343</v>
      </c>
      <c r="C917" t="s">
        <v>113</v>
      </c>
      <c r="D917" t="s">
        <v>93</v>
      </c>
      <c r="E917" t="s">
        <v>17</v>
      </c>
      <c r="F917" s="5">
        <v>6</v>
      </c>
      <c r="G917" s="5">
        <v>1</v>
      </c>
      <c r="H917" s="5">
        <v>4693</v>
      </c>
      <c r="I917" s="5">
        <v>2</v>
      </c>
      <c r="J917" s="5">
        <v>3128</v>
      </c>
      <c r="K917" t="s">
        <v>18</v>
      </c>
      <c r="L917" t="s">
        <v>19</v>
      </c>
      <c r="M917" t="s">
        <v>20</v>
      </c>
      <c r="N917" t="s">
        <v>90</v>
      </c>
      <c r="O917" t="s">
        <v>29</v>
      </c>
      <c r="P917" t="s">
        <v>18</v>
      </c>
      <c r="Q917">
        <f>Table1[[#This Row],[Course_Fee_AED]]-Table1[[#This Row],[Amount_Paid_AED]]</f>
        <v>1565</v>
      </c>
      <c r="R917">
        <f>Table1[[#This Row],[Course_Fee_AED]]-Table1[[#This Row],[pending Revenue]]</f>
        <v>3128</v>
      </c>
    </row>
    <row r="918" spans="1:18" x14ac:dyDescent="0.25">
      <c r="A918" t="s">
        <v>995</v>
      </c>
      <c r="B918" s="2">
        <v>45408</v>
      </c>
      <c r="C918" t="s">
        <v>15</v>
      </c>
      <c r="D918" t="s">
        <v>16</v>
      </c>
      <c r="E918" t="s">
        <v>17</v>
      </c>
      <c r="F918" s="5">
        <v>6</v>
      </c>
      <c r="G918" s="5">
        <v>1</v>
      </c>
      <c r="H918" s="5">
        <v>7316</v>
      </c>
      <c r="I918" s="5">
        <v>1</v>
      </c>
      <c r="J918" s="5">
        <v>2438</v>
      </c>
      <c r="K918" t="s">
        <v>18</v>
      </c>
      <c r="L918" t="s">
        <v>57</v>
      </c>
      <c r="M918" t="s">
        <v>41</v>
      </c>
      <c r="N918" t="s">
        <v>48</v>
      </c>
      <c r="O918" t="s">
        <v>49</v>
      </c>
      <c r="P918" t="s">
        <v>18</v>
      </c>
      <c r="Q918">
        <f>Table1[[#This Row],[Course_Fee_AED]]-Table1[[#This Row],[Amount_Paid_AED]]</f>
        <v>4878</v>
      </c>
      <c r="R918">
        <f>Table1[[#This Row],[Course_Fee_AED]]-Table1[[#This Row],[pending Revenue]]</f>
        <v>2438</v>
      </c>
    </row>
    <row r="919" spans="1:18" x14ac:dyDescent="0.25">
      <c r="A919" t="s">
        <v>996</v>
      </c>
      <c r="B919" s="2">
        <v>45338</v>
      </c>
      <c r="C919" t="s">
        <v>51</v>
      </c>
      <c r="D919" t="s">
        <v>52</v>
      </c>
      <c r="E919" t="s">
        <v>26</v>
      </c>
      <c r="F919" s="5">
        <v>3</v>
      </c>
      <c r="G919" s="5">
        <v>1</v>
      </c>
      <c r="H919" s="5">
        <v>4975</v>
      </c>
      <c r="I919" s="5">
        <v>2</v>
      </c>
      <c r="J919" s="5">
        <v>3316</v>
      </c>
      <c r="K919" t="s">
        <v>18</v>
      </c>
      <c r="L919" t="s">
        <v>57</v>
      </c>
      <c r="M919" t="s">
        <v>60</v>
      </c>
      <c r="N919" t="s">
        <v>21</v>
      </c>
      <c r="O919" t="s">
        <v>71</v>
      </c>
      <c r="P919" t="s">
        <v>18</v>
      </c>
      <c r="Q919">
        <f>Table1[[#This Row],[Course_Fee_AED]]-Table1[[#This Row],[Amount_Paid_AED]]</f>
        <v>1659</v>
      </c>
      <c r="R919">
        <f>Table1[[#This Row],[Course_Fee_AED]]-Table1[[#This Row],[pending Revenue]]</f>
        <v>3316</v>
      </c>
    </row>
    <row r="920" spans="1:18" x14ac:dyDescent="0.25">
      <c r="A920" t="s">
        <v>997</v>
      </c>
      <c r="B920" s="2">
        <v>45535</v>
      </c>
      <c r="C920" t="s">
        <v>66</v>
      </c>
      <c r="D920" t="s">
        <v>56</v>
      </c>
      <c r="E920" t="s">
        <v>17</v>
      </c>
      <c r="F920" s="5">
        <v>6</v>
      </c>
      <c r="G920" s="5">
        <v>1</v>
      </c>
      <c r="H920" s="5">
        <v>9000</v>
      </c>
      <c r="I920" s="5">
        <v>2</v>
      </c>
      <c r="J920" s="5">
        <v>6000</v>
      </c>
      <c r="K920" t="s">
        <v>18</v>
      </c>
      <c r="L920" t="s">
        <v>19</v>
      </c>
      <c r="M920" t="s">
        <v>60</v>
      </c>
      <c r="N920" t="s">
        <v>53</v>
      </c>
      <c r="O920" t="s">
        <v>64</v>
      </c>
      <c r="P920" t="s">
        <v>18</v>
      </c>
      <c r="Q920">
        <f>Table1[[#This Row],[Course_Fee_AED]]-Table1[[#This Row],[Amount_Paid_AED]]</f>
        <v>3000</v>
      </c>
      <c r="R920">
        <f>Table1[[#This Row],[Course_Fee_AED]]-Table1[[#This Row],[pending Revenue]]</f>
        <v>6000</v>
      </c>
    </row>
    <row r="921" spans="1:18" x14ac:dyDescent="0.25">
      <c r="A921" t="s">
        <v>998</v>
      </c>
      <c r="B921" s="2">
        <v>45431</v>
      </c>
      <c r="C921" t="s">
        <v>55</v>
      </c>
      <c r="D921" t="s">
        <v>56</v>
      </c>
      <c r="E921" t="s">
        <v>17</v>
      </c>
      <c r="F921" s="5">
        <v>6</v>
      </c>
      <c r="G921" s="5">
        <v>1</v>
      </c>
      <c r="H921" s="5">
        <v>7517</v>
      </c>
      <c r="I921" s="5">
        <v>1</v>
      </c>
      <c r="J921" s="5">
        <v>2505</v>
      </c>
      <c r="K921" t="s">
        <v>18</v>
      </c>
      <c r="L921" t="s">
        <v>19</v>
      </c>
      <c r="M921" t="s">
        <v>20</v>
      </c>
      <c r="N921" t="s">
        <v>34</v>
      </c>
      <c r="O921" t="s">
        <v>87</v>
      </c>
      <c r="P921" t="s">
        <v>36</v>
      </c>
      <c r="Q921">
        <f>Table1[[#This Row],[Course_Fee_AED]]-Table1[[#This Row],[Amount_Paid_AED]]</f>
        <v>5012</v>
      </c>
      <c r="R921">
        <f>Table1[[#This Row],[Course_Fee_AED]]-Table1[[#This Row],[pending Revenue]]</f>
        <v>2505</v>
      </c>
    </row>
    <row r="922" spans="1:18" x14ac:dyDescent="0.25">
      <c r="A922" t="s">
        <v>999</v>
      </c>
      <c r="B922" s="2">
        <v>45404</v>
      </c>
      <c r="C922" t="s">
        <v>75</v>
      </c>
      <c r="D922" t="s">
        <v>76</v>
      </c>
      <c r="E922" t="s">
        <v>26</v>
      </c>
      <c r="F922" s="5">
        <v>3</v>
      </c>
      <c r="G922" s="5">
        <v>1</v>
      </c>
      <c r="H922" s="5">
        <v>10279</v>
      </c>
      <c r="I922" s="5">
        <v>2</v>
      </c>
      <c r="J922" s="5">
        <v>6852</v>
      </c>
      <c r="K922" t="s">
        <v>18</v>
      </c>
      <c r="L922" t="s">
        <v>40</v>
      </c>
      <c r="M922" t="s">
        <v>41</v>
      </c>
      <c r="N922" t="s">
        <v>73</v>
      </c>
      <c r="O922" t="s">
        <v>58</v>
      </c>
      <c r="P922" t="s">
        <v>18</v>
      </c>
      <c r="Q922">
        <f>Table1[[#This Row],[Course_Fee_AED]]-Table1[[#This Row],[Amount_Paid_AED]]</f>
        <v>3427</v>
      </c>
      <c r="R922">
        <f>Table1[[#This Row],[Course_Fee_AED]]-Table1[[#This Row],[pending Revenue]]</f>
        <v>6852</v>
      </c>
    </row>
    <row r="923" spans="1:18" x14ac:dyDescent="0.25">
      <c r="A923" t="s">
        <v>1000</v>
      </c>
      <c r="B923" s="2">
        <v>45307</v>
      </c>
      <c r="C923" t="s">
        <v>66</v>
      </c>
      <c r="D923" t="s">
        <v>56</v>
      </c>
      <c r="E923" t="s">
        <v>26</v>
      </c>
      <c r="F923" s="5">
        <v>3</v>
      </c>
      <c r="G923" s="5">
        <v>1</v>
      </c>
      <c r="H923" s="5">
        <v>11285</v>
      </c>
      <c r="I923" s="5">
        <v>1</v>
      </c>
      <c r="J923" s="5">
        <v>3761</v>
      </c>
      <c r="K923" t="s">
        <v>18</v>
      </c>
      <c r="L923" t="s">
        <v>19</v>
      </c>
      <c r="M923" t="s">
        <v>41</v>
      </c>
      <c r="N923" t="s">
        <v>61</v>
      </c>
      <c r="O923" t="s">
        <v>64</v>
      </c>
      <c r="P923" t="s">
        <v>18</v>
      </c>
      <c r="Q923">
        <f>Table1[[#This Row],[Course_Fee_AED]]-Table1[[#This Row],[Amount_Paid_AED]]</f>
        <v>7524</v>
      </c>
      <c r="R923">
        <f>Table1[[#This Row],[Course_Fee_AED]]-Table1[[#This Row],[pending Revenue]]</f>
        <v>3761</v>
      </c>
    </row>
    <row r="924" spans="1:18" x14ac:dyDescent="0.25">
      <c r="A924" t="s">
        <v>1001</v>
      </c>
      <c r="B924" s="2">
        <v>45404</v>
      </c>
      <c r="C924" t="s">
        <v>100</v>
      </c>
      <c r="D924" t="s">
        <v>101</v>
      </c>
      <c r="E924" t="s">
        <v>26</v>
      </c>
      <c r="F924" s="5">
        <v>3</v>
      </c>
      <c r="G924" s="5">
        <v>1</v>
      </c>
      <c r="H924" s="5">
        <v>5002</v>
      </c>
      <c r="I924" s="5">
        <v>1</v>
      </c>
      <c r="J924" s="5">
        <v>1667</v>
      </c>
      <c r="K924" t="s">
        <v>18</v>
      </c>
      <c r="L924" t="s">
        <v>57</v>
      </c>
      <c r="M924" t="s">
        <v>41</v>
      </c>
      <c r="N924" t="s">
        <v>90</v>
      </c>
      <c r="O924" t="s">
        <v>49</v>
      </c>
      <c r="P924" t="s">
        <v>36</v>
      </c>
      <c r="Q924">
        <f>Table1[[#This Row],[Course_Fee_AED]]-Table1[[#This Row],[Amount_Paid_AED]]</f>
        <v>3335</v>
      </c>
      <c r="R924">
        <f>Table1[[#This Row],[Course_Fee_AED]]-Table1[[#This Row],[pending Revenue]]</f>
        <v>1667</v>
      </c>
    </row>
    <row r="925" spans="1:18" x14ac:dyDescent="0.25">
      <c r="A925" t="s">
        <v>1002</v>
      </c>
      <c r="B925" s="2">
        <v>45629</v>
      </c>
      <c r="C925" t="s">
        <v>51</v>
      </c>
      <c r="D925" t="s">
        <v>52</v>
      </c>
      <c r="E925" t="s">
        <v>26</v>
      </c>
      <c r="F925" s="5">
        <v>3</v>
      </c>
      <c r="G925" s="5">
        <v>1</v>
      </c>
      <c r="H925" s="5">
        <v>5854</v>
      </c>
      <c r="I925" s="5">
        <v>3</v>
      </c>
      <c r="J925" s="5">
        <v>5853</v>
      </c>
      <c r="K925" t="s">
        <v>18</v>
      </c>
      <c r="L925" t="s">
        <v>19</v>
      </c>
      <c r="M925" t="s">
        <v>47</v>
      </c>
      <c r="N925" t="s">
        <v>73</v>
      </c>
      <c r="O925" t="s">
        <v>64</v>
      </c>
      <c r="P925" t="s">
        <v>36</v>
      </c>
      <c r="Q925">
        <f>Table1[[#This Row],[Course_Fee_AED]]-Table1[[#This Row],[Amount_Paid_AED]]</f>
        <v>1</v>
      </c>
      <c r="R925">
        <f>Table1[[#This Row],[Course_Fee_AED]]-Table1[[#This Row],[pending Revenue]]</f>
        <v>5853</v>
      </c>
    </row>
    <row r="926" spans="1:18" x14ac:dyDescent="0.25">
      <c r="A926" t="s">
        <v>1003</v>
      </c>
      <c r="B926" s="2">
        <v>45313</v>
      </c>
      <c r="C926" t="s">
        <v>51</v>
      </c>
      <c r="D926" t="s">
        <v>52</v>
      </c>
      <c r="E926" t="s">
        <v>26</v>
      </c>
      <c r="F926" s="5">
        <v>3</v>
      </c>
      <c r="G926" s="5">
        <v>1</v>
      </c>
      <c r="H926" s="5">
        <v>5197</v>
      </c>
      <c r="I926" s="5">
        <v>2</v>
      </c>
      <c r="J926" s="5">
        <v>3464</v>
      </c>
      <c r="K926" t="s">
        <v>18</v>
      </c>
      <c r="L926" t="s">
        <v>19</v>
      </c>
      <c r="M926" t="s">
        <v>20</v>
      </c>
      <c r="N926" t="s">
        <v>70</v>
      </c>
      <c r="O926" t="s">
        <v>58</v>
      </c>
      <c r="P926" t="s">
        <v>36</v>
      </c>
      <c r="Q926">
        <f>Table1[[#This Row],[Course_Fee_AED]]-Table1[[#This Row],[Amount_Paid_AED]]</f>
        <v>1733</v>
      </c>
      <c r="R926">
        <f>Table1[[#This Row],[Course_Fee_AED]]-Table1[[#This Row],[pending Revenue]]</f>
        <v>3464</v>
      </c>
    </row>
    <row r="927" spans="1:18" x14ac:dyDescent="0.25">
      <c r="A927" t="s">
        <v>1004</v>
      </c>
      <c r="B927" s="2">
        <v>45300</v>
      </c>
      <c r="C927" t="s">
        <v>15</v>
      </c>
      <c r="D927" t="s">
        <v>16</v>
      </c>
      <c r="E927" t="s">
        <v>26</v>
      </c>
      <c r="F927" s="5">
        <v>3</v>
      </c>
      <c r="G927" s="5">
        <v>1</v>
      </c>
      <c r="H927" s="5">
        <v>6972</v>
      </c>
      <c r="I927" s="5">
        <v>2</v>
      </c>
      <c r="J927" s="5">
        <v>4648</v>
      </c>
      <c r="K927" t="s">
        <v>18</v>
      </c>
      <c r="L927" t="s">
        <v>57</v>
      </c>
      <c r="M927" t="s">
        <v>27</v>
      </c>
      <c r="N927" t="s">
        <v>48</v>
      </c>
      <c r="O927" t="s">
        <v>87</v>
      </c>
      <c r="P927" t="s">
        <v>36</v>
      </c>
      <c r="Q927">
        <f>Table1[[#This Row],[Course_Fee_AED]]-Table1[[#This Row],[Amount_Paid_AED]]</f>
        <v>2324</v>
      </c>
      <c r="R927">
        <f>Table1[[#This Row],[Course_Fee_AED]]-Table1[[#This Row],[pending Revenue]]</f>
        <v>4648</v>
      </c>
    </row>
    <row r="928" spans="1:18" x14ac:dyDescent="0.25">
      <c r="A928" t="s">
        <v>1005</v>
      </c>
      <c r="B928" s="2">
        <v>45314</v>
      </c>
      <c r="C928" t="s">
        <v>24</v>
      </c>
      <c r="D928" t="s">
        <v>25</v>
      </c>
      <c r="E928" t="s">
        <v>26</v>
      </c>
      <c r="F928" s="5">
        <v>3</v>
      </c>
      <c r="G928" s="5">
        <v>1</v>
      </c>
      <c r="H928" s="5">
        <v>5507</v>
      </c>
      <c r="I928" s="5">
        <v>1</v>
      </c>
      <c r="J928" s="5">
        <v>1835</v>
      </c>
      <c r="K928" t="s">
        <v>18</v>
      </c>
      <c r="L928" t="s">
        <v>19</v>
      </c>
      <c r="M928" t="s">
        <v>47</v>
      </c>
      <c r="N928" t="s">
        <v>70</v>
      </c>
      <c r="O928" t="s">
        <v>35</v>
      </c>
      <c r="P928" t="s">
        <v>18</v>
      </c>
      <c r="Q928">
        <f>Table1[[#This Row],[Course_Fee_AED]]-Table1[[#This Row],[Amount_Paid_AED]]</f>
        <v>3672</v>
      </c>
      <c r="R928">
        <f>Table1[[#This Row],[Course_Fee_AED]]-Table1[[#This Row],[pending Revenue]]</f>
        <v>1835</v>
      </c>
    </row>
    <row r="929" spans="1:18" x14ac:dyDescent="0.25">
      <c r="A929" t="s">
        <v>1006</v>
      </c>
      <c r="B929" s="2">
        <v>45324</v>
      </c>
      <c r="C929" t="s">
        <v>82</v>
      </c>
      <c r="D929" t="s">
        <v>83</v>
      </c>
      <c r="E929" t="s">
        <v>17</v>
      </c>
      <c r="F929" s="5">
        <v>6</v>
      </c>
      <c r="G929" s="5">
        <v>1</v>
      </c>
      <c r="H929" s="5">
        <v>11274</v>
      </c>
      <c r="I929" s="5">
        <v>2</v>
      </c>
      <c r="J929" s="5">
        <v>7516</v>
      </c>
      <c r="K929" t="s">
        <v>18</v>
      </c>
      <c r="L929" t="s">
        <v>40</v>
      </c>
      <c r="M929" t="s">
        <v>20</v>
      </c>
      <c r="N929" t="s">
        <v>154</v>
      </c>
      <c r="O929" t="s">
        <v>22</v>
      </c>
      <c r="P929" t="s">
        <v>36</v>
      </c>
      <c r="Q929">
        <f>Table1[[#This Row],[Course_Fee_AED]]-Table1[[#This Row],[Amount_Paid_AED]]</f>
        <v>3758</v>
      </c>
      <c r="R929">
        <f>Table1[[#This Row],[Course_Fee_AED]]-Table1[[#This Row],[pending Revenue]]</f>
        <v>7516</v>
      </c>
    </row>
    <row r="930" spans="1:18" x14ac:dyDescent="0.25">
      <c r="A930" t="s">
        <v>1007</v>
      </c>
      <c r="B930" s="2">
        <v>45504</v>
      </c>
      <c r="C930" t="s">
        <v>106</v>
      </c>
      <c r="D930" t="s">
        <v>107</v>
      </c>
      <c r="E930" t="s">
        <v>26</v>
      </c>
      <c r="F930" s="5">
        <v>3</v>
      </c>
      <c r="G930" s="5">
        <v>1</v>
      </c>
      <c r="H930" s="5">
        <v>5097</v>
      </c>
      <c r="I930" s="5">
        <v>3</v>
      </c>
      <c r="J930" s="5">
        <v>5097</v>
      </c>
      <c r="K930" t="s">
        <v>33</v>
      </c>
      <c r="L930" t="s">
        <v>19</v>
      </c>
      <c r="M930" t="s">
        <v>63</v>
      </c>
      <c r="N930" t="s">
        <v>48</v>
      </c>
      <c r="O930" t="s">
        <v>68</v>
      </c>
      <c r="P930" t="s">
        <v>18</v>
      </c>
      <c r="Q930">
        <f>Table1[[#This Row],[Course_Fee_AED]]-Table1[[#This Row],[Amount_Paid_AED]]</f>
        <v>0</v>
      </c>
      <c r="R930">
        <f>Table1[[#This Row],[Course_Fee_AED]]-Table1[[#This Row],[pending Revenue]]</f>
        <v>5097</v>
      </c>
    </row>
    <row r="931" spans="1:18" x14ac:dyDescent="0.25">
      <c r="A931" t="s">
        <v>1008</v>
      </c>
      <c r="B931" s="2">
        <v>45426</v>
      </c>
      <c r="C931" t="s">
        <v>113</v>
      </c>
      <c r="D931" t="s">
        <v>93</v>
      </c>
      <c r="E931" t="s">
        <v>17</v>
      </c>
      <c r="F931" s="5">
        <v>6</v>
      </c>
      <c r="G931" s="5">
        <v>1</v>
      </c>
      <c r="H931" s="5">
        <v>4857</v>
      </c>
      <c r="I931" s="5">
        <v>1</v>
      </c>
      <c r="J931" s="5">
        <v>1619</v>
      </c>
      <c r="K931" t="s">
        <v>18</v>
      </c>
      <c r="L931" t="s">
        <v>40</v>
      </c>
      <c r="M931" t="s">
        <v>41</v>
      </c>
      <c r="N931" t="s">
        <v>42</v>
      </c>
      <c r="O931" t="s">
        <v>43</v>
      </c>
      <c r="P931" t="s">
        <v>36</v>
      </c>
      <c r="Q931">
        <f>Table1[[#This Row],[Course_Fee_AED]]-Table1[[#This Row],[Amount_Paid_AED]]</f>
        <v>3238</v>
      </c>
      <c r="R931">
        <f>Table1[[#This Row],[Course_Fee_AED]]-Table1[[#This Row],[pending Revenue]]</f>
        <v>1619</v>
      </c>
    </row>
    <row r="932" spans="1:18" x14ac:dyDescent="0.25">
      <c r="A932" t="s">
        <v>1009</v>
      </c>
      <c r="B932" s="2">
        <v>45415</v>
      </c>
      <c r="C932" t="s">
        <v>51</v>
      </c>
      <c r="D932" t="s">
        <v>52</v>
      </c>
      <c r="E932" t="s">
        <v>26</v>
      </c>
      <c r="F932" s="5">
        <v>3</v>
      </c>
      <c r="G932" s="5">
        <v>1</v>
      </c>
      <c r="H932" s="5">
        <v>4469</v>
      </c>
      <c r="I932" s="5">
        <v>1</v>
      </c>
      <c r="J932" s="5">
        <v>1489</v>
      </c>
      <c r="K932" t="s">
        <v>18</v>
      </c>
      <c r="L932" t="s">
        <v>57</v>
      </c>
      <c r="M932" t="s">
        <v>60</v>
      </c>
      <c r="N932" t="s">
        <v>95</v>
      </c>
      <c r="O932" t="s">
        <v>64</v>
      </c>
      <c r="P932" t="s">
        <v>18</v>
      </c>
      <c r="Q932">
        <f>Table1[[#This Row],[Course_Fee_AED]]-Table1[[#This Row],[Amount_Paid_AED]]</f>
        <v>2980</v>
      </c>
      <c r="R932">
        <f>Table1[[#This Row],[Course_Fee_AED]]-Table1[[#This Row],[pending Revenue]]</f>
        <v>1489</v>
      </c>
    </row>
    <row r="933" spans="1:18" x14ac:dyDescent="0.25">
      <c r="A933" t="s">
        <v>1010</v>
      </c>
      <c r="B933" s="2">
        <v>45532</v>
      </c>
      <c r="C933" t="s">
        <v>82</v>
      </c>
      <c r="D933" t="s">
        <v>83</v>
      </c>
      <c r="E933" t="s">
        <v>26</v>
      </c>
      <c r="F933" s="5">
        <v>3</v>
      </c>
      <c r="G933" s="5">
        <v>1</v>
      </c>
      <c r="H933" s="5">
        <v>14203</v>
      </c>
      <c r="I933" s="5">
        <v>1</v>
      </c>
      <c r="J933" s="5">
        <v>4734</v>
      </c>
      <c r="K933" t="s">
        <v>18</v>
      </c>
      <c r="L933" t="s">
        <v>19</v>
      </c>
      <c r="M933" t="s">
        <v>27</v>
      </c>
      <c r="N933" t="s">
        <v>70</v>
      </c>
      <c r="O933" t="s">
        <v>87</v>
      </c>
      <c r="P933" t="s">
        <v>18</v>
      </c>
      <c r="Q933">
        <f>Table1[[#This Row],[Course_Fee_AED]]-Table1[[#This Row],[Amount_Paid_AED]]</f>
        <v>9469</v>
      </c>
      <c r="R933">
        <f>Table1[[#This Row],[Course_Fee_AED]]-Table1[[#This Row],[pending Revenue]]</f>
        <v>4734</v>
      </c>
    </row>
    <row r="934" spans="1:18" x14ac:dyDescent="0.25">
      <c r="A934" t="s">
        <v>1011</v>
      </c>
      <c r="B934" s="2">
        <v>45391</v>
      </c>
      <c r="C934" t="s">
        <v>45</v>
      </c>
      <c r="D934" t="s">
        <v>46</v>
      </c>
      <c r="E934" t="s">
        <v>26</v>
      </c>
      <c r="F934" s="5">
        <v>3</v>
      </c>
      <c r="G934" s="5">
        <v>1</v>
      </c>
      <c r="H934" s="5">
        <v>4057</v>
      </c>
      <c r="I934" s="5">
        <v>3</v>
      </c>
      <c r="J934" s="5">
        <v>4056</v>
      </c>
      <c r="K934" t="s">
        <v>18</v>
      </c>
      <c r="L934" t="s">
        <v>19</v>
      </c>
      <c r="M934" t="s">
        <v>60</v>
      </c>
      <c r="N934" t="s">
        <v>116</v>
      </c>
      <c r="O934" t="s">
        <v>35</v>
      </c>
      <c r="P934" t="s">
        <v>36</v>
      </c>
      <c r="Q934">
        <f>Table1[[#This Row],[Course_Fee_AED]]-Table1[[#This Row],[Amount_Paid_AED]]</f>
        <v>1</v>
      </c>
      <c r="R934">
        <f>Table1[[#This Row],[Course_Fee_AED]]-Table1[[#This Row],[pending Revenue]]</f>
        <v>4056</v>
      </c>
    </row>
    <row r="935" spans="1:18" x14ac:dyDescent="0.25">
      <c r="A935" t="s">
        <v>1012</v>
      </c>
      <c r="B935" s="2">
        <v>45308</v>
      </c>
      <c r="C935" t="s">
        <v>15</v>
      </c>
      <c r="D935" t="s">
        <v>16</v>
      </c>
      <c r="E935" t="s">
        <v>26</v>
      </c>
      <c r="F935" s="5">
        <v>3</v>
      </c>
      <c r="G935" s="5">
        <v>1</v>
      </c>
      <c r="H935" s="5">
        <v>4979</v>
      </c>
      <c r="I935" s="5">
        <v>3</v>
      </c>
      <c r="J935" s="5">
        <v>4977</v>
      </c>
      <c r="K935" t="s">
        <v>18</v>
      </c>
      <c r="L935" t="s">
        <v>57</v>
      </c>
      <c r="M935" t="s">
        <v>63</v>
      </c>
      <c r="N935" t="s">
        <v>95</v>
      </c>
      <c r="O935" t="s">
        <v>22</v>
      </c>
      <c r="P935" t="s">
        <v>36</v>
      </c>
      <c r="Q935">
        <f>Table1[[#This Row],[Course_Fee_AED]]-Table1[[#This Row],[Amount_Paid_AED]]</f>
        <v>2</v>
      </c>
      <c r="R935">
        <f>Table1[[#This Row],[Course_Fee_AED]]-Table1[[#This Row],[pending Revenue]]</f>
        <v>4977</v>
      </c>
    </row>
    <row r="936" spans="1:18" x14ac:dyDescent="0.25">
      <c r="A936" t="s">
        <v>1013</v>
      </c>
      <c r="B936" s="2">
        <v>45484</v>
      </c>
      <c r="C936" t="s">
        <v>51</v>
      </c>
      <c r="D936" t="s">
        <v>52</v>
      </c>
      <c r="E936" t="s">
        <v>26</v>
      </c>
      <c r="F936" s="5">
        <v>3</v>
      </c>
      <c r="G936" s="5">
        <v>1</v>
      </c>
      <c r="H936" s="5">
        <v>5368</v>
      </c>
      <c r="I936" s="5">
        <v>1</v>
      </c>
      <c r="J936" s="5">
        <v>1789</v>
      </c>
      <c r="K936" t="s">
        <v>18</v>
      </c>
      <c r="L936" t="s">
        <v>19</v>
      </c>
      <c r="M936" t="s">
        <v>47</v>
      </c>
      <c r="N936" t="s">
        <v>42</v>
      </c>
      <c r="O936" t="s">
        <v>29</v>
      </c>
      <c r="P936" t="s">
        <v>36</v>
      </c>
      <c r="Q936">
        <f>Table1[[#This Row],[Course_Fee_AED]]-Table1[[#This Row],[Amount_Paid_AED]]</f>
        <v>3579</v>
      </c>
      <c r="R936">
        <f>Table1[[#This Row],[Course_Fee_AED]]-Table1[[#This Row],[pending Revenue]]</f>
        <v>1789</v>
      </c>
    </row>
    <row r="937" spans="1:18" x14ac:dyDescent="0.25">
      <c r="A937" t="s">
        <v>1014</v>
      </c>
      <c r="B937" s="2">
        <v>45480</v>
      </c>
      <c r="C937" t="s">
        <v>100</v>
      </c>
      <c r="D937" t="s">
        <v>101</v>
      </c>
      <c r="E937" t="s">
        <v>17</v>
      </c>
      <c r="F937" s="5">
        <v>6</v>
      </c>
      <c r="G937" s="5">
        <v>1</v>
      </c>
      <c r="H937" s="5">
        <v>5305</v>
      </c>
      <c r="I937" s="5">
        <v>3</v>
      </c>
      <c r="J937" s="5">
        <v>5304</v>
      </c>
      <c r="K937" t="s">
        <v>18</v>
      </c>
      <c r="L937" t="s">
        <v>19</v>
      </c>
      <c r="M937" t="s">
        <v>47</v>
      </c>
      <c r="N937" t="s">
        <v>48</v>
      </c>
      <c r="O937" t="s">
        <v>71</v>
      </c>
      <c r="P937" t="s">
        <v>36</v>
      </c>
      <c r="Q937">
        <f>Table1[[#This Row],[Course_Fee_AED]]-Table1[[#This Row],[Amount_Paid_AED]]</f>
        <v>1</v>
      </c>
      <c r="R937">
        <f>Table1[[#This Row],[Course_Fee_AED]]-Table1[[#This Row],[pending Revenue]]</f>
        <v>5304</v>
      </c>
    </row>
    <row r="938" spans="1:18" x14ac:dyDescent="0.25">
      <c r="A938" t="s">
        <v>1015</v>
      </c>
      <c r="B938" s="2">
        <v>45620</v>
      </c>
      <c r="C938" t="s">
        <v>75</v>
      </c>
      <c r="D938" t="s">
        <v>76</v>
      </c>
      <c r="E938" t="s">
        <v>17</v>
      </c>
      <c r="F938" s="5">
        <v>6</v>
      </c>
      <c r="G938" s="5">
        <v>1</v>
      </c>
      <c r="H938" s="5">
        <v>14944</v>
      </c>
      <c r="I938" s="5">
        <v>1</v>
      </c>
      <c r="J938" s="5">
        <v>4981</v>
      </c>
      <c r="K938" t="s">
        <v>18</v>
      </c>
      <c r="L938" t="s">
        <v>57</v>
      </c>
      <c r="M938" t="s">
        <v>20</v>
      </c>
      <c r="N938" t="s">
        <v>86</v>
      </c>
      <c r="O938" t="s">
        <v>35</v>
      </c>
      <c r="P938" t="s">
        <v>36</v>
      </c>
      <c r="Q938">
        <f>Table1[[#This Row],[Course_Fee_AED]]-Table1[[#This Row],[Amount_Paid_AED]]</f>
        <v>9963</v>
      </c>
      <c r="R938">
        <f>Table1[[#This Row],[Course_Fee_AED]]-Table1[[#This Row],[pending Revenue]]</f>
        <v>4981</v>
      </c>
    </row>
    <row r="939" spans="1:18" x14ac:dyDescent="0.25">
      <c r="A939" t="s">
        <v>1016</v>
      </c>
      <c r="B939" s="2">
        <v>45304</v>
      </c>
      <c r="C939" t="s">
        <v>75</v>
      </c>
      <c r="D939" t="s">
        <v>76</v>
      </c>
      <c r="E939" t="s">
        <v>26</v>
      </c>
      <c r="F939" s="5">
        <v>3</v>
      </c>
      <c r="G939" s="5">
        <v>1</v>
      </c>
      <c r="H939" s="5">
        <v>10644</v>
      </c>
      <c r="I939" s="5">
        <v>2</v>
      </c>
      <c r="J939" s="5">
        <v>7096</v>
      </c>
      <c r="K939" t="s">
        <v>18</v>
      </c>
      <c r="L939" t="s">
        <v>40</v>
      </c>
      <c r="M939" t="s">
        <v>47</v>
      </c>
      <c r="N939" t="s">
        <v>79</v>
      </c>
      <c r="O939" t="s">
        <v>68</v>
      </c>
      <c r="P939" t="s">
        <v>36</v>
      </c>
      <c r="Q939">
        <f>Table1[[#This Row],[Course_Fee_AED]]-Table1[[#This Row],[Amount_Paid_AED]]</f>
        <v>3548</v>
      </c>
      <c r="R939">
        <f>Table1[[#This Row],[Course_Fee_AED]]-Table1[[#This Row],[pending Revenue]]</f>
        <v>7096</v>
      </c>
    </row>
    <row r="940" spans="1:18" x14ac:dyDescent="0.25">
      <c r="A940" t="s">
        <v>1017</v>
      </c>
      <c r="B940" s="2">
        <v>45601</v>
      </c>
      <c r="C940" t="s">
        <v>15</v>
      </c>
      <c r="D940" t="s">
        <v>16</v>
      </c>
      <c r="E940" t="s">
        <v>17</v>
      </c>
      <c r="F940" s="5">
        <v>6</v>
      </c>
      <c r="G940" s="5">
        <v>1</v>
      </c>
      <c r="H940" s="5">
        <v>5563</v>
      </c>
      <c r="I940" s="5">
        <v>3</v>
      </c>
      <c r="J940" s="5">
        <v>5562</v>
      </c>
      <c r="K940" t="s">
        <v>18</v>
      </c>
      <c r="L940" t="s">
        <v>57</v>
      </c>
      <c r="M940" t="s">
        <v>27</v>
      </c>
      <c r="N940" t="s">
        <v>42</v>
      </c>
      <c r="O940" t="s">
        <v>35</v>
      </c>
      <c r="P940" t="s">
        <v>18</v>
      </c>
      <c r="Q940">
        <f>Table1[[#This Row],[Course_Fee_AED]]-Table1[[#This Row],[Amount_Paid_AED]]</f>
        <v>1</v>
      </c>
      <c r="R940">
        <f>Table1[[#This Row],[Course_Fee_AED]]-Table1[[#This Row],[pending Revenue]]</f>
        <v>5562</v>
      </c>
    </row>
    <row r="941" spans="1:18" x14ac:dyDescent="0.25">
      <c r="A941" t="s">
        <v>1018</v>
      </c>
      <c r="B941" s="2">
        <v>45466</v>
      </c>
      <c r="C941" t="s">
        <v>31</v>
      </c>
      <c r="D941" t="s">
        <v>32</v>
      </c>
      <c r="E941" t="s">
        <v>17</v>
      </c>
      <c r="F941" s="5">
        <v>6</v>
      </c>
      <c r="G941" s="5">
        <v>1</v>
      </c>
      <c r="H941" s="5">
        <v>6762</v>
      </c>
      <c r="I941" s="5">
        <v>1</v>
      </c>
      <c r="J941" s="5">
        <v>2254</v>
      </c>
      <c r="K941" t="s">
        <v>18</v>
      </c>
      <c r="L941" t="s">
        <v>40</v>
      </c>
      <c r="M941" t="s">
        <v>20</v>
      </c>
      <c r="N941" t="s">
        <v>48</v>
      </c>
      <c r="O941" t="s">
        <v>49</v>
      </c>
      <c r="P941" t="s">
        <v>18</v>
      </c>
      <c r="Q941">
        <f>Table1[[#This Row],[Course_Fee_AED]]-Table1[[#This Row],[Amount_Paid_AED]]</f>
        <v>4508</v>
      </c>
      <c r="R941">
        <f>Table1[[#This Row],[Course_Fee_AED]]-Table1[[#This Row],[pending Revenue]]</f>
        <v>2254</v>
      </c>
    </row>
    <row r="942" spans="1:18" x14ac:dyDescent="0.25">
      <c r="A942" t="s">
        <v>1019</v>
      </c>
      <c r="B942" s="2">
        <v>45331</v>
      </c>
      <c r="C942" t="s">
        <v>66</v>
      </c>
      <c r="D942" t="s">
        <v>56</v>
      </c>
      <c r="E942" t="s">
        <v>26</v>
      </c>
      <c r="F942" s="5">
        <v>3</v>
      </c>
      <c r="G942" s="5">
        <v>1</v>
      </c>
      <c r="H942" s="5">
        <v>11016</v>
      </c>
      <c r="I942" s="5">
        <v>3</v>
      </c>
      <c r="J942" s="5">
        <v>11016</v>
      </c>
      <c r="K942" t="s">
        <v>33</v>
      </c>
      <c r="L942" t="s">
        <v>57</v>
      </c>
      <c r="M942" t="s">
        <v>41</v>
      </c>
      <c r="N942" t="s">
        <v>42</v>
      </c>
      <c r="O942" t="s">
        <v>49</v>
      </c>
      <c r="P942" t="s">
        <v>36</v>
      </c>
      <c r="Q942">
        <f>Table1[[#This Row],[Course_Fee_AED]]-Table1[[#This Row],[Amount_Paid_AED]]</f>
        <v>0</v>
      </c>
      <c r="R942">
        <f>Table1[[#This Row],[Course_Fee_AED]]-Table1[[#This Row],[pending Revenue]]</f>
        <v>11016</v>
      </c>
    </row>
    <row r="943" spans="1:18" x14ac:dyDescent="0.25">
      <c r="A943" t="s">
        <v>1020</v>
      </c>
      <c r="B943" s="2">
        <v>45513</v>
      </c>
      <c r="C943" t="s">
        <v>75</v>
      </c>
      <c r="D943" t="s">
        <v>76</v>
      </c>
      <c r="E943" t="s">
        <v>26</v>
      </c>
      <c r="F943" s="5">
        <v>3</v>
      </c>
      <c r="G943" s="5">
        <v>1</v>
      </c>
      <c r="H943" s="5">
        <v>10658</v>
      </c>
      <c r="I943" s="5">
        <v>3</v>
      </c>
      <c r="J943" s="5">
        <v>10656</v>
      </c>
      <c r="K943" t="s">
        <v>18</v>
      </c>
      <c r="L943" t="s">
        <v>19</v>
      </c>
      <c r="M943" t="s">
        <v>20</v>
      </c>
      <c r="N943" t="s">
        <v>42</v>
      </c>
      <c r="O943" t="s">
        <v>58</v>
      </c>
      <c r="P943" t="s">
        <v>36</v>
      </c>
      <c r="Q943">
        <f>Table1[[#This Row],[Course_Fee_AED]]-Table1[[#This Row],[Amount_Paid_AED]]</f>
        <v>2</v>
      </c>
      <c r="R943">
        <f>Table1[[#This Row],[Course_Fee_AED]]-Table1[[#This Row],[pending Revenue]]</f>
        <v>10656</v>
      </c>
    </row>
    <row r="944" spans="1:18" x14ac:dyDescent="0.25">
      <c r="A944" t="s">
        <v>1021</v>
      </c>
      <c r="B944" s="2">
        <v>45361</v>
      </c>
      <c r="C944" t="s">
        <v>15</v>
      </c>
      <c r="D944" t="s">
        <v>16</v>
      </c>
      <c r="E944" t="s">
        <v>26</v>
      </c>
      <c r="F944" s="5">
        <v>3</v>
      </c>
      <c r="G944" s="5">
        <v>1</v>
      </c>
      <c r="H944" s="5">
        <v>7662</v>
      </c>
      <c r="I944" s="5">
        <v>2</v>
      </c>
      <c r="J944" s="5">
        <v>5108</v>
      </c>
      <c r="K944" t="s">
        <v>18</v>
      </c>
      <c r="L944" t="s">
        <v>19</v>
      </c>
      <c r="M944" t="s">
        <v>41</v>
      </c>
      <c r="N944" t="s">
        <v>28</v>
      </c>
      <c r="O944" t="s">
        <v>49</v>
      </c>
      <c r="P944" t="s">
        <v>36</v>
      </c>
      <c r="Q944">
        <f>Table1[[#This Row],[Course_Fee_AED]]-Table1[[#This Row],[Amount_Paid_AED]]</f>
        <v>2554</v>
      </c>
      <c r="R944">
        <f>Table1[[#This Row],[Course_Fee_AED]]-Table1[[#This Row],[pending Revenue]]</f>
        <v>5108</v>
      </c>
    </row>
    <row r="945" spans="1:18" x14ac:dyDescent="0.25">
      <c r="A945" t="s">
        <v>1022</v>
      </c>
      <c r="B945" s="2">
        <v>45366</v>
      </c>
      <c r="C945" t="s">
        <v>82</v>
      </c>
      <c r="D945" t="s">
        <v>83</v>
      </c>
      <c r="E945" t="s">
        <v>26</v>
      </c>
      <c r="F945" s="5">
        <v>3</v>
      </c>
      <c r="G945" s="5">
        <v>1</v>
      </c>
      <c r="H945" s="5">
        <v>14590</v>
      </c>
      <c r="I945" s="5">
        <v>1</v>
      </c>
      <c r="J945" s="5">
        <v>4863</v>
      </c>
      <c r="K945" t="s">
        <v>18</v>
      </c>
      <c r="L945" t="s">
        <v>40</v>
      </c>
      <c r="M945" t="s">
        <v>63</v>
      </c>
      <c r="N945" t="s">
        <v>86</v>
      </c>
      <c r="O945" t="s">
        <v>22</v>
      </c>
      <c r="P945" t="s">
        <v>36</v>
      </c>
      <c r="Q945">
        <f>Table1[[#This Row],[Course_Fee_AED]]-Table1[[#This Row],[Amount_Paid_AED]]</f>
        <v>9727</v>
      </c>
      <c r="R945">
        <f>Table1[[#This Row],[Course_Fee_AED]]-Table1[[#This Row],[pending Revenue]]</f>
        <v>4863</v>
      </c>
    </row>
    <row r="946" spans="1:18" x14ac:dyDescent="0.25">
      <c r="A946" t="s">
        <v>1023</v>
      </c>
      <c r="B946" s="2">
        <v>45366</v>
      </c>
      <c r="C946" t="s">
        <v>75</v>
      </c>
      <c r="D946" t="s">
        <v>76</v>
      </c>
      <c r="E946" t="s">
        <v>17</v>
      </c>
      <c r="F946" s="5">
        <v>6</v>
      </c>
      <c r="G946" s="5">
        <v>1</v>
      </c>
      <c r="H946" s="5">
        <v>11539</v>
      </c>
      <c r="I946" s="5">
        <v>2</v>
      </c>
      <c r="J946" s="5">
        <v>7692</v>
      </c>
      <c r="K946" t="s">
        <v>18</v>
      </c>
      <c r="L946" t="s">
        <v>40</v>
      </c>
      <c r="M946" t="s">
        <v>20</v>
      </c>
      <c r="N946" t="s">
        <v>34</v>
      </c>
      <c r="O946" t="s">
        <v>68</v>
      </c>
      <c r="P946" t="s">
        <v>18</v>
      </c>
      <c r="Q946">
        <f>Table1[[#This Row],[Course_Fee_AED]]-Table1[[#This Row],[Amount_Paid_AED]]</f>
        <v>3847</v>
      </c>
      <c r="R946">
        <f>Table1[[#This Row],[Course_Fee_AED]]-Table1[[#This Row],[pending Revenue]]</f>
        <v>7692</v>
      </c>
    </row>
    <row r="947" spans="1:18" x14ac:dyDescent="0.25">
      <c r="A947" t="s">
        <v>1024</v>
      </c>
      <c r="B947" s="2">
        <v>45407</v>
      </c>
      <c r="C947" t="s">
        <v>113</v>
      </c>
      <c r="D947" t="s">
        <v>93</v>
      </c>
      <c r="E947" t="s">
        <v>26</v>
      </c>
      <c r="F947" s="5">
        <v>3</v>
      </c>
      <c r="G947" s="5">
        <v>1</v>
      </c>
      <c r="H947" s="5">
        <v>4578</v>
      </c>
      <c r="I947" s="5">
        <v>3</v>
      </c>
      <c r="J947" s="5">
        <v>4578</v>
      </c>
      <c r="K947" t="s">
        <v>33</v>
      </c>
      <c r="L947" t="s">
        <v>57</v>
      </c>
      <c r="M947" t="s">
        <v>47</v>
      </c>
      <c r="N947" t="s">
        <v>34</v>
      </c>
      <c r="O947" t="s">
        <v>87</v>
      </c>
      <c r="P947" t="s">
        <v>18</v>
      </c>
      <c r="Q947">
        <f>Table1[[#This Row],[Course_Fee_AED]]-Table1[[#This Row],[Amount_Paid_AED]]</f>
        <v>0</v>
      </c>
      <c r="R947">
        <f>Table1[[#This Row],[Course_Fee_AED]]-Table1[[#This Row],[pending Revenue]]</f>
        <v>4578</v>
      </c>
    </row>
    <row r="948" spans="1:18" x14ac:dyDescent="0.25">
      <c r="A948" t="s">
        <v>1025</v>
      </c>
      <c r="B948" s="2">
        <v>45338</v>
      </c>
      <c r="C948" t="s">
        <v>100</v>
      </c>
      <c r="D948" t="s">
        <v>101</v>
      </c>
      <c r="E948" t="s">
        <v>26</v>
      </c>
      <c r="F948" s="5">
        <v>3</v>
      </c>
      <c r="G948" s="5">
        <v>1</v>
      </c>
      <c r="H948" s="5">
        <v>4027</v>
      </c>
      <c r="I948" s="5">
        <v>1</v>
      </c>
      <c r="J948" s="5">
        <v>1342</v>
      </c>
      <c r="K948" t="s">
        <v>18</v>
      </c>
      <c r="L948" t="s">
        <v>40</v>
      </c>
      <c r="M948" t="s">
        <v>63</v>
      </c>
      <c r="N948" t="s">
        <v>42</v>
      </c>
      <c r="O948" t="s">
        <v>49</v>
      </c>
      <c r="P948" t="s">
        <v>18</v>
      </c>
      <c r="Q948">
        <f>Table1[[#This Row],[Course_Fee_AED]]-Table1[[#This Row],[Amount_Paid_AED]]</f>
        <v>2685</v>
      </c>
      <c r="R948">
        <f>Table1[[#This Row],[Course_Fee_AED]]-Table1[[#This Row],[pending Revenue]]</f>
        <v>1342</v>
      </c>
    </row>
    <row r="949" spans="1:18" x14ac:dyDescent="0.25">
      <c r="A949" t="s">
        <v>1026</v>
      </c>
      <c r="B949" s="2">
        <v>45395</v>
      </c>
      <c r="C949" t="s">
        <v>106</v>
      </c>
      <c r="D949" t="s">
        <v>107</v>
      </c>
      <c r="E949" t="s">
        <v>17</v>
      </c>
      <c r="F949" s="5">
        <v>6</v>
      </c>
      <c r="G949" s="5">
        <v>1</v>
      </c>
      <c r="H949" s="5">
        <v>8927</v>
      </c>
      <c r="I949" s="5">
        <v>2</v>
      </c>
      <c r="J949" s="5">
        <v>5950</v>
      </c>
      <c r="K949" t="s">
        <v>18</v>
      </c>
      <c r="L949" t="s">
        <v>40</v>
      </c>
      <c r="M949" t="s">
        <v>60</v>
      </c>
      <c r="N949" t="s">
        <v>95</v>
      </c>
      <c r="O949" t="s">
        <v>64</v>
      </c>
      <c r="P949" t="s">
        <v>18</v>
      </c>
      <c r="Q949">
        <f>Table1[[#This Row],[Course_Fee_AED]]-Table1[[#This Row],[Amount_Paid_AED]]</f>
        <v>2977</v>
      </c>
      <c r="R949">
        <f>Table1[[#This Row],[Course_Fee_AED]]-Table1[[#This Row],[pending Revenue]]</f>
        <v>5950</v>
      </c>
    </row>
    <row r="950" spans="1:18" x14ac:dyDescent="0.25">
      <c r="A950" t="s">
        <v>1027</v>
      </c>
      <c r="B950" s="2">
        <v>45311</v>
      </c>
      <c r="C950" t="s">
        <v>45</v>
      </c>
      <c r="D950" t="s">
        <v>46</v>
      </c>
      <c r="E950" t="s">
        <v>17</v>
      </c>
      <c r="F950" s="5">
        <v>6</v>
      </c>
      <c r="G950" s="5">
        <v>1</v>
      </c>
      <c r="H950" s="5">
        <v>4717</v>
      </c>
      <c r="I950" s="5">
        <v>2</v>
      </c>
      <c r="J950" s="5">
        <v>3144</v>
      </c>
      <c r="K950" t="s">
        <v>18</v>
      </c>
      <c r="L950" t="s">
        <v>57</v>
      </c>
      <c r="M950" t="s">
        <v>27</v>
      </c>
      <c r="N950" t="s">
        <v>116</v>
      </c>
      <c r="O950" t="s">
        <v>35</v>
      </c>
      <c r="P950" t="s">
        <v>18</v>
      </c>
      <c r="Q950">
        <f>Table1[[#This Row],[Course_Fee_AED]]-Table1[[#This Row],[Amount_Paid_AED]]</f>
        <v>1573</v>
      </c>
      <c r="R950">
        <f>Table1[[#This Row],[Course_Fee_AED]]-Table1[[#This Row],[pending Revenue]]</f>
        <v>3144</v>
      </c>
    </row>
    <row r="951" spans="1:18" x14ac:dyDescent="0.25">
      <c r="A951" t="s">
        <v>1028</v>
      </c>
      <c r="B951" s="2">
        <v>45512</v>
      </c>
      <c r="C951" t="s">
        <v>66</v>
      </c>
      <c r="D951" t="s">
        <v>56</v>
      </c>
      <c r="E951" t="s">
        <v>26</v>
      </c>
      <c r="F951" s="5">
        <v>3</v>
      </c>
      <c r="G951" s="5">
        <v>1</v>
      </c>
      <c r="H951" s="5">
        <v>11476</v>
      </c>
      <c r="I951" s="5">
        <v>2</v>
      </c>
      <c r="J951" s="5">
        <v>7650</v>
      </c>
      <c r="K951" t="s">
        <v>18</v>
      </c>
      <c r="L951" t="s">
        <v>57</v>
      </c>
      <c r="M951" t="s">
        <v>41</v>
      </c>
      <c r="N951" t="s">
        <v>61</v>
      </c>
      <c r="O951" t="s">
        <v>71</v>
      </c>
      <c r="P951" t="s">
        <v>36</v>
      </c>
      <c r="Q951">
        <f>Table1[[#This Row],[Course_Fee_AED]]-Table1[[#This Row],[Amount_Paid_AED]]</f>
        <v>3826</v>
      </c>
      <c r="R951">
        <f>Table1[[#This Row],[Course_Fee_AED]]-Table1[[#This Row],[pending Revenue]]</f>
        <v>7650</v>
      </c>
    </row>
    <row r="952" spans="1:18" x14ac:dyDescent="0.25">
      <c r="A952" t="s">
        <v>1029</v>
      </c>
      <c r="B952" s="2">
        <v>45443</v>
      </c>
      <c r="C952" t="s">
        <v>82</v>
      </c>
      <c r="D952" t="s">
        <v>83</v>
      </c>
      <c r="E952" t="s">
        <v>26</v>
      </c>
      <c r="F952" s="5">
        <v>3</v>
      </c>
      <c r="G952" s="5">
        <v>1</v>
      </c>
      <c r="H952" s="5">
        <v>13199</v>
      </c>
      <c r="I952" s="5">
        <v>1</v>
      </c>
      <c r="J952" s="5">
        <v>4399</v>
      </c>
      <c r="K952" t="s">
        <v>18</v>
      </c>
      <c r="L952" t="s">
        <v>40</v>
      </c>
      <c r="M952" t="s">
        <v>41</v>
      </c>
      <c r="N952" t="s">
        <v>154</v>
      </c>
      <c r="O952" t="s">
        <v>87</v>
      </c>
      <c r="P952" t="s">
        <v>36</v>
      </c>
      <c r="Q952">
        <f>Table1[[#This Row],[Course_Fee_AED]]-Table1[[#This Row],[Amount_Paid_AED]]</f>
        <v>8800</v>
      </c>
      <c r="R952">
        <f>Table1[[#This Row],[Course_Fee_AED]]-Table1[[#This Row],[pending Revenue]]</f>
        <v>4399</v>
      </c>
    </row>
    <row r="953" spans="1:18" x14ac:dyDescent="0.25">
      <c r="A953" t="s">
        <v>1030</v>
      </c>
      <c r="B953" s="2">
        <v>45340</v>
      </c>
      <c r="C953" t="s">
        <v>45</v>
      </c>
      <c r="D953" t="s">
        <v>46</v>
      </c>
      <c r="E953" t="s">
        <v>17</v>
      </c>
      <c r="F953" s="5">
        <v>6</v>
      </c>
      <c r="G953" s="5">
        <v>1</v>
      </c>
      <c r="H953" s="5">
        <v>4885</v>
      </c>
      <c r="I953" s="5">
        <v>3</v>
      </c>
      <c r="J953" s="5">
        <v>4884</v>
      </c>
      <c r="K953" t="s">
        <v>18</v>
      </c>
      <c r="L953" t="s">
        <v>19</v>
      </c>
      <c r="M953" t="s">
        <v>63</v>
      </c>
      <c r="N953" t="s">
        <v>53</v>
      </c>
      <c r="O953" t="s">
        <v>68</v>
      </c>
      <c r="P953" t="s">
        <v>36</v>
      </c>
      <c r="Q953">
        <f>Table1[[#This Row],[Course_Fee_AED]]-Table1[[#This Row],[Amount_Paid_AED]]</f>
        <v>1</v>
      </c>
      <c r="R953">
        <f>Table1[[#This Row],[Course_Fee_AED]]-Table1[[#This Row],[pending Revenue]]</f>
        <v>4884</v>
      </c>
    </row>
    <row r="954" spans="1:18" x14ac:dyDescent="0.25">
      <c r="A954" t="s">
        <v>1031</v>
      </c>
      <c r="B954" s="2">
        <v>45459</v>
      </c>
      <c r="C954" t="s">
        <v>55</v>
      </c>
      <c r="D954" t="s">
        <v>56</v>
      </c>
      <c r="E954" t="s">
        <v>26</v>
      </c>
      <c r="F954" s="5">
        <v>3</v>
      </c>
      <c r="G954" s="5">
        <v>1</v>
      </c>
      <c r="H954" s="5">
        <v>8748</v>
      </c>
      <c r="I954" s="5">
        <v>1</v>
      </c>
      <c r="J954" s="5">
        <v>2916</v>
      </c>
      <c r="K954" t="s">
        <v>18</v>
      </c>
      <c r="L954" t="s">
        <v>19</v>
      </c>
      <c r="M954" t="s">
        <v>60</v>
      </c>
      <c r="N954" t="s">
        <v>21</v>
      </c>
      <c r="O954" t="s">
        <v>87</v>
      </c>
      <c r="P954" t="s">
        <v>36</v>
      </c>
      <c r="Q954">
        <f>Table1[[#This Row],[Course_Fee_AED]]-Table1[[#This Row],[Amount_Paid_AED]]</f>
        <v>5832</v>
      </c>
      <c r="R954">
        <f>Table1[[#This Row],[Course_Fee_AED]]-Table1[[#This Row],[pending Revenue]]</f>
        <v>2916</v>
      </c>
    </row>
    <row r="955" spans="1:18" x14ac:dyDescent="0.25">
      <c r="A955" t="s">
        <v>1032</v>
      </c>
      <c r="B955" s="2">
        <v>45342</v>
      </c>
      <c r="C955" t="s">
        <v>51</v>
      </c>
      <c r="D955" t="s">
        <v>52</v>
      </c>
      <c r="E955" t="s">
        <v>26</v>
      </c>
      <c r="F955" s="5">
        <v>3</v>
      </c>
      <c r="G955" s="5">
        <v>1</v>
      </c>
      <c r="H955" s="5">
        <v>3704</v>
      </c>
      <c r="I955" s="5">
        <v>3</v>
      </c>
      <c r="J955" s="5">
        <v>3702</v>
      </c>
      <c r="K955" t="s">
        <v>18</v>
      </c>
      <c r="L955" t="s">
        <v>40</v>
      </c>
      <c r="M955" t="s">
        <v>60</v>
      </c>
      <c r="N955" t="s">
        <v>21</v>
      </c>
      <c r="O955" t="s">
        <v>64</v>
      </c>
      <c r="P955" t="s">
        <v>18</v>
      </c>
      <c r="Q955">
        <f>Table1[[#This Row],[Course_Fee_AED]]-Table1[[#This Row],[Amount_Paid_AED]]</f>
        <v>2</v>
      </c>
      <c r="R955">
        <f>Table1[[#This Row],[Course_Fee_AED]]-Table1[[#This Row],[pending Revenue]]</f>
        <v>3702</v>
      </c>
    </row>
    <row r="956" spans="1:18" x14ac:dyDescent="0.25">
      <c r="A956" t="s">
        <v>1033</v>
      </c>
      <c r="B956" s="2">
        <v>45506</v>
      </c>
      <c r="C956" t="s">
        <v>24</v>
      </c>
      <c r="D956" t="s">
        <v>25</v>
      </c>
      <c r="E956" t="s">
        <v>26</v>
      </c>
      <c r="F956" s="5">
        <v>3</v>
      </c>
      <c r="G956" s="5">
        <v>1</v>
      </c>
      <c r="H956" s="5">
        <v>5716</v>
      </c>
      <c r="I956" s="5">
        <v>1</v>
      </c>
      <c r="J956" s="5">
        <v>1905</v>
      </c>
      <c r="K956" t="s">
        <v>18</v>
      </c>
      <c r="L956" t="s">
        <v>40</v>
      </c>
      <c r="M956" t="s">
        <v>47</v>
      </c>
      <c r="N956" t="s">
        <v>86</v>
      </c>
      <c r="O956" t="s">
        <v>35</v>
      </c>
      <c r="P956" t="s">
        <v>36</v>
      </c>
      <c r="Q956">
        <f>Table1[[#This Row],[Course_Fee_AED]]-Table1[[#This Row],[Amount_Paid_AED]]</f>
        <v>3811</v>
      </c>
      <c r="R956">
        <f>Table1[[#This Row],[Course_Fee_AED]]-Table1[[#This Row],[pending Revenue]]</f>
        <v>1905</v>
      </c>
    </row>
    <row r="957" spans="1:18" x14ac:dyDescent="0.25">
      <c r="A957" t="s">
        <v>1034</v>
      </c>
      <c r="B957" s="2">
        <v>45447</v>
      </c>
      <c r="C957" t="s">
        <v>31</v>
      </c>
      <c r="D957" t="s">
        <v>32</v>
      </c>
      <c r="E957" t="s">
        <v>17</v>
      </c>
      <c r="F957" s="5">
        <v>6</v>
      </c>
      <c r="G957" s="5">
        <v>1</v>
      </c>
      <c r="H957" s="5">
        <v>6987</v>
      </c>
      <c r="I957" s="5">
        <v>1</v>
      </c>
      <c r="J957" s="5">
        <v>2329</v>
      </c>
      <c r="K957" t="s">
        <v>18</v>
      </c>
      <c r="L957" t="s">
        <v>57</v>
      </c>
      <c r="M957" t="s">
        <v>27</v>
      </c>
      <c r="N957" t="s">
        <v>53</v>
      </c>
      <c r="O957" t="s">
        <v>87</v>
      </c>
      <c r="P957" t="s">
        <v>36</v>
      </c>
      <c r="Q957">
        <f>Table1[[#This Row],[Course_Fee_AED]]-Table1[[#This Row],[Amount_Paid_AED]]</f>
        <v>4658</v>
      </c>
      <c r="R957">
        <f>Table1[[#This Row],[Course_Fee_AED]]-Table1[[#This Row],[pending Revenue]]</f>
        <v>2329</v>
      </c>
    </row>
    <row r="958" spans="1:18" x14ac:dyDescent="0.25">
      <c r="A958" t="s">
        <v>1035</v>
      </c>
      <c r="B958" s="2">
        <v>45539</v>
      </c>
      <c r="C958" t="s">
        <v>100</v>
      </c>
      <c r="D958" t="s">
        <v>101</v>
      </c>
      <c r="E958" t="s">
        <v>26</v>
      </c>
      <c r="F958" s="5">
        <v>3</v>
      </c>
      <c r="G958" s="5">
        <v>1</v>
      </c>
      <c r="H958" s="5">
        <v>4766</v>
      </c>
      <c r="I958" s="5">
        <v>1</v>
      </c>
      <c r="J958" s="5">
        <v>1588</v>
      </c>
      <c r="K958" t="s">
        <v>18</v>
      </c>
      <c r="L958" t="s">
        <v>57</v>
      </c>
      <c r="M958" t="s">
        <v>27</v>
      </c>
      <c r="N958" t="s">
        <v>86</v>
      </c>
      <c r="O958" t="s">
        <v>87</v>
      </c>
      <c r="P958" t="s">
        <v>36</v>
      </c>
      <c r="Q958">
        <f>Table1[[#This Row],[Course_Fee_AED]]-Table1[[#This Row],[Amount_Paid_AED]]</f>
        <v>3178</v>
      </c>
      <c r="R958">
        <f>Table1[[#This Row],[Course_Fee_AED]]-Table1[[#This Row],[pending Revenue]]</f>
        <v>1588</v>
      </c>
    </row>
    <row r="959" spans="1:18" x14ac:dyDescent="0.25">
      <c r="A959" t="s">
        <v>1036</v>
      </c>
      <c r="B959" s="2">
        <v>45296</v>
      </c>
      <c r="C959" t="s">
        <v>75</v>
      </c>
      <c r="D959" t="s">
        <v>76</v>
      </c>
      <c r="E959" t="s">
        <v>26</v>
      </c>
      <c r="F959" s="5">
        <v>3</v>
      </c>
      <c r="G959" s="5">
        <v>1</v>
      </c>
      <c r="H959" s="5">
        <v>11814</v>
      </c>
      <c r="I959" s="5">
        <v>1</v>
      </c>
      <c r="J959" s="5">
        <v>3938</v>
      </c>
      <c r="K959" t="s">
        <v>18</v>
      </c>
      <c r="L959" t="s">
        <v>40</v>
      </c>
      <c r="M959" t="s">
        <v>20</v>
      </c>
      <c r="N959" t="s">
        <v>90</v>
      </c>
      <c r="O959" t="s">
        <v>43</v>
      </c>
      <c r="P959" t="s">
        <v>18</v>
      </c>
      <c r="Q959">
        <f>Table1[[#This Row],[Course_Fee_AED]]-Table1[[#This Row],[Amount_Paid_AED]]</f>
        <v>7876</v>
      </c>
      <c r="R959">
        <f>Table1[[#This Row],[Course_Fee_AED]]-Table1[[#This Row],[pending Revenue]]</f>
        <v>3938</v>
      </c>
    </row>
    <row r="960" spans="1:18" x14ac:dyDescent="0.25">
      <c r="A960" t="s">
        <v>1037</v>
      </c>
      <c r="B960" s="2">
        <v>45452</v>
      </c>
      <c r="C960" t="s">
        <v>24</v>
      </c>
      <c r="D960" t="s">
        <v>25</v>
      </c>
      <c r="E960" t="s">
        <v>17</v>
      </c>
      <c r="F960" s="5">
        <v>6</v>
      </c>
      <c r="G960" s="5">
        <v>1</v>
      </c>
      <c r="H960" s="5">
        <v>4654</v>
      </c>
      <c r="I960" s="5">
        <v>2</v>
      </c>
      <c r="J960" s="5">
        <v>3102</v>
      </c>
      <c r="K960" t="s">
        <v>18</v>
      </c>
      <c r="L960" t="s">
        <v>40</v>
      </c>
      <c r="M960" t="s">
        <v>60</v>
      </c>
      <c r="N960" t="s">
        <v>61</v>
      </c>
      <c r="O960" t="s">
        <v>22</v>
      </c>
      <c r="P960" t="s">
        <v>36</v>
      </c>
      <c r="Q960">
        <f>Table1[[#This Row],[Course_Fee_AED]]-Table1[[#This Row],[Amount_Paid_AED]]</f>
        <v>1552</v>
      </c>
      <c r="R960">
        <f>Table1[[#This Row],[Course_Fee_AED]]-Table1[[#This Row],[pending Revenue]]</f>
        <v>3102</v>
      </c>
    </row>
    <row r="961" spans="1:18" x14ac:dyDescent="0.25">
      <c r="A961" t="s">
        <v>1038</v>
      </c>
      <c r="B961" s="2">
        <v>45471</v>
      </c>
      <c r="C961" t="s">
        <v>51</v>
      </c>
      <c r="D961" t="s">
        <v>52</v>
      </c>
      <c r="E961" t="s">
        <v>17</v>
      </c>
      <c r="F961" s="5">
        <v>6</v>
      </c>
      <c r="G961" s="5">
        <v>1</v>
      </c>
      <c r="H961" s="5">
        <v>4752</v>
      </c>
      <c r="I961" s="5">
        <v>2</v>
      </c>
      <c r="J961" s="5">
        <v>3168</v>
      </c>
      <c r="K961" t="s">
        <v>18</v>
      </c>
      <c r="L961" t="s">
        <v>40</v>
      </c>
      <c r="M961" t="s">
        <v>27</v>
      </c>
      <c r="N961" t="s">
        <v>48</v>
      </c>
      <c r="O961" t="s">
        <v>49</v>
      </c>
      <c r="P961" t="s">
        <v>18</v>
      </c>
      <c r="Q961">
        <f>Table1[[#This Row],[Course_Fee_AED]]-Table1[[#This Row],[Amount_Paid_AED]]</f>
        <v>1584</v>
      </c>
      <c r="R961">
        <f>Table1[[#This Row],[Course_Fee_AED]]-Table1[[#This Row],[pending Revenue]]</f>
        <v>3168</v>
      </c>
    </row>
    <row r="962" spans="1:18" x14ac:dyDescent="0.25">
      <c r="A962" t="s">
        <v>1039</v>
      </c>
      <c r="B962" s="2">
        <v>45426</v>
      </c>
      <c r="C962" t="s">
        <v>66</v>
      </c>
      <c r="D962" t="s">
        <v>56</v>
      </c>
      <c r="E962" t="s">
        <v>17</v>
      </c>
      <c r="F962" s="5">
        <v>6</v>
      </c>
      <c r="G962" s="5">
        <v>1</v>
      </c>
      <c r="H962" s="5">
        <v>9694</v>
      </c>
      <c r="I962" s="5">
        <v>1</v>
      </c>
      <c r="J962" s="5">
        <v>3231</v>
      </c>
      <c r="K962" t="s">
        <v>18</v>
      </c>
      <c r="L962" t="s">
        <v>57</v>
      </c>
      <c r="M962" t="s">
        <v>60</v>
      </c>
      <c r="N962" t="s">
        <v>73</v>
      </c>
      <c r="O962" t="s">
        <v>43</v>
      </c>
      <c r="P962" t="s">
        <v>18</v>
      </c>
      <c r="Q962">
        <f>Table1[[#This Row],[Course_Fee_AED]]-Table1[[#This Row],[Amount_Paid_AED]]</f>
        <v>6463</v>
      </c>
      <c r="R962">
        <f>Table1[[#This Row],[Course_Fee_AED]]-Table1[[#This Row],[pending Revenue]]</f>
        <v>3231</v>
      </c>
    </row>
    <row r="963" spans="1:18" x14ac:dyDescent="0.25">
      <c r="A963" t="s">
        <v>1040</v>
      </c>
      <c r="B963" s="2">
        <v>45353</v>
      </c>
      <c r="C963" t="s">
        <v>92</v>
      </c>
      <c r="D963" t="s">
        <v>93</v>
      </c>
      <c r="E963" t="s">
        <v>17</v>
      </c>
      <c r="F963" s="5">
        <v>6</v>
      </c>
      <c r="G963" s="5">
        <v>1</v>
      </c>
      <c r="H963" s="5">
        <v>5892</v>
      </c>
      <c r="I963" s="5">
        <v>2</v>
      </c>
      <c r="J963" s="5">
        <v>3928</v>
      </c>
      <c r="K963" t="s">
        <v>18</v>
      </c>
      <c r="L963" t="s">
        <v>40</v>
      </c>
      <c r="M963" t="s">
        <v>41</v>
      </c>
      <c r="N963" t="s">
        <v>28</v>
      </c>
      <c r="O963" t="s">
        <v>22</v>
      </c>
      <c r="P963" t="s">
        <v>36</v>
      </c>
      <c r="Q963">
        <f>Table1[[#This Row],[Course_Fee_AED]]-Table1[[#This Row],[Amount_Paid_AED]]</f>
        <v>1964</v>
      </c>
      <c r="R963">
        <f>Table1[[#This Row],[Course_Fee_AED]]-Table1[[#This Row],[pending Revenue]]</f>
        <v>3928</v>
      </c>
    </row>
    <row r="964" spans="1:18" x14ac:dyDescent="0.25">
      <c r="A964" t="s">
        <v>1041</v>
      </c>
      <c r="B964" s="2">
        <v>45488</v>
      </c>
      <c r="C964" t="s">
        <v>38</v>
      </c>
      <c r="D964" t="s">
        <v>39</v>
      </c>
      <c r="E964" t="s">
        <v>17</v>
      </c>
      <c r="F964" s="5">
        <v>6</v>
      </c>
      <c r="G964" s="5">
        <v>1</v>
      </c>
      <c r="H964" s="5">
        <v>4100</v>
      </c>
      <c r="I964" s="5">
        <v>1</v>
      </c>
      <c r="J964" s="5">
        <v>1366</v>
      </c>
      <c r="K964" t="s">
        <v>18</v>
      </c>
      <c r="L964" t="s">
        <v>40</v>
      </c>
      <c r="M964" t="s">
        <v>20</v>
      </c>
      <c r="N964" t="s">
        <v>90</v>
      </c>
      <c r="O964" t="s">
        <v>29</v>
      </c>
      <c r="P964" t="s">
        <v>18</v>
      </c>
      <c r="Q964">
        <f>Table1[[#This Row],[Course_Fee_AED]]-Table1[[#This Row],[Amount_Paid_AED]]</f>
        <v>2734</v>
      </c>
      <c r="R964">
        <f>Table1[[#This Row],[Course_Fee_AED]]-Table1[[#This Row],[pending Revenue]]</f>
        <v>1366</v>
      </c>
    </row>
    <row r="965" spans="1:18" x14ac:dyDescent="0.25">
      <c r="A965" t="s">
        <v>1042</v>
      </c>
      <c r="B965" s="2">
        <v>45327</v>
      </c>
      <c r="C965" t="s">
        <v>31</v>
      </c>
      <c r="D965" t="s">
        <v>32</v>
      </c>
      <c r="E965" t="s">
        <v>26</v>
      </c>
      <c r="F965" s="5">
        <v>3</v>
      </c>
      <c r="G965" s="5">
        <v>1</v>
      </c>
      <c r="H965" s="5">
        <v>5423</v>
      </c>
      <c r="I965" s="5">
        <v>2</v>
      </c>
      <c r="J965" s="5">
        <v>3614</v>
      </c>
      <c r="K965" t="s">
        <v>18</v>
      </c>
      <c r="L965" t="s">
        <v>57</v>
      </c>
      <c r="M965" t="s">
        <v>60</v>
      </c>
      <c r="N965" t="s">
        <v>116</v>
      </c>
      <c r="O965" t="s">
        <v>87</v>
      </c>
      <c r="P965" t="s">
        <v>18</v>
      </c>
      <c r="Q965">
        <f>Table1[[#This Row],[Course_Fee_AED]]-Table1[[#This Row],[Amount_Paid_AED]]</f>
        <v>1809</v>
      </c>
      <c r="R965">
        <f>Table1[[#This Row],[Course_Fee_AED]]-Table1[[#This Row],[pending Revenue]]</f>
        <v>3614</v>
      </c>
    </row>
    <row r="966" spans="1:18" x14ac:dyDescent="0.25">
      <c r="A966" t="s">
        <v>1043</v>
      </c>
      <c r="B966" s="2">
        <v>45594</v>
      </c>
      <c r="C966" t="s">
        <v>31</v>
      </c>
      <c r="D966" t="s">
        <v>32</v>
      </c>
      <c r="E966" t="s">
        <v>17</v>
      </c>
      <c r="F966" s="5">
        <v>6</v>
      </c>
      <c r="G966" s="5">
        <v>1</v>
      </c>
      <c r="H966" s="5">
        <v>5865</v>
      </c>
      <c r="I966" s="5">
        <v>1</v>
      </c>
      <c r="J966" s="5">
        <v>1955</v>
      </c>
      <c r="K966" t="s">
        <v>18</v>
      </c>
      <c r="L966" t="s">
        <v>40</v>
      </c>
      <c r="M966" t="s">
        <v>60</v>
      </c>
      <c r="N966" t="s">
        <v>53</v>
      </c>
      <c r="O966" t="s">
        <v>49</v>
      </c>
      <c r="P966" t="s">
        <v>18</v>
      </c>
      <c r="Q966">
        <f>Table1[[#This Row],[Course_Fee_AED]]-Table1[[#This Row],[Amount_Paid_AED]]</f>
        <v>3910</v>
      </c>
      <c r="R966">
        <f>Table1[[#This Row],[Course_Fee_AED]]-Table1[[#This Row],[pending Revenue]]</f>
        <v>1955</v>
      </c>
    </row>
    <row r="967" spans="1:18" x14ac:dyDescent="0.25">
      <c r="A967" t="s">
        <v>1044</v>
      </c>
      <c r="B967" s="2">
        <v>45481</v>
      </c>
      <c r="C967" t="s">
        <v>66</v>
      </c>
      <c r="D967" t="s">
        <v>56</v>
      </c>
      <c r="E967" t="s">
        <v>17</v>
      </c>
      <c r="F967" s="5">
        <v>6</v>
      </c>
      <c r="G967" s="5">
        <v>1</v>
      </c>
      <c r="H967" s="5">
        <v>10541</v>
      </c>
      <c r="I967" s="5">
        <v>2</v>
      </c>
      <c r="J967" s="5">
        <v>7026</v>
      </c>
      <c r="K967" t="s">
        <v>18</v>
      </c>
      <c r="L967" t="s">
        <v>40</v>
      </c>
      <c r="M967" t="s">
        <v>63</v>
      </c>
      <c r="N967" t="s">
        <v>90</v>
      </c>
      <c r="O967" t="s">
        <v>68</v>
      </c>
      <c r="P967" t="s">
        <v>18</v>
      </c>
      <c r="Q967">
        <f>Table1[[#This Row],[Course_Fee_AED]]-Table1[[#This Row],[Amount_Paid_AED]]</f>
        <v>3515</v>
      </c>
      <c r="R967">
        <f>Table1[[#This Row],[Course_Fee_AED]]-Table1[[#This Row],[pending Revenue]]</f>
        <v>7026</v>
      </c>
    </row>
    <row r="968" spans="1:18" x14ac:dyDescent="0.25">
      <c r="A968" t="s">
        <v>1045</v>
      </c>
      <c r="B968" s="2">
        <v>45455</v>
      </c>
      <c r="C968" t="s">
        <v>113</v>
      </c>
      <c r="D968" t="s">
        <v>93</v>
      </c>
      <c r="E968" t="s">
        <v>26</v>
      </c>
      <c r="F968" s="5">
        <v>3</v>
      </c>
      <c r="G968" s="5">
        <v>1</v>
      </c>
      <c r="H968" s="5">
        <v>3029</v>
      </c>
      <c r="I968" s="5">
        <v>2</v>
      </c>
      <c r="J968" s="5">
        <v>2018</v>
      </c>
      <c r="K968" t="s">
        <v>18</v>
      </c>
      <c r="L968" t="s">
        <v>19</v>
      </c>
      <c r="M968" t="s">
        <v>63</v>
      </c>
      <c r="N968" t="s">
        <v>21</v>
      </c>
      <c r="O968" t="s">
        <v>43</v>
      </c>
      <c r="P968" t="s">
        <v>18</v>
      </c>
      <c r="Q968">
        <f>Table1[[#This Row],[Course_Fee_AED]]-Table1[[#This Row],[Amount_Paid_AED]]</f>
        <v>1011</v>
      </c>
      <c r="R968">
        <f>Table1[[#This Row],[Course_Fee_AED]]-Table1[[#This Row],[pending Revenue]]</f>
        <v>2018</v>
      </c>
    </row>
    <row r="969" spans="1:18" x14ac:dyDescent="0.25">
      <c r="A969" t="s">
        <v>1046</v>
      </c>
      <c r="B969" s="2">
        <v>45329</v>
      </c>
      <c r="C969" t="s">
        <v>51</v>
      </c>
      <c r="D969" t="s">
        <v>52</v>
      </c>
      <c r="E969" t="s">
        <v>26</v>
      </c>
      <c r="F969" s="5">
        <v>3</v>
      </c>
      <c r="G969" s="5">
        <v>1</v>
      </c>
      <c r="H969" s="5">
        <v>4031</v>
      </c>
      <c r="I969" s="5">
        <v>3</v>
      </c>
      <c r="J969" s="5">
        <v>4029</v>
      </c>
      <c r="K969" t="s">
        <v>18</v>
      </c>
      <c r="L969" t="s">
        <v>40</v>
      </c>
      <c r="M969" t="s">
        <v>47</v>
      </c>
      <c r="N969" t="s">
        <v>34</v>
      </c>
      <c r="O969" t="s">
        <v>49</v>
      </c>
      <c r="P969" t="s">
        <v>36</v>
      </c>
      <c r="Q969">
        <f>Table1[[#This Row],[Course_Fee_AED]]-Table1[[#This Row],[Amount_Paid_AED]]</f>
        <v>2</v>
      </c>
      <c r="R969">
        <f>Table1[[#This Row],[Course_Fee_AED]]-Table1[[#This Row],[pending Revenue]]</f>
        <v>4029</v>
      </c>
    </row>
    <row r="970" spans="1:18" x14ac:dyDescent="0.25">
      <c r="A970" t="s">
        <v>1047</v>
      </c>
      <c r="B970" s="2">
        <v>45459</v>
      </c>
      <c r="C970" t="s">
        <v>92</v>
      </c>
      <c r="D970" t="s">
        <v>93</v>
      </c>
      <c r="E970" t="s">
        <v>26</v>
      </c>
      <c r="F970" s="5">
        <v>3</v>
      </c>
      <c r="G970" s="5">
        <v>1</v>
      </c>
      <c r="H970" s="5">
        <v>5529</v>
      </c>
      <c r="I970" s="5">
        <v>1</v>
      </c>
      <c r="J970" s="5">
        <v>1843</v>
      </c>
      <c r="K970" t="s">
        <v>18</v>
      </c>
      <c r="L970" t="s">
        <v>40</v>
      </c>
      <c r="M970" t="s">
        <v>20</v>
      </c>
      <c r="N970" t="s">
        <v>73</v>
      </c>
      <c r="O970" t="s">
        <v>29</v>
      </c>
      <c r="P970" t="s">
        <v>36</v>
      </c>
      <c r="Q970">
        <f>Table1[[#This Row],[Course_Fee_AED]]-Table1[[#This Row],[Amount_Paid_AED]]</f>
        <v>3686</v>
      </c>
      <c r="R970">
        <f>Table1[[#This Row],[Course_Fee_AED]]-Table1[[#This Row],[pending Revenue]]</f>
        <v>1843</v>
      </c>
    </row>
    <row r="971" spans="1:18" x14ac:dyDescent="0.25">
      <c r="A971" t="s">
        <v>1048</v>
      </c>
      <c r="B971" s="2">
        <v>45619</v>
      </c>
      <c r="C971" t="s">
        <v>113</v>
      </c>
      <c r="D971" t="s">
        <v>93</v>
      </c>
      <c r="E971" t="s">
        <v>17</v>
      </c>
      <c r="F971" s="5">
        <v>6</v>
      </c>
      <c r="G971" s="5">
        <v>1</v>
      </c>
      <c r="H971" s="5">
        <v>4724</v>
      </c>
      <c r="I971" s="5">
        <v>3</v>
      </c>
      <c r="J971" s="5">
        <v>4722</v>
      </c>
      <c r="K971" t="s">
        <v>18</v>
      </c>
      <c r="L971" t="s">
        <v>57</v>
      </c>
      <c r="M971" t="s">
        <v>41</v>
      </c>
      <c r="N971" t="s">
        <v>154</v>
      </c>
      <c r="O971" t="s">
        <v>29</v>
      </c>
      <c r="P971" t="s">
        <v>18</v>
      </c>
      <c r="Q971">
        <f>Table1[[#This Row],[Course_Fee_AED]]-Table1[[#This Row],[Amount_Paid_AED]]</f>
        <v>2</v>
      </c>
      <c r="R971">
        <f>Table1[[#This Row],[Course_Fee_AED]]-Table1[[#This Row],[pending Revenue]]</f>
        <v>4722</v>
      </c>
    </row>
    <row r="972" spans="1:18" x14ac:dyDescent="0.25">
      <c r="A972" t="s">
        <v>1049</v>
      </c>
      <c r="B972" s="2">
        <v>45400</v>
      </c>
      <c r="C972" t="s">
        <v>82</v>
      </c>
      <c r="D972" t="s">
        <v>83</v>
      </c>
      <c r="E972" t="s">
        <v>26</v>
      </c>
      <c r="F972" s="5">
        <v>3</v>
      </c>
      <c r="G972" s="5">
        <v>1</v>
      </c>
      <c r="H972" s="5">
        <v>10238</v>
      </c>
      <c r="I972" s="5">
        <v>1</v>
      </c>
      <c r="J972" s="5">
        <v>3412</v>
      </c>
      <c r="K972" t="s">
        <v>18</v>
      </c>
      <c r="L972" t="s">
        <v>19</v>
      </c>
      <c r="M972" t="s">
        <v>27</v>
      </c>
      <c r="N972" t="s">
        <v>70</v>
      </c>
      <c r="O972" t="s">
        <v>35</v>
      </c>
      <c r="P972" t="s">
        <v>36</v>
      </c>
      <c r="Q972">
        <f>Table1[[#This Row],[Course_Fee_AED]]-Table1[[#This Row],[Amount_Paid_AED]]</f>
        <v>6826</v>
      </c>
      <c r="R972">
        <f>Table1[[#This Row],[Course_Fee_AED]]-Table1[[#This Row],[pending Revenue]]</f>
        <v>3412</v>
      </c>
    </row>
    <row r="973" spans="1:18" x14ac:dyDescent="0.25">
      <c r="A973" t="s">
        <v>1050</v>
      </c>
      <c r="B973" s="2">
        <v>45381</v>
      </c>
      <c r="C973" t="s">
        <v>66</v>
      </c>
      <c r="D973" t="s">
        <v>56</v>
      </c>
      <c r="E973" t="s">
        <v>26</v>
      </c>
      <c r="F973" s="5">
        <v>3</v>
      </c>
      <c r="G973" s="5">
        <v>1</v>
      </c>
      <c r="H973" s="5">
        <v>9062</v>
      </c>
      <c r="I973" s="5">
        <v>3</v>
      </c>
      <c r="J973" s="5">
        <v>9060</v>
      </c>
      <c r="K973" t="s">
        <v>18</v>
      </c>
      <c r="L973" t="s">
        <v>19</v>
      </c>
      <c r="M973" t="s">
        <v>47</v>
      </c>
      <c r="N973" t="s">
        <v>73</v>
      </c>
      <c r="O973" t="s">
        <v>43</v>
      </c>
      <c r="P973" t="s">
        <v>36</v>
      </c>
      <c r="Q973">
        <f>Table1[[#This Row],[Course_Fee_AED]]-Table1[[#This Row],[Amount_Paid_AED]]</f>
        <v>2</v>
      </c>
      <c r="R973">
        <f>Table1[[#This Row],[Course_Fee_AED]]-Table1[[#This Row],[pending Revenue]]</f>
        <v>9060</v>
      </c>
    </row>
    <row r="974" spans="1:18" x14ac:dyDescent="0.25">
      <c r="A974" t="s">
        <v>1051</v>
      </c>
      <c r="B974" s="2">
        <v>45510</v>
      </c>
      <c r="C974" t="s">
        <v>24</v>
      </c>
      <c r="D974" t="s">
        <v>25</v>
      </c>
      <c r="E974" t="s">
        <v>26</v>
      </c>
      <c r="F974" s="5">
        <v>3</v>
      </c>
      <c r="G974" s="5">
        <v>1</v>
      </c>
      <c r="H974" s="5">
        <v>5064</v>
      </c>
      <c r="I974" s="5">
        <v>3</v>
      </c>
      <c r="J974" s="5">
        <v>5064</v>
      </c>
      <c r="K974" t="s">
        <v>33</v>
      </c>
      <c r="L974" t="s">
        <v>57</v>
      </c>
      <c r="M974" t="s">
        <v>60</v>
      </c>
      <c r="N974" t="s">
        <v>48</v>
      </c>
      <c r="O974" t="s">
        <v>35</v>
      </c>
      <c r="P974" t="s">
        <v>18</v>
      </c>
      <c r="Q974">
        <f>Table1[[#This Row],[Course_Fee_AED]]-Table1[[#This Row],[Amount_Paid_AED]]</f>
        <v>0</v>
      </c>
      <c r="R974">
        <f>Table1[[#This Row],[Course_Fee_AED]]-Table1[[#This Row],[pending Revenue]]</f>
        <v>5064</v>
      </c>
    </row>
    <row r="975" spans="1:18" x14ac:dyDescent="0.25">
      <c r="A975" t="s">
        <v>1052</v>
      </c>
      <c r="B975" s="2">
        <v>45556</v>
      </c>
      <c r="C975" t="s">
        <v>38</v>
      </c>
      <c r="D975" t="s">
        <v>39</v>
      </c>
      <c r="E975" t="s">
        <v>17</v>
      </c>
      <c r="F975" s="5">
        <v>6</v>
      </c>
      <c r="G975" s="5">
        <v>1</v>
      </c>
      <c r="H975" s="5">
        <v>7312</v>
      </c>
      <c r="I975" s="5">
        <v>2</v>
      </c>
      <c r="J975" s="5">
        <v>4874</v>
      </c>
      <c r="K975" t="s">
        <v>18</v>
      </c>
      <c r="L975" t="s">
        <v>57</v>
      </c>
      <c r="M975" t="s">
        <v>41</v>
      </c>
      <c r="N975" t="s">
        <v>86</v>
      </c>
      <c r="O975" t="s">
        <v>43</v>
      </c>
      <c r="P975" t="s">
        <v>36</v>
      </c>
      <c r="Q975">
        <f>Table1[[#This Row],[Course_Fee_AED]]-Table1[[#This Row],[Amount_Paid_AED]]</f>
        <v>2438</v>
      </c>
      <c r="R975">
        <f>Table1[[#This Row],[Course_Fee_AED]]-Table1[[#This Row],[pending Revenue]]</f>
        <v>4874</v>
      </c>
    </row>
    <row r="976" spans="1:18" x14ac:dyDescent="0.25">
      <c r="A976" t="s">
        <v>1053</v>
      </c>
      <c r="B976" s="2">
        <v>45516</v>
      </c>
      <c r="C976" t="s">
        <v>113</v>
      </c>
      <c r="D976" t="s">
        <v>93</v>
      </c>
      <c r="E976" t="s">
        <v>17</v>
      </c>
      <c r="F976" s="5">
        <v>6</v>
      </c>
      <c r="G976" s="5">
        <v>1</v>
      </c>
      <c r="H976" s="5">
        <v>3703</v>
      </c>
      <c r="I976" s="5">
        <v>3</v>
      </c>
      <c r="J976" s="5">
        <v>3702</v>
      </c>
      <c r="K976" t="s">
        <v>18</v>
      </c>
      <c r="L976" t="s">
        <v>40</v>
      </c>
      <c r="M976" t="s">
        <v>47</v>
      </c>
      <c r="N976" t="s">
        <v>34</v>
      </c>
      <c r="O976" t="s">
        <v>49</v>
      </c>
      <c r="P976" t="s">
        <v>36</v>
      </c>
      <c r="Q976">
        <f>Table1[[#This Row],[Course_Fee_AED]]-Table1[[#This Row],[Amount_Paid_AED]]</f>
        <v>1</v>
      </c>
      <c r="R976">
        <f>Table1[[#This Row],[Course_Fee_AED]]-Table1[[#This Row],[pending Revenue]]</f>
        <v>3702</v>
      </c>
    </row>
    <row r="977" spans="1:18" x14ac:dyDescent="0.25">
      <c r="A977" t="s">
        <v>1054</v>
      </c>
      <c r="B977" s="2">
        <v>45367</v>
      </c>
      <c r="C977" t="s">
        <v>45</v>
      </c>
      <c r="D977" t="s">
        <v>46</v>
      </c>
      <c r="E977" t="s">
        <v>17</v>
      </c>
      <c r="F977" s="5">
        <v>6</v>
      </c>
      <c r="G977" s="5">
        <v>1</v>
      </c>
      <c r="H977" s="5">
        <v>6897</v>
      </c>
      <c r="I977" s="5">
        <v>3</v>
      </c>
      <c r="J977" s="5">
        <v>6897</v>
      </c>
      <c r="K977" t="s">
        <v>33</v>
      </c>
      <c r="L977" t="s">
        <v>19</v>
      </c>
      <c r="M977" t="s">
        <v>41</v>
      </c>
      <c r="N977" t="s">
        <v>28</v>
      </c>
      <c r="O977" t="s">
        <v>35</v>
      </c>
      <c r="P977" t="s">
        <v>18</v>
      </c>
      <c r="Q977">
        <f>Table1[[#This Row],[Course_Fee_AED]]-Table1[[#This Row],[Amount_Paid_AED]]</f>
        <v>0</v>
      </c>
      <c r="R977">
        <f>Table1[[#This Row],[Course_Fee_AED]]-Table1[[#This Row],[pending Revenue]]</f>
        <v>6897</v>
      </c>
    </row>
    <row r="978" spans="1:18" x14ac:dyDescent="0.25">
      <c r="A978" t="s">
        <v>1055</v>
      </c>
      <c r="B978" s="2">
        <v>45642</v>
      </c>
      <c r="C978" t="s">
        <v>31</v>
      </c>
      <c r="D978" t="s">
        <v>32</v>
      </c>
      <c r="E978" t="s">
        <v>17</v>
      </c>
      <c r="F978" s="5">
        <v>6</v>
      </c>
      <c r="G978" s="5">
        <v>1</v>
      </c>
      <c r="H978" s="5">
        <v>5915</v>
      </c>
      <c r="I978" s="5">
        <v>1</v>
      </c>
      <c r="J978" s="5">
        <v>1971</v>
      </c>
      <c r="K978" t="s">
        <v>18</v>
      </c>
      <c r="L978" t="s">
        <v>57</v>
      </c>
      <c r="M978" t="s">
        <v>47</v>
      </c>
      <c r="N978" t="s">
        <v>34</v>
      </c>
      <c r="O978" t="s">
        <v>43</v>
      </c>
      <c r="P978" t="s">
        <v>18</v>
      </c>
      <c r="Q978">
        <f>Table1[[#This Row],[Course_Fee_AED]]-Table1[[#This Row],[Amount_Paid_AED]]</f>
        <v>3944</v>
      </c>
      <c r="R978">
        <f>Table1[[#This Row],[Course_Fee_AED]]-Table1[[#This Row],[pending Revenue]]</f>
        <v>1971</v>
      </c>
    </row>
    <row r="979" spans="1:18" x14ac:dyDescent="0.25">
      <c r="A979" t="s">
        <v>1056</v>
      </c>
      <c r="B979" s="2">
        <v>45431</v>
      </c>
      <c r="C979" t="s">
        <v>31</v>
      </c>
      <c r="D979" t="s">
        <v>32</v>
      </c>
      <c r="E979" t="s">
        <v>17</v>
      </c>
      <c r="F979" s="5">
        <v>6</v>
      </c>
      <c r="G979" s="5">
        <v>1</v>
      </c>
      <c r="H979" s="5">
        <v>6327</v>
      </c>
      <c r="I979" s="5">
        <v>2</v>
      </c>
      <c r="J979" s="5">
        <v>4218</v>
      </c>
      <c r="K979" t="s">
        <v>18</v>
      </c>
      <c r="L979" t="s">
        <v>19</v>
      </c>
      <c r="M979" t="s">
        <v>41</v>
      </c>
      <c r="N979" t="s">
        <v>116</v>
      </c>
      <c r="O979" t="s">
        <v>71</v>
      </c>
      <c r="P979" t="s">
        <v>36</v>
      </c>
      <c r="Q979">
        <f>Table1[[#This Row],[Course_Fee_AED]]-Table1[[#This Row],[Amount_Paid_AED]]</f>
        <v>2109</v>
      </c>
      <c r="R979">
        <f>Table1[[#This Row],[Course_Fee_AED]]-Table1[[#This Row],[pending Revenue]]</f>
        <v>4218</v>
      </c>
    </row>
    <row r="980" spans="1:18" x14ac:dyDescent="0.25">
      <c r="A980" t="s">
        <v>1057</v>
      </c>
      <c r="B980" s="2">
        <v>45337</v>
      </c>
      <c r="C980" t="s">
        <v>45</v>
      </c>
      <c r="D980" t="s">
        <v>46</v>
      </c>
      <c r="E980" t="s">
        <v>26</v>
      </c>
      <c r="F980" s="5">
        <v>3</v>
      </c>
      <c r="G980" s="5">
        <v>1</v>
      </c>
      <c r="H980" s="5">
        <v>5388</v>
      </c>
      <c r="I980" s="5">
        <v>1</v>
      </c>
      <c r="J980" s="5">
        <v>1796</v>
      </c>
      <c r="K980" t="s">
        <v>18</v>
      </c>
      <c r="L980" t="s">
        <v>19</v>
      </c>
      <c r="M980" t="s">
        <v>47</v>
      </c>
      <c r="N980" t="s">
        <v>42</v>
      </c>
      <c r="O980" t="s">
        <v>43</v>
      </c>
      <c r="P980" t="s">
        <v>36</v>
      </c>
      <c r="Q980">
        <f>Table1[[#This Row],[Course_Fee_AED]]-Table1[[#This Row],[Amount_Paid_AED]]</f>
        <v>3592</v>
      </c>
      <c r="R980">
        <f>Table1[[#This Row],[Course_Fee_AED]]-Table1[[#This Row],[pending Revenue]]</f>
        <v>1796</v>
      </c>
    </row>
    <row r="981" spans="1:18" x14ac:dyDescent="0.25">
      <c r="A981" t="s">
        <v>1058</v>
      </c>
      <c r="B981" s="2">
        <v>45615</v>
      </c>
      <c r="C981" t="s">
        <v>113</v>
      </c>
      <c r="D981" t="s">
        <v>93</v>
      </c>
      <c r="E981" t="s">
        <v>26</v>
      </c>
      <c r="F981" s="5">
        <v>3</v>
      </c>
      <c r="G981" s="5">
        <v>1</v>
      </c>
      <c r="H981" s="5">
        <v>3760</v>
      </c>
      <c r="I981" s="5">
        <v>1</v>
      </c>
      <c r="J981" s="5">
        <v>1253</v>
      </c>
      <c r="K981" t="s">
        <v>18</v>
      </c>
      <c r="L981" t="s">
        <v>40</v>
      </c>
      <c r="M981" t="s">
        <v>41</v>
      </c>
      <c r="N981" t="s">
        <v>70</v>
      </c>
      <c r="O981" t="s">
        <v>71</v>
      </c>
      <c r="P981" t="s">
        <v>18</v>
      </c>
      <c r="Q981">
        <f>Table1[[#This Row],[Course_Fee_AED]]-Table1[[#This Row],[Amount_Paid_AED]]</f>
        <v>2507</v>
      </c>
      <c r="R981">
        <f>Table1[[#This Row],[Course_Fee_AED]]-Table1[[#This Row],[pending Revenue]]</f>
        <v>1253</v>
      </c>
    </row>
    <row r="982" spans="1:18" x14ac:dyDescent="0.25">
      <c r="A982" t="s">
        <v>1059</v>
      </c>
      <c r="B982" s="2">
        <v>45639</v>
      </c>
      <c r="C982" t="s">
        <v>75</v>
      </c>
      <c r="D982" t="s">
        <v>76</v>
      </c>
      <c r="E982" t="s">
        <v>17</v>
      </c>
      <c r="F982" s="5">
        <v>6</v>
      </c>
      <c r="G982" s="5">
        <v>1</v>
      </c>
      <c r="H982" s="5">
        <v>13404</v>
      </c>
      <c r="I982" s="5">
        <v>2</v>
      </c>
      <c r="J982" s="5">
        <v>8936</v>
      </c>
      <c r="K982" t="s">
        <v>18</v>
      </c>
      <c r="L982" t="s">
        <v>19</v>
      </c>
      <c r="M982" t="s">
        <v>60</v>
      </c>
      <c r="N982" t="s">
        <v>42</v>
      </c>
      <c r="O982" t="s">
        <v>68</v>
      </c>
      <c r="P982" t="s">
        <v>18</v>
      </c>
      <c r="Q982">
        <f>Table1[[#This Row],[Course_Fee_AED]]-Table1[[#This Row],[Amount_Paid_AED]]</f>
        <v>4468</v>
      </c>
      <c r="R982">
        <f>Table1[[#This Row],[Course_Fee_AED]]-Table1[[#This Row],[pending Revenue]]</f>
        <v>8936</v>
      </c>
    </row>
    <row r="983" spans="1:18" x14ac:dyDescent="0.25">
      <c r="A983" t="s">
        <v>1060</v>
      </c>
      <c r="B983" s="2">
        <v>45593</v>
      </c>
      <c r="C983" t="s">
        <v>51</v>
      </c>
      <c r="D983" t="s">
        <v>52</v>
      </c>
      <c r="E983" t="s">
        <v>26</v>
      </c>
      <c r="F983" s="5">
        <v>3</v>
      </c>
      <c r="G983" s="5">
        <v>1</v>
      </c>
      <c r="H983" s="5">
        <v>3512</v>
      </c>
      <c r="I983" s="5">
        <v>1</v>
      </c>
      <c r="J983" s="5">
        <v>1170</v>
      </c>
      <c r="K983" t="s">
        <v>18</v>
      </c>
      <c r="L983" t="s">
        <v>19</v>
      </c>
      <c r="M983" t="s">
        <v>47</v>
      </c>
      <c r="N983" t="s">
        <v>116</v>
      </c>
      <c r="O983" t="s">
        <v>58</v>
      </c>
      <c r="P983" t="s">
        <v>36</v>
      </c>
      <c r="Q983">
        <f>Table1[[#This Row],[Course_Fee_AED]]-Table1[[#This Row],[Amount_Paid_AED]]</f>
        <v>2342</v>
      </c>
      <c r="R983">
        <f>Table1[[#This Row],[Course_Fee_AED]]-Table1[[#This Row],[pending Revenue]]</f>
        <v>1170</v>
      </c>
    </row>
    <row r="984" spans="1:18" x14ac:dyDescent="0.25">
      <c r="A984" t="s">
        <v>1061</v>
      </c>
      <c r="B984" s="2">
        <v>45397</v>
      </c>
      <c r="C984" t="s">
        <v>100</v>
      </c>
      <c r="D984" t="s">
        <v>101</v>
      </c>
      <c r="E984" t="s">
        <v>17</v>
      </c>
      <c r="F984" s="5">
        <v>6</v>
      </c>
      <c r="G984" s="5">
        <v>1</v>
      </c>
      <c r="H984" s="5">
        <v>4142</v>
      </c>
      <c r="I984" s="5">
        <v>1</v>
      </c>
      <c r="J984" s="5">
        <v>1380</v>
      </c>
      <c r="K984" t="s">
        <v>18</v>
      </c>
      <c r="L984" t="s">
        <v>19</v>
      </c>
      <c r="M984" t="s">
        <v>47</v>
      </c>
      <c r="N984" t="s">
        <v>90</v>
      </c>
      <c r="O984" t="s">
        <v>43</v>
      </c>
      <c r="P984" t="s">
        <v>36</v>
      </c>
      <c r="Q984">
        <f>Table1[[#This Row],[Course_Fee_AED]]-Table1[[#This Row],[Amount_Paid_AED]]</f>
        <v>2762</v>
      </c>
      <c r="R984">
        <f>Table1[[#This Row],[Course_Fee_AED]]-Table1[[#This Row],[pending Revenue]]</f>
        <v>1380</v>
      </c>
    </row>
    <row r="985" spans="1:18" x14ac:dyDescent="0.25">
      <c r="A985" t="s">
        <v>1062</v>
      </c>
      <c r="B985" s="2">
        <v>45646</v>
      </c>
      <c r="C985" t="s">
        <v>92</v>
      </c>
      <c r="D985" t="s">
        <v>93</v>
      </c>
      <c r="E985" t="s">
        <v>17</v>
      </c>
      <c r="F985" s="5">
        <v>6</v>
      </c>
      <c r="G985" s="5">
        <v>1</v>
      </c>
      <c r="H985" s="5">
        <v>4985</v>
      </c>
      <c r="I985" s="5">
        <v>1</v>
      </c>
      <c r="J985" s="5">
        <v>1661</v>
      </c>
      <c r="K985" t="s">
        <v>18</v>
      </c>
      <c r="L985" t="s">
        <v>40</v>
      </c>
      <c r="M985" t="s">
        <v>60</v>
      </c>
      <c r="N985" t="s">
        <v>95</v>
      </c>
      <c r="O985" t="s">
        <v>71</v>
      </c>
      <c r="P985" t="s">
        <v>18</v>
      </c>
      <c r="Q985">
        <f>Table1[[#This Row],[Course_Fee_AED]]-Table1[[#This Row],[Amount_Paid_AED]]</f>
        <v>3324</v>
      </c>
      <c r="R985">
        <f>Table1[[#This Row],[Course_Fee_AED]]-Table1[[#This Row],[pending Revenue]]</f>
        <v>1661</v>
      </c>
    </row>
    <row r="986" spans="1:18" x14ac:dyDescent="0.25">
      <c r="A986" t="s">
        <v>1063</v>
      </c>
      <c r="B986" s="2">
        <v>45297</v>
      </c>
      <c r="C986" t="s">
        <v>15</v>
      </c>
      <c r="D986" t="s">
        <v>16</v>
      </c>
      <c r="E986" t="s">
        <v>17</v>
      </c>
      <c r="F986" s="5">
        <v>6</v>
      </c>
      <c r="G986" s="5">
        <v>1</v>
      </c>
      <c r="H986" s="5">
        <v>7159</v>
      </c>
      <c r="I986" s="5">
        <v>1</v>
      </c>
      <c r="J986" s="5">
        <v>2386</v>
      </c>
      <c r="K986" t="s">
        <v>18</v>
      </c>
      <c r="L986" t="s">
        <v>57</v>
      </c>
      <c r="M986" t="s">
        <v>20</v>
      </c>
      <c r="N986" t="s">
        <v>79</v>
      </c>
      <c r="O986" t="s">
        <v>35</v>
      </c>
      <c r="P986" t="s">
        <v>18</v>
      </c>
      <c r="Q986">
        <f>Table1[[#This Row],[Course_Fee_AED]]-Table1[[#This Row],[Amount_Paid_AED]]</f>
        <v>4773</v>
      </c>
      <c r="R986">
        <f>Table1[[#This Row],[Course_Fee_AED]]-Table1[[#This Row],[pending Revenue]]</f>
        <v>2386</v>
      </c>
    </row>
    <row r="987" spans="1:18" x14ac:dyDescent="0.25">
      <c r="A987" t="s">
        <v>1064</v>
      </c>
      <c r="B987" s="2">
        <v>45634</v>
      </c>
      <c r="C987" t="s">
        <v>45</v>
      </c>
      <c r="D987" t="s">
        <v>46</v>
      </c>
      <c r="E987" t="s">
        <v>17</v>
      </c>
      <c r="F987" s="5">
        <v>6</v>
      </c>
      <c r="G987" s="5">
        <v>1</v>
      </c>
      <c r="H987" s="5">
        <v>5011</v>
      </c>
      <c r="I987" s="5">
        <v>1</v>
      </c>
      <c r="J987" s="5">
        <v>1670</v>
      </c>
      <c r="K987" t="s">
        <v>18</v>
      </c>
      <c r="L987" t="s">
        <v>40</v>
      </c>
      <c r="M987" t="s">
        <v>20</v>
      </c>
      <c r="N987" t="s">
        <v>28</v>
      </c>
      <c r="O987" t="s">
        <v>29</v>
      </c>
      <c r="P987" t="s">
        <v>18</v>
      </c>
      <c r="Q987">
        <f>Table1[[#This Row],[Course_Fee_AED]]-Table1[[#This Row],[Amount_Paid_AED]]</f>
        <v>3341</v>
      </c>
      <c r="R987">
        <f>Table1[[#This Row],[Course_Fee_AED]]-Table1[[#This Row],[pending Revenue]]</f>
        <v>1670</v>
      </c>
    </row>
    <row r="988" spans="1:18" x14ac:dyDescent="0.25">
      <c r="A988" t="s">
        <v>1065</v>
      </c>
      <c r="B988" s="2">
        <v>45473</v>
      </c>
      <c r="C988" t="s">
        <v>24</v>
      </c>
      <c r="D988" t="s">
        <v>25</v>
      </c>
      <c r="E988" t="s">
        <v>17</v>
      </c>
      <c r="F988" s="5">
        <v>6</v>
      </c>
      <c r="G988" s="5">
        <v>1</v>
      </c>
      <c r="H988" s="5">
        <v>6215</v>
      </c>
      <c r="I988" s="5">
        <v>2</v>
      </c>
      <c r="J988" s="5">
        <v>4142</v>
      </c>
      <c r="K988" t="s">
        <v>18</v>
      </c>
      <c r="L988" t="s">
        <v>57</v>
      </c>
      <c r="M988" t="s">
        <v>63</v>
      </c>
      <c r="N988" t="s">
        <v>61</v>
      </c>
      <c r="O988" t="s">
        <v>35</v>
      </c>
      <c r="P988" t="s">
        <v>36</v>
      </c>
      <c r="Q988">
        <f>Table1[[#This Row],[Course_Fee_AED]]-Table1[[#This Row],[Amount_Paid_AED]]</f>
        <v>2073</v>
      </c>
      <c r="R988">
        <f>Table1[[#This Row],[Course_Fee_AED]]-Table1[[#This Row],[pending Revenue]]</f>
        <v>4142</v>
      </c>
    </row>
    <row r="989" spans="1:18" x14ac:dyDescent="0.25">
      <c r="A989" t="s">
        <v>1066</v>
      </c>
      <c r="B989" s="2">
        <v>45392</v>
      </c>
      <c r="C989" t="s">
        <v>75</v>
      </c>
      <c r="D989" t="s">
        <v>76</v>
      </c>
      <c r="E989" t="s">
        <v>17</v>
      </c>
      <c r="F989" s="5">
        <v>6</v>
      </c>
      <c r="G989" s="5">
        <v>1</v>
      </c>
      <c r="H989" s="5">
        <v>10680</v>
      </c>
      <c r="I989" s="5">
        <v>2</v>
      </c>
      <c r="J989" s="5">
        <v>7120</v>
      </c>
      <c r="K989" t="s">
        <v>18</v>
      </c>
      <c r="L989" t="s">
        <v>19</v>
      </c>
      <c r="M989" t="s">
        <v>27</v>
      </c>
      <c r="N989" t="s">
        <v>90</v>
      </c>
      <c r="O989" t="s">
        <v>64</v>
      </c>
      <c r="P989" t="s">
        <v>36</v>
      </c>
      <c r="Q989">
        <f>Table1[[#This Row],[Course_Fee_AED]]-Table1[[#This Row],[Amount_Paid_AED]]</f>
        <v>3560</v>
      </c>
      <c r="R989">
        <f>Table1[[#This Row],[Course_Fee_AED]]-Table1[[#This Row],[pending Revenue]]</f>
        <v>7120</v>
      </c>
    </row>
    <row r="990" spans="1:18" x14ac:dyDescent="0.25">
      <c r="A990" t="s">
        <v>1067</v>
      </c>
      <c r="B990" s="2">
        <v>45595</v>
      </c>
      <c r="C990" t="s">
        <v>75</v>
      </c>
      <c r="D990" t="s">
        <v>76</v>
      </c>
      <c r="E990" t="s">
        <v>17</v>
      </c>
      <c r="F990" s="5">
        <v>6</v>
      </c>
      <c r="G990" s="5">
        <v>1</v>
      </c>
      <c r="H990" s="5">
        <v>9874</v>
      </c>
      <c r="I990" s="5">
        <v>3</v>
      </c>
      <c r="J990" s="5">
        <v>9873</v>
      </c>
      <c r="K990" t="s">
        <v>18</v>
      </c>
      <c r="L990" t="s">
        <v>57</v>
      </c>
      <c r="M990" t="s">
        <v>41</v>
      </c>
      <c r="N990" t="s">
        <v>42</v>
      </c>
      <c r="O990" t="s">
        <v>22</v>
      </c>
      <c r="P990" t="s">
        <v>18</v>
      </c>
      <c r="Q990">
        <f>Table1[[#This Row],[Course_Fee_AED]]-Table1[[#This Row],[Amount_Paid_AED]]</f>
        <v>1</v>
      </c>
      <c r="R990">
        <f>Table1[[#This Row],[Course_Fee_AED]]-Table1[[#This Row],[pending Revenue]]</f>
        <v>9873</v>
      </c>
    </row>
    <row r="991" spans="1:18" x14ac:dyDescent="0.25">
      <c r="A991" t="s">
        <v>1068</v>
      </c>
      <c r="B991" s="2">
        <v>45407</v>
      </c>
      <c r="C991" t="s">
        <v>106</v>
      </c>
      <c r="D991" t="s">
        <v>107</v>
      </c>
      <c r="E991" t="s">
        <v>17</v>
      </c>
      <c r="F991" s="5">
        <v>6</v>
      </c>
      <c r="G991" s="5">
        <v>1</v>
      </c>
      <c r="H991" s="5">
        <v>5128</v>
      </c>
      <c r="I991" s="5">
        <v>3</v>
      </c>
      <c r="J991" s="5">
        <v>5127</v>
      </c>
      <c r="K991" t="s">
        <v>18</v>
      </c>
      <c r="L991" t="s">
        <v>19</v>
      </c>
      <c r="M991" t="s">
        <v>27</v>
      </c>
      <c r="N991" t="s">
        <v>154</v>
      </c>
      <c r="O991" t="s">
        <v>68</v>
      </c>
      <c r="P991" t="s">
        <v>36</v>
      </c>
      <c r="Q991">
        <f>Table1[[#This Row],[Course_Fee_AED]]-Table1[[#This Row],[Amount_Paid_AED]]</f>
        <v>1</v>
      </c>
      <c r="R991">
        <f>Table1[[#This Row],[Course_Fee_AED]]-Table1[[#This Row],[pending Revenue]]</f>
        <v>5127</v>
      </c>
    </row>
    <row r="992" spans="1:18" x14ac:dyDescent="0.25">
      <c r="A992" t="s">
        <v>1069</v>
      </c>
      <c r="B992" s="2">
        <v>45576</v>
      </c>
      <c r="C992" t="s">
        <v>31</v>
      </c>
      <c r="D992" t="s">
        <v>32</v>
      </c>
      <c r="E992" t="s">
        <v>26</v>
      </c>
      <c r="F992" s="5">
        <v>3</v>
      </c>
      <c r="G992" s="5">
        <v>1</v>
      </c>
      <c r="H992" s="5">
        <v>7248</v>
      </c>
      <c r="I992" s="5">
        <v>3</v>
      </c>
      <c r="J992" s="5">
        <v>7248</v>
      </c>
      <c r="K992" t="s">
        <v>33</v>
      </c>
      <c r="L992" t="s">
        <v>57</v>
      </c>
      <c r="M992" t="s">
        <v>41</v>
      </c>
      <c r="N992" t="s">
        <v>42</v>
      </c>
      <c r="O992" t="s">
        <v>64</v>
      </c>
      <c r="P992" t="s">
        <v>18</v>
      </c>
      <c r="Q992">
        <f>Table1[[#This Row],[Course_Fee_AED]]-Table1[[#This Row],[Amount_Paid_AED]]</f>
        <v>0</v>
      </c>
      <c r="R992">
        <f>Table1[[#This Row],[Course_Fee_AED]]-Table1[[#This Row],[pending Revenue]]</f>
        <v>7248</v>
      </c>
    </row>
    <row r="993" spans="1:18" x14ac:dyDescent="0.25">
      <c r="A993" t="s">
        <v>1070</v>
      </c>
      <c r="B993" s="2">
        <v>45543</v>
      </c>
      <c r="C993" t="s">
        <v>75</v>
      </c>
      <c r="D993" t="s">
        <v>76</v>
      </c>
      <c r="E993" t="s">
        <v>26</v>
      </c>
      <c r="F993" s="5">
        <v>3</v>
      </c>
      <c r="G993" s="5">
        <v>1</v>
      </c>
      <c r="H993" s="5">
        <v>12681</v>
      </c>
      <c r="I993" s="5">
        <v>2</v>
      </c>
      <c r="J993" s="5">
        <v>8454</v>
      </c>
      <c r="K993" t="s">
        <v>18</v>
      </c>
      <c r="L993" t="s">
        <v>19</v>
      </c>
      <c r="M993" t="s">
        <v>63</v>
      </c>
      <c r="N993" t="s">
        <v>48</v>
      </c>
      <c r="O993" t="s">
        <v>49</v>
      </c>
      <c r="P993" t="s">
        <v>36</v>
      </c>
      <c r="Q993">
        <f>Table1[[#This Row],[Course_Fee_AED]]-Table1[[#This Row],[Amount_Paid_AED]]</f>
        <v>4227</v>
      </c>
      <c r="R993">
        <f>Table1[[#This Row],[Course_Fee_AED]]-Table1[[#This Row],[pending Revenue]]</f>
        <v>8454</v>
      </c>
    </row>
    <row r="994" spans="1:18" x14ac:dyDescent="0.25">
      <c r="A994" t="s">
        <v>1071</v>
      </c>
      <c r="B994" s="2">
        <v>45512</v>
      </c>
      <c r="C994" t="s">
        <v>24</v>
      </c>
      <c r="D994" t="s">
        <v>25</v>
      </c>
      <c r="E994" t="s">
        <v>26</v>
      </c>
      <c r="F994" s="5">
        <v>3</v>
      </c>
      <c r="G994" s="5">
        <v>1</v>
      </c>
      <c r="H994" s="5">
        <v>6480</v>
      </c>
      <c r="I994" s="5">
        <v>1</v>
      </c>
      <c r="J994" s="5">
        <v>2160</v>
      </c>
      <c r="K994" t="s">
        <v>18</v>
      </c>
      <c r="L994" t="s">
        <v>40</v>
      </c>
      <c r="M994" t="s">
        <v>60</v>
      </c>
      <c r="N994" t="s">
        <v>154</v>
      </c>
      <c r="O994" t="s">
        <v>87</v>
      </c>
      <c r="P994" t="s">
        <v>18</v>
      </c>
      <c r="Q994">
        <f>Table1[[#This Row],[Course_Fee_AED]]-Table1[[#This Row],[Amount_Paid_AED]]</f>
        <v>4320</v>
      </c>
      <c r="R994">
        <f>Table1[[#This Row],[Course_Fee_AED]]-Table1[[#This Row],[pending Revenue]]</f>
        <v>2160</v>
      </c>
    </row>
    <row r="995" spans="1:18" x14ac:dyDescent="0.25">
      <c r="A995" t="s">
        <v>1072</v>
      </c>
      <c r="B995" s="2">
        <v>45634</v>
      </c>
      <c r="C995" t="s">
        <v>51</v>
      </c>
      <c r="D995" t="s">
        <v>52</v>
      </c>
      <c r="E995" t="s">
        <v>17</v>
      </c>
      <c r="F995" s="5">
        <v>6</v>
      </c>
      <c r="G995" s="5">
        <v>1</v>
      </c>
      <c r="H995" s="5">
        <v>4133</v>
      </c>
      <c r="I995" s="5">
        <v>2</v>
      </c>
      <c r="J995" s="5">
        <v>2754</v>
      </c>
      <c r="K995" t="s">
        <v>18</v>
      </c>
      <c r="L995" t="s">
        <v>40</v>
      </c>
      <c r="M995" t="s">
        <v>60</v>
      </c>
      <c r="N995" t="s">
        <v>34</v>
      </c>
      <c r="O995" t="s">
        <v>64</v>
      </c>
      <c r="P995" t="s">
        <v>18</v>
      </c>
      <c r="Q995">
        <f>Table1[[#This Row],[Course_Fee_AED]]-Table1[[#This Row],[Amount_Paid_AED]]</f>
        <v>1379</v>
      </c>
      <c r="R995">
        <f>Table1[[#This Row],[Course_Fee_AED]]-Table1[[#This Row],[pending Revenue]]</f>
        <v>2754</v>
      </c>
    </row>
    <row r="996" spans="1:18" x14ac:dyDescent="0.25">
      <c r="A996" t="s">
        <v>1073</v>
      </c>
      <c r="B996" s="2">
        <v>45488</v>
      </c>
      <c r="C996" t="s">
        <v>38</v>
      </c>
      <c r="D996" t="s">
        <v>39</v>
      </c>
      <c r="E996" t="s">
        <v>26</v>
      </c>
      <c r="F996" s="5">
        <v>3</v>
      </c>
      <c r="G996" s="5">
        <v>1</v>
      </c>
      <c r="H996" s="5">
        <v>4640</v>
      </c>
      <c r="I996" s="5">
        <v>3</v>
      </c>
      <c r="J996" s="5">
        <v>4638</v>
      </c>
      <c r="K996" t="s">
        <v>18</v>
      </c>
      <c r="L996" t="s">
        <v>19</v>
      </c>
      <c r="M996" t="s">
        <v>20</v>
      </c>
      <c r="N996" t="s">
        <v>61</v>
      </c>
      <c r="O996" t="s">
        <v>35</v>
      </c>
      <c r="P996" t="s">
        <v>36</v>
      </c>
      <c r="Q996">
        <f>Table1[[#This Row],[Course_Fee_AED]]-Table1[[#This Row],[Amount_Paid_AED]]</f>
        <v>2</v>
      </c>
      <c r="R996">
        <f>Table1[[#This Row],[Course_Fee_AED]]-Table1[[#This Row],[pending Revenue]]</f>
        <v>4638</v>
      </c>
    </row>
    <row r="997" spans="1:18" x14ac:dyDescent="0.25">
      <c r="A997" t="s">
        <v>1074</v>
      </c>
      <c r="B997" s="2">
        <v>45417</v>
      </c>
      <c r="C997" t="s">
        <v>66</v>
      </c>
      <c r="D997" t="s">
        <v>56</v>
      </c>
      <c r="E997" t="s">
        <v>17</v>
      </c>
      <c r="F997" s="5">
        <v>6</v>
      </c>
      <c r="G997" s="5">
        <v>1</v>
      </c>
      <c r="H997" s="5">
        <v>8862</v>
      </c>
      <c r="I997" s="5">
        <v>3</v>
      </c>
      <c r="J997" s="5">
        <v>8862</v>
      </c>
      <c r="K997" t="s">
        <v>33</v>
      </c>
      <c r="L997" t="s">
        <v>40</v>
      </c>
      <c r="M997" t="s">
        <v>47</v>
      </c>
      <c r="N997" t="s">
        <v>21</v>
      </c>
      <c r="O997" t="s">
        <v>43</v>
      </c>
      <c r="P997" t="s">
        <v>36</v>
      </c>
      <c r="Q997">
        <f>Table1[[#This Row],[Course_Fee_AED]]-Table1[[#This Row],[Amount_Paid_AED]]</f>
        <v>0</v>
      </c>
      <c r="R997">
        <f>Table1[[#This Row],[Course_Fee_AED]]-Table1[[#This Row],[pending Revenue]]</f>
        <v>8862</v>
      </c>
    </row>
    <row r="998" spans="1:18" x14ac:dyDescent="0.25">
      <c r="A998" t="s">
        <v>1075</v>
      </c>
      <c r="B998" s="2">
        <v>45462</v>
      </c>
      <c r="C998" t="s">
        <v>106</v>
      </c>
      <c r="D998" t="s">
        <v>107</v>
      </c>
      <c r="E998" t="s">
        <v>17</v>
      </c>
      <c r="F998" s="5">
        <v>6</v>
      </c>
      <c r="G998" s="5">
        <v>1</v>
      </c>
      <c r="H998" s="5">
        <v>7556</v>
      </c>
      <c r="I998" s="5">
        <v>3</v>
      </c>
      <c r="J998" s="5">
        <v>7554</v>
      </c>
      <c r="K998" t="s">
        <v>18</v>
      </c>
      <c r="L998" t="s">
        <v>19</v>
      </c>
      <c r="M998" t="s">
        <v>20</v>
      </c>
      <c r="N998" t="s">
        <v>21</v>
      </c>
      <c r="O998" t="s">
        <v>64</v>
      </c>
      <c r="P998" t="s">
        <v>36</v>
      </c>
      <c r="Q998">
        <f>Table1[[#This Row],[Course_Fee_AED]]-Table1[[#This Row],[Amount_Paid_AED]]</f>
        <v>2</v>
      </c>
      <c r="R998">
        <f>Table1[[#This Row],[Course_Fee_AED]]-Table1[[#This Row],[pending Revenue]]</f>
        <v>7554</v>
      </c>
    </row>
    <row r="999" spans="1:18" x14ac:dyDescent="0.25">
      <c r="A999" t="s">
        <v>1076</v>
      </c>
      <c r="B999" s="2">
        <v>45393</v>
      </c>
      <c r="C999" t="s">
        <v>31</v>
      </c>
      <c r="D999" t="s">
        <v>32</v>
      </c>
      <c r="E999" t="s">
        <v>17</v>
      </c>
      <c r="F999" s="5">
        <v>6</v>
      </c>
      <c r="G999" s="5">
        <v>1</v>
      </c>
      <c r="H999" s="5">
        <v>5691</v>
      </c>
      <c r="I999" s="5">
        <v>2</v>
      </c>
      <c r="J999" s="5">
        <v>3794</v>
      </c>
      <c r="K999" t="s">
        <v>18</v>
      </c>
      <c r="L999" t="s">
        <v>57</v>
      </c>
      <c r="M999" t="s">
        <v>27</v>
      </c>
      <c r="N999" t="s">
        <v>79</v>
      </c>
      <c r="O999" t="s">
        <v>49</v>
      </c>
      <c r="P999" t="s">
        <v>36</v>
      </c>
      <c r="Q999">
        <f>Table1[[#This Row],[Course_Fee_AED]]-Table1[[#This Row],[Amount_Paid_AED]]</f>
        <v>1897</v>
      </c>
      <c r="R999">
        <f>Table1[[#This Row],[Course_Fee_AED]]-Table1[[#This Row],[pending Revenue]]</f>
        <v>3794</v>
      </c>
    </row>
    <row r="1000" spans="1:18" x14ac:dyDescent="0.25">
      <c r="A1000" t="s">
        <v>1077</v>
      </c>
      <c r="B1000" s="2">
        <v>45329</v>
      </c>
      <c r="C1000" t="s">
        <v>75</v>
      </c>
      <c r="D1000" t="s">
        <v>76</v>
      </c>
      <c r="E1000" t="s">
        <v>26</v>
      </c>
      <c r="F1000" s="5">
        <v>3</v>
      </c>
      <c r="G1000" s="5">
        <v>1</v>
      </c>
      <c r="H1000" s="5">
        <v>14861</v>
      </c>
      <c r="I1000" s="5">
        <v>3</v>
      </c>
      <c r="J1000" s="5">
        <v>14859</v>
      </c>
      <c r="K1000" t="s">
        <v>18</v>
      </c>
      <c r="L1000" t="s">
        <v>57</v>
      </c>
      <c r="M1000" t="s">
        <v>47</v>
      </c>
      <c r="N1000" t="s">
        <v>28</v>
      </c>
      <c r="O1000" t="s">
        <v>68</v>
      </c>
      <c r="P1000" t="s">
        <v>18</v>
      </c>
      <c r="Q1000">
        <f>Table1[[#This Row],[Course_Fee_AED]]-Table1[[#This Row],[Amount_Paid_AED]]</f>
        <v>2</v>
      </c>
      <c r="R1000">
        <f>Table1[[#This Row],[Course_Fee_AED]]-Table1[[#This Row],[pending Revenue]]</f>
        <v>14859</v>
      </c>
    </row>
    <row r="1001" spans="1:18" x14ac:dyDescent="0.25">
      <c r="A1001" t="s">
        <v>1078</v>
      </c>
      <c r="B1001" s="2">
        <v>45507</v>
      </c>
      <c r="C1001" t="s">
        <v>24</v>
      </c>
      <c r="D1001" t="s">
        <v>25</v>
      </c>
      <c r="E1001" t="s">
        <v>17</v>
      </c>
      <c r="F1001" s="5">
        <v>6</v>
      </c>
      <c r="G1001" s="5">
        <v>1</v>
      </c>
      <c r="H1001" s="5">
        <v>4837</v>
      </c>
      <c r="I1001" s="5">
        <v>2</v>
      </c>
      <c r="J1001" s="5">
        <v>3224</v>
      </c>
      <c r="K1001" t="s">
        <v>18</v>
      </c>
      <c r="L1001" t="s">
        <v>57</v>
      </c>
      <c r="M1001" t="s">
        <v>41</v>
      </c>
      <c r="N1001" t="s">
        <v>53</v>
      </c>
      <c r="O1001" t="s">
        <v>29</v>
      </c>
      <c r="P1001" t="s">
        <v>36</v>
      </c>
      <c r="Q1001">
        <f>Table1[[#This Row],[Course_Fee_AED]]-Table1[[#This Row],[Amount_Paid_AED]]</f>
        <v>1613</v>
      </c>
      <c r="R1001">
        <f>Table1[[#This Row],[Course_Fee_AED]]-Table1[[#This Row],[pending Revenue]]</f>
        <v>3224</v>
      </c>
    </row>
    <row r="1002" spans="1:18" x14ac:dyDescent="0.25">
      <c r="A1002" t="s">
        <v>1079</v>
      </c>
      <c r="B1002" s="2">
        <v>45560</v>
      </c>
      <c r="C1002" t="s">
        <v>31</v>
      </c>
      <c r="D1002" t="s">
        <v>32</v>
      </c>
      <c r="E1002" t="s">
        <v>26</v>
      </c>
      <c r="F1002" s="5">
        <v>3</v>
      </c>
      <c r="G1002" s="5">
        <v>1</v>
      </c>
      <c r="H1002" s="5">
        <v>6428</v>
      </c>
      <c r="I1002" s="5">
        <v>2</v>
      </c>
      <c r="J1002" s="5">
        <v>4284</v>
      </c>
      <c r="K1002" t="s">
        <v>18</v>
      </c>
      <c r="L1002" t="s">
        <v>40</v>
      </c>
      <c r="M1002" t="s">
        <v>27</v>
      </c>
      <c r="N1002" t="s">
        <v>28</v>
      </c>
      <c r="O1002" t="s">
        <v>22</v>
      </c>
      <c r="P1002" t="s">
        <v>36</v>
      </c>
      <c r="Q1002">
        <f>Table1[[#This Row],[Course_Fee_AED]]-Table1[[#This Row],[Amount_Paid_AED]]</f>
        <v>2144</v>
      </c>
      <c r="R1002">
        <f>Table1[[#This Row],[Course_Fee_AED]]-Table1[[#This Row],[pending Revenue]]</f>
        <v>4284</v>
      </c>
    </row>
    <row r="1003" spans="1:18" x14ac:dyDescent="0.25">
      <c r="A1003" t="s">
        <v>1080</v>
      </c>
      <c r="B1003" s="2">
        <v>45367</v>
      </c>
      <c r="C1003" t="s">
        <v>106</v>
      </c>
      <c r="D1003" t="s">
        <v>107</v>
      </c>
      <c r="E1003" t="s">
        <v>17</v>
      </c>
      <c r="F1003" s="5">
        <v>6</v>
      </c>
      <c r="G1003" s="5">
        <v>1</v>
      </c>
      <c r="H1003" s="5">
        <v>7817</v>
      </c>
      <c r="I1003" s="5">
        <v>1</v>
      </c>
      <c r="J1003" s="5">
        <v>2605</v>
      </c>
      <c r="K1003" t="s">
        <v>18</v>
      </c>
      <c r="L1003" t="s">
        <v>40</v>
      </c>
      <c r="M1003" t="s">
        <v>60</v>
      </c>
      <c r="N1003" t="s">
        <v>21</v>
      </c>
      <c r="O1003" t="s">
        <v>35</v>
      </c>
      <c r="P1003" t="s">
        <v>18</v>
      </c>
      <c r="Q1003">
        <f>Table1[[#This Row],[Course_Fee_AED]]-Table1[[#This Row],[Amount_Paid_AED]]</f>
        <v>5212</v>
      </c>
      <c r="R1003">
        <f>Table1[[#This Row],[Course_Fee_AED]]-Table1[[#This Row],[pending Revenue]]</f>
        <v>2605</v>
      </c>
    </row>
    <row r="1004" spans="1:18" x14ac:dyDescent="0.25">
      <c r="A1004" t="s">
        <v>1081</v>
      </c>
      <c r="B1004" s="2">
        <v>45473</v>
      </c>
      <c r="C1004" t="s">
        <v>113</v>
      </c>
      <c r="D1004" t="s">
        <v>93</v>
      </c>
      <c r="E1004" t="s">
        <v>17</v>
      </c>
      <c r="F1004" s="5">
        <v>6</v>
      </c>
      <c r="G1004" s="5">
        <v>1</v>
      </c>
      <c r="H1004" s="5">
        <v>4758</v>
      </c>
      <c r="I1004" s="5">
        <v>2</v>
      </c>
      <c r="J1004" s="5">
        <v>3172</v>
      </c>
      <c r="K1004" t="s">
        <v>18</v>
      </c>
      <c r="L1004" t="s">
        <v>40</v>
      </c>
      <c r="M1004" t="s">
        <v>63</v>
      </c>
      <c r="N1004" t="s">
        <v>48</v>
      </c>
      <c r="O1004" t="s">
        <v>22</v>
      </c>
      <c r="P1004" t="s">
        <v>36</v>
      </c>
      <c r="Q1004">
        <f>Table1[[#This Row],[Course_Fee_AED]]-Table1[[#This Row],[Amount_Paid_AED]]</f>
        <v>1586</v>
      </c>
      <c r="R1004">
        <f>Table1[[#This Row],[Course_Fee_AED]]-Table1[[#This Row],[pending Revenue]]</f>
        <v>3172</v>
      </c>
    </row>
    <row r="1005" spans="1:18" x14ac:dyDescent="0.25">
      <c r="A1005" t="s">
        <v>1082</v>
      </c>
      <c r="B1005" s="2">
        <v>45425</v>
      </c>
      <c r="C1005" t="s">
        <v>51</v>
      </c>
      <c r="D1005" t="s">
        <v>52</v>
      </c>
      <c r="E1005" t="s">
        <v>26</v>
      </c>
      <c r="F1005" s="5">
        <v>3</v>
      </c>
      <c r="G1005" s="5">
        <v>1</v>
      </c>
      <c r="H1005" s="5">
        <v>5433</v>
      </c>
      <c r="I1005" s="5">
        <v>2</v>
      </c>
      <c r="J1005" s="5">
        <v>3622</v>
      </c>
      <c r="K1005" t="s">
        <v>18</v>
      </c>
      <c r="L1005" t="s">
        <v>40</v>
      </c>
      <c r="M1005" t="s">
        <v>27</v>
      </c>
      <c r="N1005" t="s">
        <v>79</v>
      </c>
      <c r="O1005" t="s">
        <v>87</v>
      </c>
      <c r="P1005" t="s">
        <v>18</v>
      </c>
      <c r="Q1005">
        <f>Table1[[#This Row],[Course_Fee_AED]]-Table1[[#This Row],[Amount_Paid_AED]]</f>
        <v>1811</v>
      </c>
      <c r="R1005">
        <f>Table1[[#This Row],[Course_Fee_AED]]-Table1[[#This Row],[pending Revenue]]</f>
        <v>3622</v>
      </c>
    </row>
    <row r="1006" spans="1:18" x14ac:dyDescent="0.25">
      <c r="A1006" t="s">
        <v>1083</v>
      </c>
      <c r="B1006" s="2">
        <v>45529</v>
      </c>
      <c r="C1006" t="s">
        <v>66</v>
      </c>
      <c r="D1006" t="s">
        <v>56</v>
      </c>
      <c r="E1006" t="s">
        <v>26</v>
      </c>
      <c r="F1006" s="5">
        <v>3</v>
      </c>
      <c r="G1006" s="5">
        <v>1</v>
      </c>
      <c r="H1006" s="5">
        <v>8141</v>
      </c>
      <c r="I1006" s="5">
        <v>2</v>
      </c>
      <c r="J1006" s="5">
        <v>5426</v>
      </c>
      <c r="K1006" t="s">
        <v>18</v>
      </c>
      <c r="L1006" t="s">
        <v>57</v>
      </c>
      <c r="M1006" t="s">
        <v>41</v>
      </c>
      <c r="N1006" t="s">
        <v>61</v>
      </c>
      <c r="O1006" t="s">
        <v>22</v>
      </c>
      <c r="P1006" t="s">
        <v>18</v>
      </c>
      <c r="Q1006">
        <f>Table1[[#This Row],[Course_Fee_AED]]-Table1[[#This Row],[Amount_Paid_AED]]</f>
        <v>2715</v>
      </c>
      <c r="R1006">
        <f>Table1[[#This Row],[Course_Fee_AED]]-Table1[[#This Row],[pending Revenue]]</f>
        <v>5426</v>
      </c>
    </row>
    <row r="1007" spans="1:18" x14ac:dyDescent="0.25">
      <c r="A1007" t="s">
        <v>1084</v>
      </c>
      <c r="B1007" s="2">
        <v>45650</v>
      </c>
      <c r="C1007" t="s">
        <v>38</v>
      </c>
      <c r="D1007" t="s">
        <v>39</v>
      </c>
      <c r="E1007" t="s">
        <v>17</v>
      </c>
      <c r="F1007" s="5">
        <v>6</v>
      </c>
      <c r="G1007" s="5">
        <v>1</v>
      </c>
      <c r="H1007" s="5">
        <v>5366</v>
      </c>
      <c r="I1007" s="5">
        <v>3</v>
      </c>
      <c r="J1007" s="5">
        <v>5364</v>
      </c>
      <c r="K1007" t="s">
        <v>18</v>
      </c>
      <c r="L1007" t="s">
        <v>19</v>
      </c>
      <c r="M1007" t="s">
        <v>63</v>
      </c>
      <c r="N1007" t="s">
        <v>95</v>
      </c>
      <c r="O1007" t="s">
        <v>58</v>
      </c>
      <c r="P1007" t="s">
        <v>36</v>
      </c>
      <c r="Q1007">
        <f>Table1[[#This Row],[Course_Fee_AED]]-Table1[[#This Row],[Amount_Paid_AED]]</f>
        <v>2</v>
      </c>
      <c r="R1007">
        <f>Table1[[#This Row],[Course_Fee_AED]]-Table1[[#This Row],[pending Revenue]]</f>
        <v>5364</v>
      </c>
    </row>
    <row r="1008" spans="1:18" x14ac:dyDescent="0.25">
      <c r="A1008" t="s">
        <v>1085</v>
      </c>
      <c r="B1008" s="2">
        <v>45545</v>
      </c>
      <c r="C1008" t="s">
        <v>100</v>
      </c>
      <c r="D1008" t="s">
        <v>101</v>
      </c>
      <c r="E1008" t="s">
        <v>17</v>
      </c>
      <c r="F1008" s="5">
        <v>6</v>
      </c>
      <c r="G1008" s="5">
        <v>1</v>
      </c>
      <c r="H1008" s="5">
        <v>4684</v>
      </c>
      <c r="I1008" s="5">
        <v>1</v>
      </c>
      <c r="J1008" s="5">
        <v>1561</v>
      </c>
      <c r="K1008" t="s">
        <v>18</v>
      </c>
      <c r="L1008" t="s">
        <v>40</v>
      </c>
      <c r="M1008" t="s">
        <v>63</v>
      </c>
      <c r="N1008" t="s">
        <v>73</v>
      </c>
      <c r="O1008" t="s">
        <v>29</v>
      </c>
      <c r="P1008" t="s">
        <v>36</v>
      </c>
      <c r="Q1008">
        <f>Table1[[#This Row],[Course_Fee_AED]]-Table1[[#This Row],[Amount_Paid_AED]]</f>
        <v>3123</v>
      </c>
      <c r="R1008">
        <f>Table1[[#This Row],[Course_Fee_AED]]-Table1[[#This Row],[pending Revenue]]</f>
        <v>1561</v>
      </c>
    </row>
    <row r="1009" spans="1:18" x14ac:dyDescent="0.25">
      <c r="A1009" t="s">
        <v>1086</v>
      </c>
      <c r="B1009" s="2">
        <v>45654</v>
      </c>
      <c r="C1009" t="s">
        <v>31</v>
      </c>
      <c r="D1009" t="s">
        <v>32</v>
      </c>
      <c r="E1009" t="s">
        <v>26</v>
      </c>
      <c r="F1009" s="5">
        <v>3</v>
      </c>
      <c r="G1009" s="5">
        <v>1</v>
      </c>
      <c r="H1009" s="5">
        <v>7568</v>
      </c>
      <c r="I1009" s="5">
        <v>1</v>
      </c>
      <c r="J1009" s="5">
        <v>2522</v>
      </c>
      <c r="K1009" t="s">
        <v>18</v>
      </c>
      <c r="L1009" t="s">
        <v>40</v>
      </c>
      <c r="M1009" t="s">
        <v>47</v>
      </c>
      <c r="N1009" t="s">
        <v>61</v>
      </c>
      <c r="O1009" t="s">
        <v>49</v>
      </c>
      <c r="P1009" t="s">
        <v>18</v>
      </c>
      <c r="Q1009">
        <f>Table1[[#This Row],[Course_Fee_AED]]-Table1[[#This Row],[Amount_Paid_AED]]</f>
        <v>5046</v>
      </c>
      <c r="R1009">
        <f>Table1[[#This Row],[Course_Fee_AED]]-Table1[[#This Row],[pending Revenue]]</f>
        <v>2522</v>
      </c>
    </row>
    <row r="1010" spans="1:18" x14ac:dyDescent="0.25">
      <c r="A1010" t="s">
        <v>1087</v>
      </c>
      <c r="B1010" s="2">
        <v>45309</v>
      </c>
      <c r="C1010" t="s">
        <v>55</v>
      </c>
      <c r="D1010" t="s">
        <v>56</v>
      </c>
      <c r="E1010" t="s">
        <v>26</v>
      </c>
      <c r="F1010" s="5">
        <v>3</v>
      </c>
      <c r="G1010" s="5">
        <v>1</v>
      </c>
      <c r="H1010" s="5">
        <v>10738</v>
      </c>
      <c r="I1010" s="5">
        <v>1</v>
      </c>
      <c r="J1010" s="5">
        <v>3579</v>
      </c>
      <c r="K1010" t="s">
        <v>18</v>
      </c>
      <c r="L1010" t="s">
        <v>19</v>
      </c>
      <c r="M1010" t="s">
        <v>20</v>
      </c>
      <c r="N1010" t="s">
        <v>86</v>
      </c>
      <c r="O1010" t="s">
        <v>22</v>
      </c>
      <c r="P1010" t="s">
        <v>18</v>
      </c>
      <c r="Q1010">
        <f>Table1[[#This Row],[Course_Fee_AED]]-Table1[[#This Row],[Amount_Paid_AED]]</f>
        <v>7159</v>
      </c>
      <c r="R1010">
        <f>Table1[[#This Row],[Course_Fee_AED]]-Table1[[#This Row],[pending Revenue]]</f>
        <v>3579</v>
      </c>
    </row>
    <row r="1011" spans="1:18" x14ac:dyDescent="0.25">
      <c r="A1011" t="s">
        <v>1088</v>
      </c>
      <c r="B1011" s="2">
        <v>45438</v>
      </c>
      <c r="C1011" t="s">
        <v>100</v>
      </c>
      <c r="D1011" t="s">
        <v>101</v>
      </c>
      <c r="E1011" t="s">
        <v>26</v>
      </c>
      <c r="F1011" s="5">
        <v>3</v>
      </c>
      <c r="G1011" s="5">
        <v>1</v>
      </c>
      <c r="H1011" s="5">
        <v>3646</v>
      </c>
      <c r="I1011" s="5">
        <v>3</v>
      </c>
      <c r="J1011" s="5">
        <v>3645</v>
      </c>
      <c r="K1011" t="s">
        <v>18</v>
      </c>
      <c r="L1011" t="s">
        <v>40</v>
      </c>
      <c r="M1011" t="s">
        <v>47</v>
      </c>
      <c r="N1011" t="s">
        <v>42</v>
      </c>
      <c r="O1011" t="s">
        <v>58</v>
      </c>
      <c r="P1011" t="s">
        <v>18</v>
      </c>
      <c r="Q1011">
        <f>Table1[[#This Row],[Course_Fee_AED]]-Table1[[#This Row],[Amount_Paid_AED]]</f>
        <v>1</v>
      </c>
      <c r="R1011">
        <f>Table1[[#This Row],[Course_Fee_AED]]-Table1[[#This Row],[pending Revenue]]</f>
        <v>3645</v>
      </c>
    </row>
    <row r="1012" spans="1:18" x14ac:dyDescent="0.25">
      <c r="A1012" t="s">
        <v>1089</v>
      </c>
      <c r="B1012" s="2">
        <v>45526</v>
      </c>
      <c r="C1012" t="s">
        <v>113</v>
      </c>
      <c r="D1012" t="s">
        <v>93</v>
      </c>
      <c r="E1012" t="s">
        <v>26</v>
      </c>
      <c r="F1012" s="5">
        <v>3</v>
      </c>
      <c r="G1012" s="5">
        <v>1</v>
      </c>
      <c r="H1012" s="5">
        <v>4898</v>
      </c>
      <c r="I1012" s="5">
        <v>1</v>
      </c>
      <c r="J1012" s="5">
        <v>1632</v>
      </c>
      <c r="K1012" t="s">
        <v>18</v>
      </c>
      <c r="L1012" t="s">
        <v>19</v>
      </c>
      <c r="M1012" t="s">
        <v>63</v>
      </c>
      <c r="N1012" t="s">
        <v>95</v>
      </c>
      <c r="O1012" t="s">
        <v>49</v>
      </c>
      <c r="P1012" t="s">
        <v>36</v>
      </c>
      <c r="Q1012">
        <f>Table1[[#This Row],[Course_Fee_AED]]-Table1[[#This Row],[Amount_Paid_AED]]</f>
        <v>3266</v>
      </c>
      <c r="R1012">
        <f>Table1[[#This Row],[Course_Fee_AED]]-Table1[[#This Row],[pending Revenue]]</f>
        <v>1632</v>
      </c>
    </row>
    <row r="1013" spans="1:18" x14ac:dyDescent="0.25">
      <c r="A1013" t="s">
        <v>1090</v>
      </c>
      <c r="B1013" s="2">
        <v>45305</v>
      </c>
      <c r="C1013" t="s">
        <v>66</v>
      </c>
      <c r="D1013" t="s">
        <v>56</v>
      </c>
      <c r="E1013" t="s">
        <v>17</v>
      </c>
      <c r="F1013" s="5">
        <v>6</v>
      </c>
      <c r="G1013" s="5">
        <v>1</v>
      </c>
      <c r="H1013" s="5">
        <v>8438</v>
      </c>
      <c r="I1013" s="5">
        <v>3</v>
      </c>
      <c r="J1013" s="5">
        <v>8436</v>
      </c>
      <c r="K1013" t="s">
        <v>18</v>
      </c>
      <c r="L1013" t="s">
        <v>40</v>
      </c>
      <c r="M1013" t="s">
        <v>63</v>
      </c>
      <c r="N1013" t="s">
        <v>70</v>
      </c>
      <c r="O1013" t="s">
        <v>58</v>
      </c>
      <c r="P1013" t="s">
        <v>18</v>
      </c>
      <c r="Q1013">
        <f>Table1[[#This Row],[Course_Fee_AED]]-Table1[[#This Row],[Amount_Paid_AED]]</f>
        <v>2</v>
      </c>
      <c r="R1013">
        <f>Table1[[#This Row],[Course_Fee_AED]]-Table1[[#This Row],[pending Revenue]]</f>
        <v>8436</v>
      </c>
    </row>
    <row r="1014" spans="1:18" x14ac:dyDescent="0.25">
      <c r="A1014" t="s">
        <v>1091</v>
      </c>
      <c r="B1014" s="2">
        <v>45584</v>
      </c>
      <c r="C1014" t="s">
        <v>45</v>
      </c>
      <c r="D1014" t="s">
        <v>46</v>
      </c>
      <c r="E1014" t="s">
        <v>17</v>
      </c>
      <c r="F1014" s="5">
        <v>6</v>
      </c>
      <c r="G1014" s="5">
        <v>1</v>
      </c>
      <c r="H1014" s="5">
        <v>4567</v>
      </c>
      <c r="I1014" s="5">
        <v>2</v>
      </c>
      <c r="J1014" s="5">
        <v>3044</v>
      </c>
      <c r="K1014" t="s">
        <v>18</v>
      </c>
      <c r="L1014" t="s">
        <v>57</v>
      </c>
      <c r="M1014" t="s">
        <v>63</v>
      </c>
      <c r="N1014" t="s">
        <v>53</v>
      </c>
      <c r="O1014" t="s">
        <v>58</v>
      </c>
      <c r="P1014" t="s">
        <v>36</v>
      </c>
      <c r="Q1014">
        <f>Table1[[#This Row],[Course_Fee_AED]]-Table1[[#This Row],[Amount_Paid_AED]]</f>
        <v>1523</v>
      </c>
      <c r="R1014">
        <f>Table1[[#This Row],[Course_Fee_AED]]-Table1[[#This Row],[pending Revenue]]</f>
        <v>3044</v>
      </c>
    </row>
    <row r="1015" spans="1:18" x14ac:dyDescent="0.25">
      <c r="A1015" t="s">
        <v>1092</v>
      </c>
      <c r="B1015" s="2">
        <v>45461</v>
      </c>
      <c r="C1015" t="s">
        <v>82</v>
      </c>
      <c r="D1015" t="s">
        <v>83</v>
      </c>
      <c r="E1015" t="s">
        <v>26</v>
      </c>
      <c r="F1015" s="5">
        <v>3</v>
      </c>
      <c r="G1015" s="5">
        <v>1</v>
      </c>
      <c r="H1015" s="5">
        <v>13047</v>
      </c>
      <c r="I1015" s="5">
        <v>3</v>
      </c>
      <c r="J1015" s="5">
        <v>13047</v>
      </c>
      <c r="K1015" t="s">
        <v>33</v>
      </c>
      <c r="L1015" t="s">
        <v>57</v>
      </c>
      <c r="M1015" t="s">
        <v>63</v>
      </c>
      <c r="N1015" t="s">
        <v>34</v>
      </c>
      <c r="O1015" t="s">
        <v>71</v>
      </c>
      <c r="P1015" t="s">
        <v>18</v>
      </c>
      <c r="Q1015">
        <f>Table1[[#This Row],[Course_Fee_AED]]-Table1[[#This Row],[Amount_Paid_AED]]</f>
        <v>0</v>
      </c>
      <c r="R1015">
        <f>Table1[[#This Row],[Course_Fee_AED]]-Table1[[#This Row],[pending Revenue]]</f>
        <v>13047</v>
      </c>
    </row>
    <row r="1016" spans="1:18" x14ac:dyDescent="0.25">
      <c r="A1016" t="s">
        <v>1093</v>
      </c>
      <c r="B1016" s="2">
        <v>45437</v>
      </c>
      <c r="C1016" t="s">
        <v>100</v>
      </c>
      <c r="D1016" t="s">
        <v>101</v>
      </c>
      <c r="E1016" t="s">
        <v>26</v>
      </c>
      <c r="F1016" s="5">
        <v>3</v>
      </c>
      <c r="G1016" s="5">
        <v>1</v>
      </c>
      <c r="H1016" s="5">
        <v>3579</v>
      </c>
      <c r="I1016" s="5">
        <v>2</v>
      </c>
      <c r="J1016" s="5">
        <v>2386</v>
      </c>
      <c r="K1016" t="s">
        <v>18</v>
      </c>
      <c r="L1016" t="s">
        <v>19</v>
      </c>
      <c r="M1016" t="s">
        <v>47</v>
      </c>
      <c r="N1016" t="s">
        <v>28</v>
      </c>
      <c r="O1016" t="s">
        <v>68</v>
      </c>
      <c r="P1016" t="s">
        <v>36</v>
      </c>
      <c r="Q1016">
        <f>Table1[[#This Row],[Course_Fee_AED]]-Table1[[#This Row],[Amount_Paid_AED]]</f>
        <v>1193</v>
      </c>
      <c r="R1016">
        <f>Table1[[#This Row],[Course_Fee_AED]]-Table1[[#This Row],[pending Revenue]]</f>
        <v>2386</v>
      </c>
    </row>
    <row r="1017" spans="1:18" x14ac:dyDescent="0.25">
      <c r="A1017" t="s">
        <v>1094</v>
      </c>
      <c r="B1017" s="2">
        <v>45624</v>
      </c>
      <c r="C1017" t="s">
        <v>45</v>
      </c>
      <c r="D1017" t="s">
        <v>46</v>
      </c>
      <c r="E1017" t="s">
        <v>17</v>
      </c>
      <c r="F1017" s="5">
        <v>6</v>
      </c>
      <c r="G1017" s="5">
        <v>1</v>
      </c>
      <c r="H1017" s="5">
        <v>6101</v>
      </c>
      <c r="I1017" s="5">
        <v>1</v>
      </c>
      <c r="J1017" s="5">
        <v>2033</v>
      </c>
      <c r="K1017" t="s">
        <v>18</v>
      </c>
      <c r="L1017" t="s">
        <v>40</v>
      </c>
      <c r="M1017" t="s">
        <v>63</v>
      </c>
      <c r="N1017" t="s">
        <v>90</v>
      </c>
      <c r="O1017" t="s">
        <v>29</v>
      </c>
      <c r="P1017" t="s">
        <v>36</v>
      </c>
      <c r="Q1017">
        <f>Table1[[#This Row],[Course_Fee_AED]]-Table1[[#This Row],[Amount_Paid_AED]]</f>
        <v>4068</v>
      </c>
      <c r="R1017">
        <f>Table1[[#This Row],[Course_Fee_AED]]-Table1[[#This Row],[pending Revenue]]</f>
        <v>2033</v>
      </c>
    </row>
    <row r="1018" spans="1:18" x14ac:dyDescent="0.25">
      <c r="A1018" t="s">
        <v>1095</v>
      </c>
      <c r="B1018" s="2">
        <v>45639</v>
      </c>
      <c r="C1018" t="s">
        <v>66</v>
      </c>
      <c r="D1018" t="s">
        <v>56</v>
      </c>
      <c r="E1018" t="s">
        <v>17</v>
      </c>
      <c r="F1018" s="5">
        <v>6</v>
      </c>
      <c r="G1018" s="5">
        <v>1</v>
      </c>
      <c r="H1018" s="5">
        <v>8292</v>
      </c>
      <c r="I1018" s="5">
        <v>1</v>
      </c>
      <c r="J1018" s="5">
        <v>2764</v>
      </c>
      <c r="K1018" t="s">
        <v>18</v>
      </c>
      <c r="L1018" t="s">
        <v>40</v>
      </c>
      <c r="M1018" t="s">
        <v>41</v>
      </c>
      <c r="N1018" t="s">
        <v>42</v>
      </c>
      <c r="O1018" t="s">
        <v>29</v>
      </c>
      <c r="P1018" t="s">
        <v>36</v>
      </c>
      <c r="Q1018">
        <f>Table1[[#This Row],[Course_Fee_AED]]-Table1[[#This Row],[Amount_Paid_AED]]</f>
        <v>5528</v>
      </c>
      <c r="R1018">
        <f>Table1[[#This Row],[Course_Fee_AED]]-Table1[[#This Row],[pending Revenue]]</f>
        <v>2764</v>
      </c>
    </row>
    <row r="1019" spans="1:18" x14ac:dyDescent="0.25">
      <c r="A1019" t="s">
        <v>1096</v>
      </c>
      <c r="B1019" s="2">
        <v>45475</v>
      </c>
      <c r="C1019" t="s">
        <v>66</v>
      </c>
      <c r="D1019" t="s">
        <v>56</v>
      </c>
      <c r="E1019" t="s">
        <v>17</v>
      </c>
      <c r="F1019" s="5">
        <v>6</v>
      </c>
      <c r="G1019" s="5">
        <v>1</v>
      </c>
      <c r="H1019" s="5">
        <v>10538</v>
      </c>
      <c r="I1019" s="5">
        <v>2</v>
      </c>
      <c r="J1019" s="5">
        <v>7024</v>
      </c>
      <c r="K1019" t="s">
        <v>18</v>
      </c>
      <c r="L1019" t="s">
        <v>19</v>
      </c>
      <c r="M1019" t="s">
        <v>41</v>
      </c>
      <c r="N1019" t="s">
        <v>28</v>
      </c>
      <c r="O1019" t="s">
        <v>29</v>
      </c>
      <c r="P1019" t="s">
        <v>18</v>
      </c>
      <c r="Q1019">
        <f>Table1[[#This Row],[Course_Fee_AED]]-Table1[[#This Row],[Amount_Paid_AED]]</f>
        <v>3514</v>
      </c>
      <c r="R1019">
        <f>Table1[[#This Row],[Course_Fee_AED]]-Table1[[#This Row],[pending Revenue]]</f>
        <v>7024</v>
      </c>
    </row>
    <row r="1020" spans="1:18" x14ac:dyDescent="0.25">
      <c r="A1020" t="s">
        <v>1097</v>
      </c>
      <c r="B1020" s="2">
        <v>45396</v>
      </c>
      <c r="C1020" t="s">
        <v>31</v>
      </c>
      <c r="D1020" t="s">
        <v>32</v>
      </c>
      <c r="E1020" t="s">
        <v>17</v>
      </c>
      <c r="F1020" s="5">
        <v>6</v>
      </c>
      <c r="G1020" s="5">
        <v>1</v>
      </c>
      <c r="H1020" s="5">
        <v>5183</v>
      </c>
      <c r="I1020" s="5">
        <v>3</v>
      </c>
      <c r="J1020" s="5">
        <v>5181</v>
      </c>
      <c r="K1020" t="s">
        <v>18</v>
      </c>
      <c r="L1020" t="s">
        <v>40</v>
      </c>
      <c r="M1020" t="s">
        <v>63</v>
      </c>
      <c r="N1020" t="s">
        <v>95</v>
      </c>
      <c r="O1020" t="s">
        <v>87</v>
      </c>
      <c r="P1020" t="s">
        <v>18</v>
      </c>
      <c r="Q1020">
        <f>Table1[[#This Row],[Course_Fee_AED]]-Table1[[#This Row],[Amount_Paid_AED]]</f>
        <v>2</v>
      </c>
      <c r="R1020">
        <f>Table1[[#This Row],[Course_Fee_AED]]-Table1[[#This Row],[pending Revenue]]</f>
        <v>5181</v>
      </c>
    </row>
    <row r="1021" spans="1:18" x14ac:dyDescent="0.25">
      <c r="A1021" t="s">
        <v>1098</v>
      </c>
      <c r="B1021" s="2">
        <v>45523</v>
      </c>
      <c r="C1021" t="s">
        <v>82</v>
      </c>
      <c r="D1021" t="s">
        <v>83</v>
      </c>
      <c r="E1021" t="s">
        <v>17</v>
      </c>
      <c r="F1021" s="5">
        <v>6</v>
      </c>
      <c r="G1021" s="5">
        <v>1</v>
      </c>
      <c r="H1021" s="5">
        <v>12759</v>
      </c>
      <c r="I1021" s="5">
        <v>1</v>
      </c>
      <c r="J1021" s="5">
        <v>4253</v>
      </c>
      <c r="K1021" t="s">
        <v>18</v>
      </c>
      <c r="L1021" t="s">
        <v>40</v>
      </c>
      <c r="M1021" t="s">
        <v>60</v>
      </c>
      <c r="N1021" t="s">
        <v>95</v>
      </c>
      <c r="O1021" t="s">
        <v>87</v>
      </c>
      <c r="P1021" t="s">
        <v>36</v>
      </c>
      <c r="Q1021">
        <f>Table1[[#This Row],[Course_Fee_AED]]-Table1[[#This Row],[Amount_Paid_AED]]</f>
        <v>8506</v>
      </c>
      <c r="R1021">
        <f>Table1[[#This Row],[Course_Fee_AED]]-Table1[[#This Row],[pending Revenue]]</f>
        <v>4253</v>
      </c>
    </row>
    <row r="1022" spans="1:18" x14ac:dyDescent="0.25">
      <c r="A1022" t="s">
        <v>1099</v>
      </c>
      <c r="B1022" s="2">
        <v>45342</v>
      </c>
      <c r="C1022" t="s">
        <v>92</v>
      </c>
      <c r="D1022" t="s">
        <v>93</v>
      </c>
      <c r="E1022" t="s">
        <v>17</v>
      </c>
      <c r="F1022" s="5">
        <v>6</v>
      </c>
      <c r="G1022" s="5">
        <v>1</v>
      </c>
      <c r="H1022" s="5">
        <v>6778</v>
      </c>
      <c r="I1022" s="5">
        <v>3</v>
      </c>
      <c r="J1022" s="5">
        <v>6777</v>
      </c>
      <c r="K1022" t="s">
        <v>18</v>
      </c>
      <c r="L1022" t="s">
        <v>19</v>
      </c>
      <c r="M1022" t="s">
        <v>41</v>
      </c>
      <c r="N1022" t="s">
        <v>90</v>
      </c>
      <c r="O1022" t="s">
        <v>43</v>
      </c>
      <c r="P1022" t="s">
        <v>36</v>
      </c>
      <c r="Q1022">
        <f>Table1[[#This Row],[Course_Fee_AED]]-Table1[[#This Row],[Amount_Paid_AED]]</f>
        <v>1</v>
      </c>
      <c r="R1022">
        <f>Table1[[#This Row],[Course_Fee_AED]]-Table1[[#This Row],[pending Revenue]]</f>
        <v>6777</v>
      </c>
    </row>
    <row r="1023" spans="1:18" x14ac:dyDescent="0.25">
      <c r="A1023" t="s">
        <v>1100</v>
      </c>
      <c r="B1023" s="2">
        <v>45348</v>
      </c>
      <c r="C1023" t="s">
        <v>31</v>
      </c>
      <c r="D1023" t="s">
        <v>32</v>
      </c>
      <c r="E1023" t="s">
        <v>26</v>
      </c>
      <c r="F1023" s="5">
        <v>3</v>
      </c>
      <c r="G1023" s="5">
        <v>1</v>
      </c>
      <c r="H1023" s="5">
        <v>7196</v>
      </c>
      <c r="I1023" s="5">
        <v>1</v>
      </c>
      <c r="J1023" s="5">
        <v>2398</v>
      </c>
      <c r="K1023" t="s">
        <v>18</v>
      </c>
      <c r="L1023" t="s">
        <v>19</v>
      </c>
      <c r="M1023" t="s">
        <v>27</v>
      </c>
      <c r="N1023" t="s">
        <v>73</v>
      </c>
      <c r="O1023" t="s">
        <v>49</v>
      </c>
      <c r="P1023" t="s">
        <v>36</v>
      </c>
      <c r="Q1023">
        <f>Table1[[#This Row],[Course_Fee_AED]]-Table1[[#This Row],[Amount_Paid_AED]]</f>
        <v>4798</v>
      </c>
      <c r="R1023">
        <f>Table1[[#This Row],[Course_Fee_AED]]-Table1[[#This Row],[pending Revenue]]</f>
        <v>2398</v>
      </c>
    </row>
    <row r="1024" spans="1:18" x14ac:dyDescent="0.25">
      <c r="A1024" t="s">
        <v>1101</v>
      </c>
      <c r="B1024" s="2">
        <v>45400</v>
      </c>
      <c r="C1024" t="s">
        <v>75</v>
      </c>
      <c r="D1024" t="s">
        <v>76</v>
      </c>
      <c r="E1024" t="s">
        <v>26</v>
      </c>
      <c r="F1024" s="5">
        <v>3</v>
      </c>
      <c r="G1024" s="5">
        <v>1</v>
      </c>
      <c r="H1024" s="5">
        <v>11507</v>
      </c>
      <c r="I1024" s="5">
        <v>1</v>
      </c>
      <c r="J1024" s="5">
        <v>3835</v>
      </c>
      <c r="K1024" t="s">
        <v>18</v>
      </c>
      <c r="L1024" t="s">
        <v>40</v>
      </c>
      <c r="M1024" t="s">
        <v>20</v>
      </c>
      <c r="N1024" t="s">
        <v>73</v>
      </c>
      <c r="O1024" t="s">
        <v>43</v>
      </c>
      <c r="P1024" t="s">
        <v>36</v>
      </c>
      <c r="Q1024">
        <f>Table1[[#This Row],[Course_Fee_AED]]-Table1[[#This Row],[Amount_Paid_AED]]</f>
        <v>7672</v>
      </c>
      <c r="R1024">
        <f>Table1[[#This Row],[Course_Fee_AED]]-Table1[[#This Row],[pending Revenue]]</f>
        <v>3835</v>
      </c>
    </row>
    <row r="1025" spans="1:18" x14ac:dyDescent="0.25">
      <c r="A1025" t="s">
        <v>1102</v>
      </c>
      <c r="B1025" s="2">
        <v>45541</v>
      </c>
      <c r="C1025" t="s">
        <v>106</v>
      </c>
      <c r="D1025" t="s">
        <v>107</v>
      </c>
      <c r="E1025" t="s">
        <v>17</v>
      </c>
      <c r="F1025" s="5">
        <v>6</v>
      </c>
      <c r="G1025" s="5">
        <v>1</v>
      </c>
      <c r="H1025" s="5">
        <v>7491</v>
      </c>
      <c r="I1025" s="5">
        <v>2</v>
      </c>
      <c r="J1025" s="5">
        <v>4994</v>
      </c>
      <c r="K1025" t="s">
        <v>18</v>
      </c>
      <c r="L1025" t="s">
        <v>40</v>
      </c>
      <c r="M1025" t="s">
        <v>41</v>
      </c>
      <c r="N1025" t="s">
        <v>79</v>
      </c>
      <c r="O1025" t="s">
        <v>64</v>
      </c>
      <c r="P1025" t="s">
        <v>36</v>
      </c>
      <c r="Q1025">
        <f>Table1[[#This Row],[Course_Fee_AED]]-Table1[[#This Row],[Amount_Paid_AED]]</f>
        <v>2497</v>
      </c>
      <c r="R1025">
        <f>Table1[[#This Row],[Course_Fee_AED]]-Table1[[#This Row],[pending Revenue]]</f>
        <v>4994</v>
      </c>
    </row>
    <row r="1026" spans="1:18" x14ac:dyDescent="0.25">
      <c r="A1026" t="s">
        <v>1103</v>
      </c>
      <c r="B1026" s="2">
        <v>45585</v>
      </c>
      <c r="C1026" t="s">
        <v>15</v>
      </c>
      <c r="D1026" t="s">
        <v>16</v>
      </c>
      <c r="E1026" t="s">
        <v>26</v>
      </c>
      <c r="F1026" s="5">
        <v>3</v>
      </c>
      <c r="G1026" s="5">
        <v>1</v>
      </c>
      <c r="H1026" s="5">
        <v>4482</v>
      </c>
      <c r="I1026" s="5">
        <v>2</v>
      </c>
      <c r="J1026" s="5">
        <v>2988</v>
      </c>
      <c r="K1026" t="s">
        <v>18</v>
      </c>
      <c r="L1026" t="s">
        <v>19</v>
      </c>
      <c r="M1026" t="s">
        <v>63</v>
      </c>
      <c r="N1026" t="s">
        <v>73</v>
      </c>
      <c r="O1026" t="s">
        <v>29</v>
      </c>
      <c r="P1026" t="s">
        <v>36</v>
      </c>
      <c r="Q1026">
        <f>Table1[[#This Row],[Course_Fee_AED]]-Table1[[#This Row],[Amount_Paid_AED]]</f>
        <v>1494</v>
      </c>
      <c r="R1026">
        <f>Table1[[#This Row],[Course_Fee_AED]]-Table1[[#This Row],[pending Revenue]]</f>
        <v>2988</v>
      </c>
    </row>
    <row r="1027" spans="1:18" x14ac:dyDescent="0.25">
      <c r="A1027" t="s">
        <v>1104</v>
      </c>
      <c r="B1027" s="2">
        <v>45542</v>
      </c>
      <c r="C1027" t="s">
        <v>113</v>
      </c>
      <c r="D1027" t="s">
        <v>93</v>
      </c>
      <c r="E1027" t="s">
        <v>17</v>
      </c>
      <c r="F1027" s="5">
        <v>6</v>
      </c>
      <c r="G1027" s="5">
        <v>1</v>
      </c>
      <c r="H1027" s="5">
        <v>3073</v>
      </c>
      <c r="I1027" s="5">
        <v>1</v>
      </c>
      <c r="J1027" s="5">
        <v>1024</v>
      </c>
      <c r="K1027" t="s">
        <v>18</v>
      </c>
      <c r="L1027" t="s">
        <v>19</v>
      </c>
      <c r="M1027" t="s">
        <v>41</v>
      </c>
      <c r="N1027" t="s">
        <v>28</v>
      </c>
      <c r="O1027" t="s">
        <v>22</v>
      </c>
      <c r="P1027" t="s">
        <v>18</v>
      </c>
      <c r="Q1027">
        <f>Table1[[#This Row],[Course_Fee_AED]]-Table1[[#This Row],[Amount_Paid_AED]]</f>
        <v>2049</v>
      </c>
      <c r="R1027">
        <f>Table1[[#This Row],[Course_Fee_AED]]-Table1[[#This Row],[pending Revenue]]</f>
        <v>1024</v>
      </c>
    </row>
    <row r="1028" spans="1:18" x14ac:dyDescent="0.25">
      <c r="A1028" t="s">
        <v>1105</v>
      </c>
      <c r="B1028" s="2">
        <v>45443</v>
      </c>
      <c r="C1028" t="s">
        <v>82</v>
      </c>
      <c r="D1028" t="s">
        <v>83</v>
      </c>
      <c r="E1028" t="s">
        <v>17</v>
      </c>
      <c r="F1028" s="5">
        <v>6</v>
      </c>
      <c r="G1028" s="5">
        <v>1</v>
      </c>
      <c r="H1028" s="5">
        <v>8688</v>
      </c>
      <c r="I1028" s="5">
        <v>3</v>
      </c>
      <c r="J1028" s="5">
        <v>8688</v>
      </c>
      <c r="K1028" t="s">
        <v>33</v>
      </c>
      <c r="L1028" t="s">
        <v>57</v>
      </c>
      <c r="M1028" t="s">
        <v>20</v>
      </c>
      <c r="N1028" t="s">
        <v>21</v>
      </c>
      <c r="O1028" t="s">
        <v>29</v>
      </c>
      <c r="P1028" t="s">
        <v>36</v>
      </c>
      <c r="Q1028">
        <f>Table1[[#This Row],[Course_Fee_AED]]-Table1[[#This Row],[Amount_Paid_AED]]</f>
        <v>0</v>
      </c>
      <c r="R1028">
        <f>Table1[[#This Row],[Course_Fee_AED]]-Table1[[#This Row],[pending Revenue]]</f>
        <v>8688</v>
      </c>
    </row>
    <row r="1029" spans="1:18" x14ac:dyDescent="0.25">
      <c r="A1029" t="s">
        <v>1106</v>
      </c>
      <c r="B1029" s="2">
        <v>45423</v>
      </c>
      <c r="C1029" t="s">
        <v>75</v>
      </c>
      <c r="D1029" t="s">
        <v>76</v>
      </c>
      <c r="E1029" t="s">
        <v>26</v>
      </c>
      <c r="F1029" s="5">
        <v>3</v>
      </c>
      <c r="G1029" s="5">
        <v>1</v>
      </c>
      <c r="H1029" s="5">
        <v>9534</v>
      </c>
      <c r="I1029" s="5">
        <v>3</v>
      </c>
      <c r="J1029" s="5">
        <v>9534</v>
      </c>
      <c r="K1029" t="s">
        <v>33</v>
      </c>
      <c r="L1029" t="s">
        <v>19</v>
      </c>
      <c r="M1029" t="s">
        <v>63</v>
      </c>
      <c r="N1029" t="s">
        <v>48</v>
      </c>
      <c r="O1029" t="s">
        <v>29</v>
      </c>
      <c r="P1029" t="s">
        <v>18</v>
      </c>
      <c r="Q1029">
        <f>Table1[[#This Row],[Course_Fee_AED]]-Table1[[#This Row],[Amount_Paid_AED]]</f>
        <v>0</v>
      </c>
      <c r="R1029">
        <f>Table1[[#This Row],[Course_Fee_AED]]-Table1[[#This Row],[pending Revenue]]</f>
        <v>9534</v>
      </c>
    </row>
    <row r="1030" spans="1:18" x14ac:dyDescent="0.25">
      <c r="A1030" t="s">
        <v>1107</v>
      </c>
      <c r="B1030" s="2">
        <v>45597</v>
      </c>
      <c r="C1030" t="s">
        <v>38</v>
      </c>
      <c r="D1030" t="s">
        <v>39</v>
      </c>
      <c r="E1030" t="s">
        <v>17</v>
      </c>
      <c r="F1030" s="5">
        <v>6</v>
      </c>
      <c r="G1030" s="5">
        <v>1</v>
      </c>
      <c r="H1030" s="5">
        <v>4412</v>
      </c>
      <c r="I1030" s="5">
        <v>2</v>
      </c>
      <c r="J1030" s="5">
        <v>2940</v>
      </c>
      <c r="K1030" t="s">
        <v>18</v>
      </c>
      <c r="L1030" t="s">
        <v>19</v>
      </c>
      <c r="M1030" t="s">
        <v>60</v>
      </c>
      <c r="N1030" t="s">
        <v>61</v>
      </c>
      <c r="O1030" t="s">
        <v>64</v>
      </c>
      <c r="P1030" t="s">
        <v>18</v>
      </c>
      <c r="Q1030">
        <f>Table1[[#This Row],[Course_Fee_AED]]-Table1[[#This Row],[Amount_Paid_AED]]</f>
        <v>1472</v>
      </c>
      <c r="R1030">
        <f>Table1[[#This Row],[Course_Fee_AED]]-Table1[[#This Row],[pending Revenue]]</f>
        <v>2940</v>
      </c>
    </row>
    <row r="1031" spans="1:18" x14ac:dyDescent="0.25">
      <c r="A1031" t="s">
        <v>1108</v>
      </c>
      <c r="B1031" s="2">
        <v>45376</v>
      </c>
      <c r="C1031" t="s">
        <v>31</v>
      </c>
      <c r="D1031" t="s">
        <v>32</v>
      </c>
      <c r="E1031" t="s">
        <v>17</v>
      </c>
      <c r="F1031" s="5">
        <v>6</v>
      </c>
      <c r="G1031" s="5">
        <v>1</v>
      </c>
      <c r="H1031" s="5">
        <v>7914</v>
      </c>
      <c r="I1031" s="5">
        <v>3</v>
      </c>
      <c r="J1031" s="5">
        <v>7914</v>
      </c>
      <c r="K1031" t="s">
        <v>33</v>
      </c>
      <c r="L1031" t="s">
        <v>19</v>
      </c>
      <c r="M1031" t="s">
        <v>60</v>
      </c>
      <c r="N1031" t="s">
        <v>73</v>
      </c>
      <c r="O1031" t="s">
        <v>43</v>
      </c>
      <c r="P1031" t="s">
        <v>36</v>
      </c>
      <c r="Q1031">
        <f>Table1[[#This Row],[Course_Fee_AED]]-Table1[[#This Row],[Amount_Paid_AED]]</f>
        <v>0</v>
      </c>
      <c r="R1031">
        <f>Table1[[#This Row],[Course_Fee_AED]]-Table1[[#This Row],[pending Revenue]]</f>
        <v>7914</v>
      </c>
    </row>
    <row r="1032" spans="1:18" x14ac:dyDescent="0.25">
      <c r="A1032" t="s">
        <v>1109</v>
      </c>
      <c r="B1032" s="2">
        <v>45305</v>
      </c>
      <c r="C1032" t="s">
        <v>75</v>
      </c>
      <c r="D1032" t="s">
        <v>76</v>
      </c>
      <c r="E1032" t="s">
        <v>26</v>
      </c>
      <c r="F1032" s="5">
        <v>3</v>
      </c>
      <c r="G1032" s="5">
        <v>1</v>
      </c>
      <c r="H1032" s="5">
        <v>11732</v>
      </c>
      <c r="I1032" s="5">
        <v>1</v>
      </c>
      <c r="J1032" s="5">
        <v>3910</v>
      </c>
      <c r="K1032" t="s">
        <v>18</v>
      </c>
      <c r="L1032" t="s">
        <v>40</v>
      </c>
      <c r="M1032" t="s">
        <v>41</v>
      </c>
      <c r="N1032" t="s">
        <v>70</v>
      </c>
      <c r="O1032" t="s">
        <v>68</v>
      </c>
      <c r="P1032" t="s">
        <v>18</v>
      </c>
      <c r="Q1032">
        <f>Table1[[#This Row],[Course_Fee_AED]]-Table1[[#This Row],[Amount_Paid_AED]]</f>
        <v>7822</v>
      </c>
      <c r="R1032">
        <f>Table1[[#This Row],[Course_Fee_AED]]-Table1[[#This Row],[pending Revenue]]</f>
        <v>3910</v>
      </c>
    </row>
    <row r="1033" spans="1:18" x14ac:dyDescent="0.25">
      <c r="A1033" t="s">
        <v>1110</v>
      </c>
      <c r="B1033" s="2">
        <v>45366</v>
      </c>
      <c r="C1033" t="s">
        <v>113</v>
      </c>
      <c r="D1033" t="s">
        <v>93</v>
      </c>
      <c r="E1033" t="s">
        <v>17</v>
      </c>
      <c r="F1033" s="5">
        <v>6</v>
      </c>
      <c r="G1033" s="5">
        <v>1</v>
      </c>
      <c r="H1033" s="5">
        <v>4880</v>
      </c>
      <c r="I1033" s="5">
        <v>1</v>
      </c>
      <c r="J1033" s="5">
        <v>1626</v>
      </c>
      <c r="K1033" t="s">
        <v>18</v>
      </c>
      <c r="L1033" t="s">
        <v>57</v>
      </c>
      <c r="M1033" t="s">
        <v>27</v>
      </c>
      <c r="N1033" t="s">
        <v>86</v>
      </c>
      <c r="O1033" t="s">
        <v>87</v>
      </c>
      <c r="P1033" t="s">
        <v>18</v>
      </c>
      <c r="Q1033">
        <f>Table1[[#This Row],[Course_Fee_AED]]-Table1[[#This Row],[Amount_Paid_AED]]</f>
        <v>3254</v>
      </c>
      <c r="R1033">
        <f>Table1[[#This Row],[Course_Fee_AED]]-Table1[[#This Row],[pending Revenue]]</f>
        <v>1626</v>
      </c>
    </row>
    <row r="1034" spans="1:18" x14ac:dyDescent="0.25">
      <c r="A1034" t="s">
        <v>1111</v>
      </c>
      <c r="B1034" s="2">
        <v>45383</v>
      </c>
      <c r="C1034" t="s">
        <v>75</v>
      </c>
      <c r="D1034" t="s">
        <v>76</v>
      </c>
      <c r="E1034" t="s">
        <v>26</v>
      </c>
      <c r="F1034" s="5">
        <v>3</v>
      </c>
      <c r="G1034" s="5">
        <v>1</v>
      </c>
      <c r="H1034" s="5">
        <v>7344</v>
      </c>
      <c r="I1034" s="5">
        <v>1</v>
      </c>
      <c r="J1034" s="5">
        <v>2448</v>
      </c>
      <c r="K1034" t="s">
        <v>18</v>
      </c>
      <c r="L1034" t="s">
        <v>57</v>
      </c>
      <c r="M1034" t="s">
        <v>47</v>
      </c>
      <c r="N1034" t="s">
        <v>34</v>
      </c>
      <c r="O1034" t="s">
        <v>43</v>
      </c>
      <c r="P1034" t="s">
        <v>36</v>
      </c>
      <c r="Q1034">
        <f>Table1[[#This Row],[Course_Fee_AED]]-Table1[[#This Row],[Amount_Paid_AED]]</f>
        <v>4896</v>
      </c>
      <c r="R1034">
        <f>Table1[[#This Row],[Course_Fee_AED]]-Table1[[#This Row],[pending Revenue]]</f>
        <v>2448</v>
      </c>
    </row>
    <row r="1035" spans="1:18" x14ac:dyDescent="0.25">
      <c r="A1035" t="s">
        <v>1112</v>
      </c>
      <c r="B1035" s="2">
        <v>45512</v>
      </c>
      <c r="C1035" t="s">
        <v>38</v>
      </c>
      <c r="D1035" t="s">
        <v>39</v>
      </c>
      <c r="E1035" t="s">
        <v>26</v>
      </c>
      <c r="F1035" s="5">
        <v>3</v>
      </c>
      <c r="G1035" s="5">
        <v>1</v>
      </c>
      <c r="H1035" s="5">
        <v>5357</v>
      </c>
      <c r="I1035" s="5">
        <v>2</v>
      </c>
      <c r="J1035" s="5">
        <v>3570</v>
      </c>
      <c r="K1035" t="s">
        <v>18</v>
      </c>
      <c r="L1035" t="s">
        <v>19</v>
      </c>
      <c r="M1035" t="s">
        <v>47</v>
      </c>
      <c r="N1035" t="s">
        <v>90</v>
      </c>
      <c r="O1035" t="s">
        <v>29</v>
      </c>
      <c r="P1035" t="s">
        <v>36</v>
      </c>
      <c r="Q1035">
        <f>Table1[[#This Row],[Course_Fee_AED]]-Table1[[#This Row],[Amount_Paid_AED]]</f>
        <v>1787</v>
      </c>
      <c r="R1035">
        <f>Table1[[#This Row],[Course_Fee_AED]]-Table1[[#This Row],[pending Revenue]]</f>
        <v>3570</v>
      </c>
    </row>
    <row r="1036" spans="1:18" x14ac:dyDescent="0.25">
      <c r="A1036" t="s">
        <v>1113</v>
      </c>
      <c r="B1036" s="2">
        <v>45502</v>
      </c>
      <c r="C1036" t="s">
        <v>82</v>
      </c>
      <c r="D1036" t="s">
        <v>83</v>
      </c>
      <c r="E1036" t="s">
        <v>17</v>
      </c>
      <c r="F1036" s="5">
        <v>6</v>
      </c>
      <c r="G1036" s="5">
        <v>1</v>
      </c>
      <c r="H1036" s="5">
        <v>11867</v>
      </c>
      <c r="I1036" s="5">
        <v>1</v>
      </c>
      <c r="J1036" s="5">
        <v>3955</v>
      </c>
      <c r="K1036" t="s">
        <v>18</v>
      </c>
      <c r="L1036" t="s">
        <v>57</v>
      </c>
      <c r="M1036" t="s">
        <v>41</v>
      </c>
      <c r="N1036" t="s">
        <v>61</v>
      </c>
      <c r="O1036" t="s">
        <v>29</v>
      </c>
      <c r="P1036" t="s">
        <v>18</v>
      </c>
      <c r="Q1036">
        <f>Table1[[#This Row],[Course_Fee_AED]]-Table1[[#This Row],[Amount_Paid_AED]]</f>
        <v>7912</v>
      </c>
      <c r="R1036">
        <f>Table1[[#This Row],[Course_Fee_AED]]-Table1[[#This Row],[pending Revenue]]</f>
        <v>3955</v>
      </c>
    </row>
    <row r="1037" spans="1:18" x14ac:dyDescent="0.25">
      <c r="A1037" t="s">
        <v>1114</v>
      </c>
      <c r="B1037" s="2">
        <v>45619</v>
      </c>
      <c r="C1037" t="s">
        <v>100</v>
      </c>
      <c r="D1037" t="s">
        <v>101</v>
      </c>
      <c r="E1037" t="s">
        <v>26</v>
      </c>
      <c r="F1037" s="5">
        <v>3</v>
      </c>
      <c r="G1037" s="5">
        <v>1</v>
      </c>
      <c r="H1037" s="5">
        <v>4328</v>
      </c>
      <c r="I1037" s="5">
        <v>3</v>
      </c>
      <c r="J1037" s="5">
        <v>4326</v>
      </c>
      <c r="K1037" t="s">
        <v>18</v>
      </c>
      <c r="L1037" t="s">
        <v>19</v>
      </c>
      <c r="M1037" t="s">
        <v>63</v>
      </c>
      <c r="N1037" t="s">
        <v>42</v>
      </c>
      <c r="O1037" t="s">
        <v>29</v>
      </c>
      <c r="P1037" t="s">
        <v>36</v>
      </c>
      <c r="Q1037">
        <f>Table1[[#This Row],[Course_Fee_AED]]-Table1[[#This Row],[Amount_Paid_AED]]</f>
        <v>2</v>
      </c>
      <c r="R1037">
        <f>Table1[[#This Row],[Course_Fee_AED]]-Table1[[#This Row],[pending Revenue]]</f>
        <v>4326</v>
      </c>
    </row>
    <row r="1038" spans="1:18" x14ac:dyDescent="0.25">
      <c r="A1038" t="s">
        <v>1115</v>
      </c>
      <c r="B1038" s="2">
        <v>45412</v>
      </c>
      <c r="C1038" t="s">
        <v>82</v>
      </c>
      <c r="D1038" t="s">
        <v>83</v>
      </c>
      <c r="E1038" t="s">
        <v>26</v>
      </c>
      <c r="F1038" s="5">
        <v>3</v>
      </c>
      <c r="G1038" s="5">
        <v>1</v>
      </c>
      <c r="H1038" s="5">
        <v>10287</v>
      </c>
      <c r="I1038" s="5">
        <v>1</v>
      </c>
      <c r="J1038" s="5">
        <v>3429</v>
      </c>
      <c r="K1038" t="s">
        <v>18</v>
      </c>
      <c r="L1038" t="s">
        <v>40</v>
      </c>
      <c r="M1038" t="s">
        <v>60</v>
      </c>
      <c r="N1038" t="s">
        <v>90</v>
      </c>
      <c r="O1038" t="s">
        <v>58</v>
      </c>
      <c r="P1038" t="s">
        <v>18</v>
      </c>
      <c r="Q1038">
        <f>Table1[[#This Row],[Course_Fee_AED]]-Table1[[#This Row],[Amount_Paid_AED]]</f>
        <v>6858</v>
      </c>
      <c r="R1038">
        <f>Table1[[#This Row],[Course_Fee_AED]]-Table1[[#This Row],[pending Revenue]]</f>
        <v>3429</v>
      </c>
    </row>
    <row r="1039" spans="1:18" x14ac:dyDescent="0.25">
      <c r="A1039" t="s">
        <v>1116</v>
      </c>
      <c r="B1039" s="2">
        <v>45508</v>
      </c>
      <c r="C1039" t="s">
        <v>100</v>
      </c>
      <c r="D1039" t="s">
        <v>101</v>
      </c>
      <c r="E1039" t="s">
        <v>17</v>
      </c>
      <c r="F1039" s="5">
        <v>6</v>
      </c>
      <c r="G1039" s="5">
        <v>1</v>
      </c>
      <c r="H1039" s="5">
        <v>3819</v>
      </c>
      <c r="I1039" s="5">
        <v>2</v>
      </c>
      <c r="J1039" s="5">
        <v>2546</v>
      </c>
      <c r="K1039" t="s">
        <v>18</v>
      </c>
      <c r="L1039" t="s">
        <v>40</v>
      </c>
      <c r="M1039" t="s">
        <v>63</v>
      </c>
      <c r="N1039" t="s">
        <v>116</v>
      </c>
      <c r="O1039" t="s">
        <v>64</v>
      </c>
      <c r="P1039" t="s">
        <v>18</v>
      </c>
      <c r="Q1039">
        <f>Table1[[#This Row],[Course_Fee_AED]]-Table1[[#This Row],[Amount_Paid_AED]]</f>
        <v>1273</v>
      </c>
      <c r="R1039">
        <f>Table1[[#This Row],[Course_Fee_AED]]-Table1[[#This Row],[pending Revenue]]</f>
        <v>2546</v>
      </c>
    </row>
    <row r="1040" spans="1:18" x14ac:dyDescent="0.25">
      <c r="A1040" t="s">
        <v>1117</v>
      </c>
      <c r="B1040" s="2">
        <v>45404</v>
      </c>
      <c r="C1040" t="s">
        <v>15</v>
      </c>
      <c r="D1040" t="s">
        <v>16</v>
      </c>
      <c r="E1040" t="s">
        <v>17</v>
      </c>
      <c r="F1040" s="5">
        <v>6</v>
      </c>
      <c r="G1040" s="5">
        <v>1</v>
      </c>
      <c r="H1040" s="5">
        <v>5190</v>
      </c>
      <c r="I1040" s="5">
        <v>2</v>
      </c>
      <c r="J1040" s="5">
        <v>3460</v>
      </c>
      <c r="K1040" t="s">
        <v>18</v>
      </c>
      <c r="L1040" t="s">
        <v>40</v>
      </c>
      <c r="M1040" t="s">
        <v>63</v>
      </c>
      <c r="N1040" t="s">
        <v>42</v>
      </c>
      <c r="O1040" t="s">
        <v>58</v>
      </c>
      <c r="P1040" t="s">
        <v>18</v>
      </c>
      <c r="Q1040">
        <f>Table1[[#This Row],[Course_Fee_AED]]-Table1[[#This Row],[Amount_Paid_AED]]</f>
        <v>1730</v>
      </c>
      <c r="R1040">
        <f>Table1[[#This Row],[Course_Fee_AED]]-Table1[[#This Row],[pending Revenue]]</f>
        <v>3460</v>
      </c>
    </row>
    <row r="1041" spans="1:18" x14ac:dyDescent="0.25">
      <c r="A1041" t="s">
        <v>1118</v>
      </c>
      <c r="B1041" s="2">
        <v>45546</v>
      </c>
      <c r="C1041" t="s">
        <v>51</v>
      </c>
      <c r="D1041" t="s">
        <v>52</v>
      </c>
      <c r="E1041" t="s">
        <v>17</v>
      </c>
      <c r="F1041" s="5">
        <v>6</v>
      </c>
      <c r="G1041" s="5">
        <v>1</v>
      </c>
      <c r="H1041" s="5">
        <v>5698</v>
      </c>
      <c r="I1041" s="5">
        <v>3</v>
      </c>
      <c r="J1041" s="5">
        <v>5697</v>
      </c>
      <c r="K1041" t="s">
        <v>18</v>
      </c>
      <c r="L1041" t="s">
        <v>19</v>
      </c>
      <c r="M1041" t="s">
        <v>60</v>
      </c>
      <c r="N1041" t="s">
        <v>90</v>
      </c>
      <c r="O1041" t="s">
        <v>49</v>
      </c>
      <c r="P1041" t="s">
        <v>36</v>
      </c>
      <c r="Q1041">
        <f>Table1[[#This Row],[Course_Fee_AED]]-Table1[[#This Row],[Amount_Paid_AED]]</f>
        <v>1</v>
      </c>
      <c r="R1041">
        <f>Table1[[#This Row],[Course_Fee_AED]]-Table1[[#This Row],[pending Revenue]]</f>
        <v>5697</v>
      </c>
    </row>
    <row r="1042" spans="1:18" x14ac:dyDescent="0.25">
      <c r="A1042" t="s">
        <v>1119</v>
      </c>
      <c r="B1042" s="2">
        <v>45654</v>
      </c>
      <c r="C1042" t="s">
        <v>24</v>
      </c>
      <c r="D1042" t="s">
        <v>25</v>
      </c>
      <c r="E1042" t="s">
        <v>26</v>
      </c>
      <c r="F1042" s="5">
        <v>3</v>
      </c>
      <c r="G1042" s="5">
        <v>1</v>
      </c>
      <c r="H1042" s="5">
        <v>4995</v>
      </c>
      <c r="I1042" s="5">
        <v>3</v>
      </c>
      <c r="J1042" s="5">
        <v>4995</v>
      </c>
      <c r="K1042" t="s">
        <v>33</v>
      </c>
      <c r="L1042" t="s">
        <v>19</v>
      </c>
      <c r="M1042" t="s">
        <v>20</v>
      </c>
      <c r="N1042" t="s">
        <v>28</v>
      </c>
      <c r="O1042" t="s">
        <v>71</v>
      </c>
      <c r="P1042" t="s">
        <v>36</v>
      </c>
      <c r="Q1042">
        <f>Table1[[#This Row],[Course_Fee_AED]]-Table1[[#This Row],[Amount_Paid_AED]]</f>
        <v>0</v>
      </c>
      <c r="R1042">
        <f>Table1[[#This Row],[Course_Fee_AED]]-Table1[[#This Row],[pending Revenue]]</f>
        <v>4995</v>
      </c>
    </row>
    <row r="1043" spans="1:18" x14ac:dyDescent="0.25">
      <c r="A1043" t="s">
        <v>1120</v>
      </c>
      <c r="B1043" s="2">
        <v>45489</v>
      </c>
      <c r="C1043" t="s">
        <v>75</v>
      </c>
      <c r="D1043" t="s">
        <v>76</v>
      </c>
      <c r="E1043" t="s">
        <v>26</v>
      </c>
      <c r="F1043" s="5">
        <v>3</v>
      </c>
      <c r="G1043" s="5">
        <v>1</v>
      </c>
      <c r="H1043" s="5">
        <v>10054</v>
      </c>
      <c r="I1043" s="5">
        <v>1</v>
      </c>
      <c r="J1043" s="5">
        <v>3351</v>
      </c>
      <c r="K1043" t="s">
        <v>18</v>
      </c>
      <c r="L1043" t="s">
        <v>19</v>
      </c>
      <c r="M1043" t="s">
        <v>20</v>
      </c>
      <c r="N1043" t="s">
        <v>154</v>
      </c>
      <c r="O1043" t="s">
        <v>58</v>
      </c>
      <c r="P1043" t="s">
        <v>36</v>
      </c>
      <c r="Q1043">
        <f>Table1[[#This Row],[Course_Fee_AED]]-Table1[[#This Row],[Amount_Paid_AED]]</f>
        <v>6703</v>
      </c>
      <c r="R1043">
        <f>Table1[[#This Row],[Course_Fee_AED]]-Table1[[#This Row],[pending Revenue]]</f>
        <v>3351</v>
      </c>
    </row>
    <row r="1044" spans="1:18" x14ac:dyDescent="0.25">
      <c r="A1044" t="s">
        <v>1121</v>
      </c>
      <c r="B1044" s="2">
        <v>45592</v>
      </c>
      <c r="C1044" t="s">
        <v>38</v>
      </c>
      <c r="D1044" t="s">
        <v>39</v>
      </c>
      <c r="E1044" t="s">
        <v>26</v>
      </c>
      <c r="F1044" s="5">
        <v>3</v>
      </c>
      <c r="G1044" s="5">
        <v>1</v>
      </c>
      <c r="H1044" s="5">
        <v>6715</v>
      </c>
      <c r="I1044" s="5">
        <v>2</v>
      </c>
      <c r="J1044" s="5">
        <v>4476</v>
      </c>
      <c r="K1044" t="s">
        <v>18</v>
      </c>
      <c r="L1044" t="s">
        <v>19</v>
      </c>
      <c r="M1044" t="s">
        <v>60</v>
      </c>
      <c r="N1044" t="s">
        <v>53</v>
      </c>
      <c r="O1044" t="s">
        <v>22</v>
      </c>
      <c r="P1044" t="s">
        <v>18</v>
      </c>
      <c r="Q1044">
        <f>Table1[[#This Row],[Course_Fee_AED]]-Table1[[#This Row],[Amount_Paid_AED]]</f>
        <v>2239</v>
      </c>
      <c r="R1044">
        <f>Table1[[#This Row],[Course_Fee_AED]]-Table1[[#This Row],[pending Revenue]]</f>
        <v>4476</v>
      </c>
    </row>
    <row r="1045" spans="1:18" x14ac:dyDescent="0.25">
      <c r="A1045" t="s">
        <v>1122</v>
      </c>
      <c r="B1045" s="2">
        <v>45588</v>
      </c>
      <c r="C1045" t="s">
        <v>100</v>
      </c>
      <c r="D1045" t="s">
        <v>101</v>
      </c>
      <c r="E1045" t="s">
        <v>26</v>
      </c>
      <c r="F1045" s="5">
        <v>3</v>
      </c>
      <c r="G1045" s="5">
        <v>1</v>
      </c>
      <c r="H1045" s="5">
        <v>5425</v>
      </c>
      <c r="I1045" s="5">
        <v>3</v>
      </c>
      <c r="J1045" s="5">
        <v>5424</v>
      </c>
      <c r="K1045" t="s">
        <v>18</v>
      </c>
      <c r="L1045" t="s">
        <v>57</v>
      </c>
      <c r="M1045" t="s">
        <v>60</v>
      </c>
      <c r="N1045" t="s">
        <v>53</v>
      </c>
      <c r="O1045" t="s">
        <v>22</v>
      </c>
      <c r="P1045" t="s">
        <v>36</v>
      </c>
      <c r="Q1045">
        <f>Table1[[#This Row],[Course_Fee_AED]]-Table1[[#This Row],[Amount_Paid_AED]]</f>
        <v>1</v>
      </c>
      <c r="R1045">
        <f>Table1[[#This Row],[Course_Fee_AED]]-Table1[[#This Row],[pending Revenue]]</f>
        <v>5424</v>
      </c>
    </row>
    <row r="1046" spans="1:18" x14ac:dyDescent="0.25">
      <c r="A1046" t="s">
        <v>1123</v>
      </c>
      <c r="B1046" s="2">
        <v>45620</v>
      </c>
      <c r="C1046" t="s">
        <v>38</v>
      </c>
      <c r="D1046" t="s">
        <v>39</v>
      </c>
      <c r="E1046" t="s">
        <v>17</v>
      </c>
      <c r="F1046" s="5">
        <v>6</v>
      </c>
      <c r="G1046" s="5">
        <v>1</v>
      </c>
      <c r="H1046" s="5">
        <v>4114</v>
      </c>
      <c r="I1046" s="5">
        <v>3</v>
      </c>
      <c r="J1046" s="5">
        <v>4113</v>
      </c>
      <c r="K1046" t="s">
        <v>18</v>
      </c>
      <c r="L1046" t="s">
        <v>57</v>
      </c>
      <c r="M1046" t="s">
        <v>47</v>
      </c>
      <c r="N1046" t="s">
        <v>86</v>
      </c>
      <c r="O1046" t="s">
        <v>71</v>
      </c>
      <c r="P1046" t="s">
        <v>36</v>
      </c>
      <c r="Q1046">
        <f>Table1[[#This Row],[Course_Fee_AED]]-Table1[[#This Row],[Amount_Paid_AED]]</f>
        <v>1</v>
      </c>
      <c r="R1046">
        <f>Table1[[#This Row],[Course_Fee_AED]]-Table1[[#This Row],[pending Revenue]]</f>
        <v>4113</v>
      </c>
    </row>
    <row r="1047" spans="1:18" x14ac:dyDescent="0.25">
      <c r="A1047" t="s">
        <v>1124</v>
      </c>
      <c r="B1047" s="2">
        <v>45476</v>
      </c>
      <c r="C1047" t="s">
        <v>92</v>
      </c>
      <c r="D1047" t="s">
        <v>93</v>
      </c>
      <c r="E1047" t="s">
        <v>26</v>
      </c>
      <c r="F1047" s="5">
        <v>3</v>
      </c>
      <c r="G1047" s="5">
        <v>1</v>
      </c>
      <c r="H1047" s="5">
        <v>6093</v>
      </c>
      <c r="I1047" s="5">
        <v>1</v>
      </c>
      <c r="J1047" s="5">
        <v>2031</v>
      </c>
      <c r="K1047" t="s">
        <v>18</v>
      </c>
      <c r="L1047" t="s">
        <v>40</v>
      </c>
      <c r="M1047" t="s">
        <v>27</v>
      </c>
      <c r="N1047" t="s">
        <v>116</v>
      </c>
      <c r="O1047" t="s">
        <v>29</v>
      </c>
      <c r="P1047" t="s">
        <v>18</v>
      </c>
      <c r="Q1047">
        <f>Table1[[#This Row],[Course_Fee_AED]]-Table1[[#This Row],[Amount_Paid_AED]]</f>
        <v>4062</v>
      </c>
      <c r="R1047">
        <f>Table1[[#This Row],[Course_Fee_AED]]-Table1[[#This Row],[pending Revenue]]</f>
        <v>2031</v>
      </c>
    </row>
    <row r="1048" spans="1:18" x14ac:dyDescent="0.25">
      <c r="A1048" t="s">
        <v>1125</v>
      </c>
      <c r="B1048" s="2">
        <v>45543</v>
      </c>
      <c r="C1048" t="s">
        <v>113</v>
      </c>
      <c r="D1048" t="s">
        <v>93</v>
      </c>
      <c r="E1048" t="s">
        <v>26</v>
      </c>
      <c r="F1048" s="5">
        <v>3</v>
      </c>
      <c r="G1048" s="5">
        <v>1</v>
      </c>
      <c r="H1048" s="5">
        <v>4958</v>
      </c>
      <c r="I1048" s="5">
        <v>2</v>
      </c>
      <c r="J1048" s="5">
        <v>3304</v>
      </c>
      <c r="K1048" t="s">
        <v>18</v>
      </c>
      <c r="L1048" t="s">
        <v>57</v>
      </c>
      <c r="M1048" t="s">
        <v>41</v>
      </c>
      <c r="N1048" t="s">
        <v>42</v>
      </c>
      <c r="O1048" t="s">
        <v>58</v>
      </c>
      <c r="P1048" t="s">
        <v>18</v>
      </c>
      <c r="Q1048">
        <f>Table1[[#This Row],[Course_Fee_AED]]-Table1[[#This Row],[Amount_Paid_AED]]</f>
        <v>1654</v>
      </c>
      <c r="R1048">
        <f>Table1[[#This Row],[Course_Fee_AED]]-Table1[[#This Row],[pending Revenue]]</f>
        <v>3304</v>
      </c>
    </row>
    <row r="1049" spans="1:18" x14ac:dyDescent="0.25">
      <c r="A1049" t="s">
        <v>1126</v>
      </c>
      <c r="B1049" s="2">
        <v>45505</v>
      </c>
      <c r="C1049" t="s">
        <v>100</v>
      </c>
      <c r="D1049" t="s">
        <v>101</v>
      </c>
      <c r="E1049" t="s">
        <v>17</v>
      </c>
      <c r="F1049" s="5">
        <v>6</v>
      </c>
      <c r="G1049" s="5">
        <v>1</v>
      </c>
      <c r="H1049" s="5">
        <v>4257</v>
      </c>
      <c r="I1049" s="5">
        <v>3</v>
      </c>
      <c r="J1049" s="5">
        <v>4257</v>
      </c>
      <c r="K1049" t="s">
        <v>33</v>
      </c>
      <c r="L1049" t="s">
        <v>40</v>
      </c>
      <c r="M1049" t="s">
        <v>47</v>
      </c>
      <c r="N1049" t="s">
        <v>86</v>
      </c>
      <c r="O1049" t="s">
        <v>22</v>
      </c>
      <c r="P1049" t="s">
        <v>36</v>
      </c>
      <c r="Q1049">
        <f>Table1[[#This Row],[Course_Fee_AED]]-Table1[[#This Row],[Amount_Paid_AED]]</f>
        <v>0</v>
      </c>
      <c r="R1049">
        <f>Table1[[#This Row],[Course_Fee_AED]]-Table1[[#This Row],[pending Revenue]]</f>
        <v>4257</v>
      </c>
    </row>
    <row r="1050" spans="1:18" x14ac:dyDescent="0.25">
      <c r="A1050" t="s">
        <v>1127</v>
      </c>
      <c r="B1050" s="2">
        <v>45575</v>
      </c>
      <c r="C1050" t="s">
        <v>24</v>
      </c>
      <c r="D1050" t="s">
        <v>25</v>
      </c>
      <c r="E1050" t="s">
        <v>17</v>
      </c>
      <c r="F1050" s="5">
        <v>6</v>
      </c>
      <c r="G1050" s="5">
        <v>1</v>
      </c>
      <c r="H1050" s="5">
        <v>6231</v>
      </c>
      <c r="I1050" s="5">
        <v>2</v>
      </c>
      <c r="J1050" s="5">
        <v>4154</v>
      </c>
      <c r="K1050" t="s">
        <v>18</v>
      </c>
      <c r="L1050" t="s">
        <v>57</v>
      </c>
      <c r="M1050" t="s">
        <v>60</v>
      </c>
      <c r="N1050" t="s">
        <v>53</v>
      </c>
      <c r="O1050" t="s">
        <v>68</v>
      </c>
      <c r="P1050" t="s">
        <v>36</v>
      </c>
      <c r="Q1050">
        <f>Table1[[#This Row],[Course_Fee_AED]]-Table1[[#This Row],[Amount_Paid_AED]]</f>
        <v>2077</v>
      </c>
      <c r="R1050">
        <f>Table1[[#This Row],[Course_Fee_AED]]-Table1[[#This Row],[pending Revenue]]</f>
        <v>4154</v>
      </c>
    </row>
    <row r="1051" spans="1:18" x14ac:dyDescent="0.25">
      <c r="A1051" t="s">
        <v>1128</v>
      </c>
      <c r="B1051" s="2">
        <v>45579</v>
      </c>
      <c r="C1051" t="s">
        <v>31</v>
      </c>
      <c r="D1051" t="s">
        <v>32</v>
      </c>
      <c r="E1051" t="s">
        <v>26</v>
      </c>
      <c r="F1051" s="5">
        <v>3</v>
      </c>
      <c r="G1051" s="5">
        <v>1</v>
      </c>
      <c r="H1051" s="5">
        <v>5886</v>
      </c>
      <c r="I1051" s="5">
        <v>3</v>
      </c>
      <c r="J1051" s="5">
        <v>5886</v>
      </c>
      <c r="K1051" t="s">
        <v>33</v>
      </c>
      <c r="L1051" t="s">
        <v>19</v>
      </c>
      <c r="M1051" t="s">
        <v>63</v>
      </c>
      <c r="N1051" t="s">
        <v>90</v>
      </c>
      <c r="O1051" t="s">
        <v>64</v>
      </c>
      <c r="P1051" t="s">
        <v>36</v>
      </c>
      <c r="Q1051">
        <f>Table1[[#This Row],[Course_Fee_AED]]-Table1[[#This Row],[Amount_Paid_AED]]</f>
        <v>0</v>
      </c>
      <c r="R1051">
        <f>Table1[[#This Row],[Course_Fee_AED]]-Table1[[#This Row],[pending Revenue]]</f>
        <v>5886</v>
      </c>
    </row>
    <row r="1052" spans="1:18" x14ac:dyDescent="0.25">
      <c r="A1052" t="s">
        <v>1129</v>
      </c>
      <c r="B1052" s="2">
        <v>45468</v>
      </c>
      <c r="C1052" t="s">
        <v>51</v>
      </c>
      <c r="D1052" t="s">
        <v>52</v>
      </c>
      <c r="E1052" t="s">
        <v>17</v>
      </c>
      <c r="F1052" s="5">
        <v>6</v>
      </c>
      <c r="G1052" s="5">
        <v>1</v>
      </c>
      <c r="H1052" s="5">
        <v>4735</v>
      </c>
      <c r="I1052" s="5">
        <v>2</v>
      </c>
      <c r="J1052" s="5">
        <v>3156</v>
      </c>
      <c r="K1052" t="s">
        <v>18</v>
      </c>
      <c r="L1052" t="s">
        <v>57</v>
      </c>
      <c r="M1052" t="s">
        <v>47</v>
      </c>
      <c r="N1052" t="s">
        <v>70</v>
      </c>
      <c r="O1052" t="s">
        <v>64</v>
      </c>
      <c r="P1052" t="s">
        <v>18</v>
      </c>
      <c r="Q1052">
        <f>Table1[[#This Row],[Course_Fee_AED]]-Table1[[#This Row],[Amount_Paid_AED]]</f>
        <v>1579</v>
      </c>
      <c r="R1052">
        <f>Table1[[#This Row],[Course_Fee_AED]]-Table1[[#This Row],[pending Revenue]]</f>
        <v>3156</v>
      </c>
    </row>
    <row r="1053" spans="1:18" x14ac:dyDescent="0.25">
      <c r="A1053" t="s">
        <v>1130</v>
      </c>
      <c r="B1053" s="2">
        <v>45571</v>
      </c>
      <c r="C1053" t="s">
        <v>66</v>
      </c>
      <c r="D1053" t="s">
        <v>56</v>
      </c>
      <c r="E1053" t="s">
        <v>17</v>
      </c>
      <c r="F1053" s="5">
        <v>6</v>
      </c>
      <c r="G1053" s="5">
        <v>1</v>
      </c>
      <c r="H1053" s="5">
        <v>10600</v>
      </c>
      <c r="I1053" s="5">
        <v>2</v>
      </c>
      <c r="J1053" s="5">
        <v>7066</v>
      </c>
      <c r="K1053" t="s">
        <v>18</v>
      </c>
      <c r="L1053" t="s">
        <v>40</v>
      </c>
      <c r="M1053" t="s">
        <v>60</v>
      </c>
      <c r="N1053" t="s">
        <v>48</v>
      </c>
      <c r="O1053" t="s">
        <v>29</v>
      </c>
      <c r="P1053" t="s">
        <v>18</v>
      </c>
      <c r="Q1053">
        <f>Table1[[#This Row],[Course_Fee_AED]]-Table1[[#This Row],[Amount_Paid_AED]]</f>
        <v>3534</v>
      </c>
      <c r="R1053">
        <f>Table1[[#This Row],[Course_Fee_AED]]-Table1[[#This Row],[pending Revenue]]</f>
        <v>7066</v>
      </c>
    </row>
    <row r="1054" spans="1:18" x14ac:dyDescent="0.25">
      <c r="A1054" t="s">
        <v>1131</v>
      </c>
      <c r="B1054" s="2">
        <v>45605</v>
      </c>
      <c r="C1054" t="s">
        <v>100</v>
      </c>
      <c r="D1054" t="s">
        <v>101</v>
      </c>
      <c r="E1054" t="s">
        <v>26</v>
      </c>
      <c r="F1054" s="5">
        <v>3</v>
      </c>
      <c r="G1054" s="5">
        <v>1</v>
      </c>
      <c r="H1054" s="5">
        <v>5718</v>
      </c>
      <c r="I1054" s="5">
        <v>2</v>
      </c>
      <c r="J1054" s="5">
        <v>3812</v>
      </c>
      <c r="K1054" t="s">
        <v>18</v>
      </c>
      <c r="L1054" t="s">
        <v>19</v>
      </c>
      <c r="M1054" t="s">
        <v>20</v>
      </c>
      <c r="N1054" t="s">
        <v>90</v>
      </c>
      <c r="O1054" t="s">
        <v>64</v>
      </c>
      <c r="P1054" t="s">
        <v>36</v>
      </c>
      <c r="Q1054">
        <f>Table1[[#This Row],[Course_Fee_AED]]-Table1[[#This Row],[Amount_Paid_AED]]</f>
        <v>1906</v>
      </c>
      <c r="R1054">
        <f>Table1[[#This Row],[Course_Fee_AED]]-Table1[[#This Row],[pending Revenue]]</f>
        <v>3812</v>
      </c>
    </row>
    <row r="1055" spans="1:18" x14ac:dyDescent="0.25">
      <c r="A1055" t="s">
        <v>1132</v>
      </c>
      <c r="B1055" s="2">
        <v>45502</v>
      </c>
      <c r="C1055" t="s">
        <v>75</v>
      </c>
      <c r="D1055" t="s">
        <v>76</v>
      </c>
      <c r="E1055" t="s">
        <v>26</v>
      </c>
      <c r="F1055" s="5">
        <v>3</v>
      </c>
      <c r="G1055" s="5">
        <v>1</v>
      </c>
      <c r="H1055" s="5">
        <v>10179</v>
      </c>
      <c r="I1055" s="5">
        <v>2</v>
      </c>
      <c r="J1055" s="5">
        <v>6786</v>
      </c>
      <c r="K1055" t="s">
        <v>18</v>
      </c>
      <c r="L1055" t="s">
        <v>19</v>
      </c>
      <c r="M1055" t="s">
        <v>63</v>
      </c>
      <c r="N1055" t="s">
        <v>53</v>
      </c>
      <c r="O1055" t="s">
        <v>49</v>
      </c>
      <c r="P1055" t="s">
        <v>18</v>
      </c>
      <c r="Q1055">
        <f>Table1[[#This Row],[Course_Fee_AED]]-Table1[[#This Row],[Amount_Paid_AED]]</f>
        <v>3393</v>
      </c>
      <c r="R1055">
        <f>Table1[[#This Row],[Course_Fee_AED]]-Table1[[#This Row],[pending Revenue]]</f>
        <v>6786</v>
      </c>
    </row>
    <row r="1056" spans="1:18" x14ac:dyDescent="0.25">
      <c r="A1056" t="s">
        <v>1133</v>
      </c>
      <c r="B1056" s="2">
        <v>45530</v>
      </c>
      <c r="C1056" t="s">
        <v>100</v>
      </c>
      <c r="D1056" t="s">
        <v>101</v>
      </c>
      <c r="E1056" t="s">
        <v>17</v>
      </c>
      <c r="F1056" s="5">
        <v>6</v>
      </c>
      <c r="G1056" s="5">
        <v>1</v>
      </c>
      <c r="H1056" s="5">
        <v>5371</v>
      </c>
      <c r="I1056" s="5">
        <v>3</v>
      </c>
      <c r="J1056" s="5">
        <v>5370</v>
      </c>
      <c r="K1056" t="s">
        <v>18</v>
      </c>
      <c r="L1056" t="s">
        <v>57</v>
      </c>
      <c r="M1056" t="s">
        <v>27</v>
      </c>
      <c r="N1056" t="s">
        <v>70</v>
      </c>
      <c r="O1056" t="s">
        <v>68</v>
      </c>
      <c r="P1056" t="s">
        <v>18</v>
      </c>
      <c r="Q1056">
        <f>Table1[[#This Row],[Course_Fee_AED]]-Table1[[#This Row],[Amount_Paid_AED]]</f>
        <v>1</v>
      </c>
      <c r="R1056">
        <f>Table1[[#This Row],[Course_Fee_AED]]-Table1[[#This Row],[pending Revenue]]</f>
        <v>5370</v>
      </c>
    </row>
    <row r="1057" spans="1:18" x14ac:dyDescent="0.25">
      <c r="A1057" t="s">
        <v>1134</v>
      </c>
      <c r="B1057" s="2">
        <v>45607</v>
      </c>
      <c r="C1057" t="s">
        <v>45</v>
      </c>
      <c r="D1057" t="s">
        <v>46</v>
      </c>
      <c r="E1057" t="s">
        <v>17</v>
      </c>
      <c r="F1057" s="5">
        <v>6</v>
      </c>
      <c r="G1057" s="5">
        <v>1</v>
      </c>
      <c r="H1057" s="5">
        <v>4622</v>
      </c>
      <c r="I1057" s="5">
        <v>3</v>
      </c>
      <c r="J1057" s="5">
        <v>4620</v>
      </c>
      <c r="K1057" t="s">
        <v>18</v>
      </c>
      <c r="L1057" t="s">
        <v>57</v>
      </c>
      <c r="M1057" t="s">
        <v>27</v>
      </c>
      <c r="N1057" t="s">
        <v>48</v>
      </c>
      <c r="O1057" t="s">
        <v>64</v>
      </c>
      <c r="P1057" t="s">
        <v>36</v>
      </c>
      <c r="Q1057">
        <f>Table1[[#This Row],[Course_Fee_AED]]-Table1[[#This Row],[Amount_Paid_AED]]</f>
        <v>2</v>
      </c>
      <c r="R1057">
        <f>Table1[[#This Row],[Course_Fee_AED]]-Table1[[#This Row],[pending Revenue]]</f>
        <v>4620</v>
      </c>
    </row>
    <row r="1058" spans="1:18" x14ac:dyDescent="0.25">
      <c r="A1058" t="s">
        <v>1135</v>
      </c>
      <c r="B1058" s="2">
        <v>45341</v>
      </c>
      <c r="C1058" t="s">
        <v>55</v>
      </c>
      <c r="D1058" t="s">
        <v>56</v>
      </c>
      <c r="E1058" t="s">
        <v>17</v>
      </c>
      <c r="F1058" s="5">
        <v>6</v>
      </c>
      <c r="G1058" s="5">
        <v>1</v>
      </c>
      <c r="H1058" s="5">
        <v>9279</v>
      </c>
      <c r="I1058" s="5">
        <v>2</v>
      </c>
      <c r="J1058" s="5">
        <v>6186</v>
      </c>
      <c r="K1058" t="s">
        <v>18</v>
      </c>
      <c r="L1058" t="s">
        <v>57</v>
      </c>
      <c r="M1058" t="s">
        <v>60</v>
      </c>
      <c r="N1058" t="s">
        <v>73</v>
      </c>
      <c r="O1058" t="s">
        <v>68</v>
      </c>
      <c r="P1058" t="s">
        <v>18</v>
      </c>
      <c r="Q1058">
        <f>Table1[[#This Row],[Course_Fee_AED]]-Table1[[#This Row],[Amount_Paid_AED]]</f>
        <v>3093</v>
      </c>
      <c r="R1058">
        <f>Table1[[#This Row],[Course_Fee_AED]]-Table1[[#This Row],[pending Revenue]]</f>
        <v>6186</v>
      </c>
    </row>
    <row r="1059" spans="1:18" x14ac:dyDescent="0.25">
      <c r="A1059" t="s">
        <v>1136</v>
      </c>
      <c r="B1059" s="2">
        <v>45453</v>
      </c>
      <c r="C1059" t="s">
        <v>51</v>
      </c>
      <c r="D1059" t="s">
        <v>52</v>
      </c>
      <c r="E1059" t="s">
        <v>17</v>
      </c>
      <c r="F1059" s="5">
        <v>6</v>
      </c>
      <c r="G1059" s="5">
        <v>1</v>
      </c>
      <c r="H1059" s="5">
        <v>4058</v>
      </c>
      <c r="I1059" s="5">
        <v>1</v>
      </c>
      <c r="J1059" s="5">
        <v>1352</v>
      </c>
      <c r="K1059" t="s">
        <v>18</v>
      </c>
      <c r="L1059" t="s">
        <v>40</v>
      </c>
      <c r="M1059" t="s">
        <v>20</v>
      </c>
      <c r="N1059" t="s">
        <v>48</v>
      </c>
      <c r="O1059" t="s">
        <v>49</v>
      </c>
      <c r="P1059" t="s">
        <v>36</v>
      </c>
      <c r="Q1059">
        <f>Table1[[#This Row],[Course_Fee_AED]]-Table1[[#This Row],[Amount_Paid_AED]]</f>
        <v>2706</v>
      </c>
      <c r="R1059">
        <f>Table1[[#This Row],[Course_Fee_AED]]-Table1[[#This Row],[pending Revenue]]</f>
        <v>1352</v>
      </c>
    </row>
    <row r="1060" spans="1:18" x14ac:dyDescent="0.25">
      <c r="A1060" t="s">
        <v>1137</v>
      </c>
      <c r="B1060" s="2">
        <v>45642</v>
      </c>
      <c r="C1060" t="s">
        <v>24</v>
      </c>
      <c r="D1060" t="s">
        <v>25</v>
      </c>
      <c r="E1060" t="s">
        <v>17</v>
      </c>
      <c r="F1060" s="5">
        <v>6</v>
      </c>
      <c r="G1060" s="5">
        <v>1</v>
      </c>
      <c r="H1060" s="5">
        <v>6466</v>
      </c>
      <c r="I1060" s="5">
        <v>1</v>
      </c>
      <c r="J1060" s="5">
        <v>2155</v>
      </c>
      <c r="K1060" t="s">
        <v>18</v>
      </c>
      <c r="L1060" t="s">
        <v>40</v>
      </c>
      <c r="M1060" t="s">
        <v>41</v>
      </c>
      <c r="N1060" t="s">
        <v>116</v>
      </c>
      <c r="O1060" t="s">
        <v>68</v>
      </c>
      <c r="P1060" t="s">
        <v>36</v>
      </c>
      <c r="Q1060">
        <f>Table1[[#This Row],[Course_Fee_AED]]-Table1[[#This Row],[Amount_Paid_AED]]</f>
        <v>4311</v>
      </c>
      <c r="R1060">
        <f>Table1[[#This Row],[Course_Fee_AED]]-Table1[[#This Row],[pending Revenue]]</f>
        <v>2155</v>
      </c>
    </row>
    <row r="1061" spans="1:18" x14ac:dyDescent="0.25">
      <c r="A1061" t="s">
        <v>1138</v>
      </c>
      <c r="B1061" s="2">
        <v>45531</v>
      </c>
      <c r="C1061" t="s">
        <v>55</v>
      </c>
      <c r="D1061" t="s">
        <v>56</v>
      </c>
      <c r="E1061" t="s">
        <v>26</v>
      </c>
      <c r="F1061" s="5">
        <v>3</v>
      </c>
      <c r="G1061" s="5">
        <v>1</v>
      </c>
      <c r="H1061" s="5">
        <v>9251</v>
      </c>
      <c r="I1061" s="5">
        <v>2</v>
      </c>
      <c r="J1061" s="5">
        <v>6166</v>
      </c>
      <c r="K1061" t="s">
        <v>18</v>
      </c>
      <c r="L1061" t="s">
        <v>57</v>
      </c>
      <c r="M1061" t="s">
        <v>27</v>
      </c>
      <c r="N1061" t="s">
        <v>95</v>
      </c>
      <c r="O1061" t="s">
        <v>58</v>
      </c>
      <c r="P1061" t="s">
        <v>36</v>
      </c>
      <c r="Q1061">
        <f>Table1[[#This Row],[Course_Fee_AED]]-Table1[[#This Row],[Amount_Paid_AED]]</f>
        <v>3085</v>
      </c>
      <c r="R1061">
        <f>Table1[[#This Row],[Course_Fee_AED]]-Table1[[#This Row],[pending Revenue]]</f>
        <v>6166</v>
      </c>
    </row>
    <row r="1062" spans="1:18" x14ac:dyDescent="0.25">
      <c r="A1062" t="s">
        <v>1139</v>
      </c>
      <c r="B1062" s="2">
        <v>45411</v>
      </c>
      <c r="C1062" t="s">
        <v>113</v>
      </c>
      <c r="D1062" t="s">
        <v>93</v>
      </c>
      <c r="E1062" t="s">
        <v>17</v>
      </c>
      <c r="F1062" s="5">
        <v>6</v>
      </c>
      <c r="G1062" s="5">
        <v>1</v>
      </c>
      <c r="H1062" s="5">
        <v>4637</v>
      </c>
      <c r="I1062" s="5">
        <v>1</v>
      </c>
      <c r="J1062" s="5">
        <v>1545</v>
      </c>
      <c r="K1062" t="s">
        <v>18</v>
      </c>
      <c r="L1062" t="s">
        <v>57</v>
      </c>
      <c r="M1062" t="s">
        <v>27</v>
      </c>
      <c r="N1062" t="s">
        <v>21</v>
      </c>
      <c r="O1062" t="s">
        <v>71</v>
      </c>
      <c r="P1062" t="s">
        <v>36</v>
      </c>
      <c r="Q1062">
        <f>Table1[[#This Row],[Course_Fee_AED]]-Table1[[#This Row],[Amount_Paid_AED]]</f>
        <v>3092</v>
      </c>
      <c r="R1062">
        <f>Table1[[#This Row],[Course_Fee_AED]]-Table1[[#This Row],[pending Revenue]]</f>
        <v>1545</v>
      </c>
    </row>
    <row r="1063" spans="1:18" x14ac:dyDescent="0.25">
      <c r="A1063" t="s">
        <v>1140</v>
      </c>
      <c r="B1063" s="2">
        <v>45312</v>
      </c>
      <c r="C1063" t="s">
        <v>51</v>
      </c>
      <c r="D1063" t="s">
        <v>52</v>
      </c>
      <c r="E1063" t="s">
        <v>26</v>
      </c>
      <c r="F1063" s="5">
        <v>3</v>
      </c>
      <c r="G1063" s="5">
        <v>1</v>
      </c>
      <c r="H1063" s="5">
        <v>3840</v>
      </c>
      <c r="I1063" s="5">
        <v>3</v>
      </c>
      <c r="J1063" s="5">
        <v>3840</v>
      </c>
      <c r="K1063" t="s">
        <v>33</v>
      </c>
      <c r="L1063" t="s">
        <v>19</v>
      </c>
      <c r="M1063" t="s">
        <v>41</v>
      </c>
      <c r="N1063" t="s">
        <v>95</v>
      </c>
      <c r="O1063" t="s">
        <v>43</v>
      </c>
      <c r="P1063" t="s">
        <v>18</v>
      </c>
      <c r="Q1063">
        <f>Table1[[#This Row],[Course_Fee_AED]]-Table1[[#This Row],[Amount_Paid_AED]]</f>
        <v>0</v>
      </c>
      <c r="R1063">
        <f>Table1[[#This Row],[Course_Fee_AED]]-Table1[[#This Row],[pending Revenue]]</f>
        <v>3840</v>
      </c>
    </row>
    <row r="1064" spans="1:18" x14ac:dyDescent="0.25">
      <c r="A1064" t="s">
        <v>1141</v>
      </c>
      <c r="B1064" s="2">
        <v>45313</v>
      </c>
      <c r="C1064" t="s">
        <v>55</v>
      </c>
      <c r="D1064" t="s">
        <v>56</v>
      </c>
      <c r="E1064" t="s">
        <v>26</v>
      </c>
      <c r="F1064" s="5">
        <v>3</v>
      </c>
      <c r="G1064" s="5">
        <v>1</v>
      </c>
      <c r="H1064" s="5">
        <v>8580</v>
      </c>
      <c r="I1064" s="5">
        <v>1</v>
      </c>
      <c r="J1064" s="5">
        <v>2860</v>
      </c>
      <c r="K1064" t="s">
        <v>18</v>
      </c>
      <c r="L1064" t="s">
        <v>19</v>
      </c>
      <c r="M1064" t="s">
        <v>63</v>
      </c>
      <c r="N1064" t="s">
        <v>90</v>
      </c>
      <c r="O1064" t="s">
        <v>43</v>
      </c>
      <c r="P1064" t="s">
        <v>18</v>
      </c>
      <c r="Q1064">
        <f>Table1[[#This Row],[Course_Fee_AED]]-Table1[[#This Row],[Amount_Paid_AED]]</f>
        <v>5720</v>
      </c>
      <c r="R1064">
        <f>Table1[[#This Row],[Course_Fee_AED]]-Table1[[#This Row],[pending Revenue]]</f>
        <v>2860</v>
      </c>
    </row>
    <row r="1065" spans="1:18" x14ac:dyDescent="0.25">
      <c r="A1065" t="s">
        <v>1142</v>
      </c>
      <c r="B1065" s="2">
        <v>45563</v>
      </c>
      <c r="C1065" t="s">
        <v>51</v>
      </c>
      <c r="D1065" t="s">
        <v>52</v>
      </c>
      <c r="E1065" t="s">
        <v>26</v>
      </c>
      <c r="F1065" s="5">
        <v>3</v>
      </c>
      <c r="G1065" s="5">
        <v>1</v>
      </c>
      <c r="H1065" s="5">
        <v>4723</v>
      </c>
      <c r="I1065" s="5">
        <v>2</v>
      </c>
      <c r="J1065" s="5">
        <v>3148</v>
      </c>
      <c r="K1065" t="s">
        <v>18</v>
      </c>
      <c r="L1065" t="s">
        <v>40</v>
      </c>
      <c r="M1065" t="s">
        <v>27</v>
      </c>
      <c r="N1065" t="s">
        <v>154</v>
      </c>
      <c r="O1065" t="s">
        <v>87</v>
      </c>
      <c r="P1065" t="s">
        <v>36</v>
      </c>
      <c r="Q1065">
        <f>Table1[[#This Row],[Course_Fee_AED]]-Table1[[#This Row],[Amount_Paid_AED]]</f>
        <v>1575</v>
      </c>
      <c r="R1065">
        <f>Table1[[#This Row],[Course_Fee_AED]]-Table1[[#This Row],[pending Revenue]]</f>
        <v>3148</v>
      </c>
    </row>
    <row r="1066" spans="1:18" x14ac:dyDescent="0.25">
      <c r="A1066" t="s">
        <v>1143</v>
      </c>
      <c r="B1066" s="2">
        <v>45371</v>
      </c>
      <c r="C1066" t="s">
        <v>31</v>
      </c>
      <c r="D1066" t="s">
        <v>32</v>
      </c>
      <c r="E1066" t="s">
        <v>17</v>
      </c>
      <c r="F1066" s="5">
        <v>6</v>
      </c>
      <c r="G1066" s="5">
        <v>1</v>
      </c>
      <c r="H1066" s="5">
        <v>5849</v>
      </c>
      <c r="I1066" s="5">
        <v>2</v>
      </c>
      <c r="J1066" s="5">
        <v>3898</v>
      </c>
      <c r="K1066" t="s">
        <v>18</v>
      </c>
      <c r="L1066" t="s">
        <v>19</v>
      </c>
      <c r="M1066" t="s">
        <v>20</v>
      </c>
      <c r="N1066" t="s">
        <v>70</v>
      </c>
      <c r="O1066" t="s">
        <v>87</v>
      </c>
      <c r="P1066" t="s">
        <v>36</v>
      </c>
      <c r="Q1066">
        <f>Table1[[#This Row],[Course_Fee_AED]]-Table1[[#This Row],[Amount_Paid_AED]]</f>
        <v>1951</v>
      </c>
      <c r="R1066">
        <f>Table1[[#This Row],[Course_Fee_AED]]-Table1[[#This Row],[pending Revenue]]</f>
        <v>3898</v>
      </c>
    </row>
    <row r="1067" spans="1:18" x14ac:dyDescent="0.25">
      <c r="A1067" t="s">
        <v>1144</v>
      </c>
      <c r="B1067" s="2">
        <v>45471</v>
      </c>
      <c r="C1067" t="s">
        <v>45</v>
      </c>
      <c r="D1067" t="s">
        <v>46</v>
      </c>
      <c r="E1067" t="s">
        <v>17</v>
      </c>
      <c r="F1067" s="5">
        <v>6</v>
      </c>
      <c r="G1067" s="5">
        <v>1</v>
      </c>
      <c r="H1067" s="5">
        <v>4395</v>
      </c>
      <c r="I1067" s="5">
        <v>1</v>
      </c>
      <c r="J1067" s="5">
        <v>1465</v>
      </c>
      <c r="K1067" t="s">
        <v>18</v>
      </c>
      <c r="L1067" t="s">
        <v>19</v>
      </c>
      <c r="M1067" t="s">
        <v>27</v>
      </c>
      <c r="N1067" t="s">
        <v>70</v>
      </c>
      <c r="O1067" t="s">
        <v>22</v>
      </c>
      <c r="P1067" t="s">
        <v>18</v>
      </c>
      <c r="Q1067">
        <f>Table1[[#This Row],[Course_Fee_AED]]-Table1[[#This Row],[Amount_Paid_AED]]</f>
        <v>2930</v>
      </c>
      <c r="R1067">
        <f>Table1[[#This Row],[Course_Fee_AED]]-Table1[[#This Row],[pending Revenue]]</f>
        <v>1465</v>
      </c>
    </row>
    <row r="1068" spans="1:18" x14ac:dyDescent="0.25">
      <c r="A1068" t="s">
        <v>1145</v>
      </c>
      <c r="B1068" s="2">
        <v>45468</v>
      </c>
      <c r="C1068" t="s">
        <v>92</v>
      </c>
      <c r="D1068" t="s">
        <v>93</v>
      </c>
      <c r="E1068" t="s">
        <v>26</v>
      </c>
      <c r="F1068" s="5">
        <v>3</v>
      </c>
      <c r="G1068" s="5">
        <v>1</v>
      </c>
      <c r="H1068" s="5">
        <v>5153</v>
      </c>
      <c r="I1068" s="5">
        <v>1</v>
      </c>
      <c r="J1068" s="5">
        <v>1717</v>
      </c>
      <c r="K1068" t="s">
        <v>18</v>
      </c>
      <c r="L1068" t="s">
        <v>40</v>
      </c>
      <c r="M1068" t="s">
        <v>20</v>
      </c>
      <c r="N1068" t="s">
        <v>154</v>
      </c>
      <c r="O1068" t="s">
        <v>71</v>
      </c>
      <c r="P1068" t="s">
        <v>36</v>
      </c>
      <c r="Q1068">
        <f>Table1[[#This Row],[Course_Fee_AED]]-Table1[[#This Row],[Amount_Paid_AED]]</f>
        <v>3436</v>
      </c>
      <c r="R1068">
        <f>Table1[[#This Row],[Course_Fee_AED]]-Table1[[#This Row],[pending Revenue]]</f>
        <v>1717</v>
      </c>
    </row>
    <row r="1069" spans="1:18" x14ac:dyDescent="0.25">
      <c r="A1069" t="s">
        <v>1146</v>
      </c>
      <c r="B1069" s="2">
        <v>45371</v>
      </c>
      <c r="C1069" t="s">
        <v>31</v>
      </c>
      <c r="D1069" t="s">
        <v>32</v>
      </c>
      <c r="E1069" t="s">
        <v>17</v>
      </c>
      <c r="F1069" s="5">
        <v>6</v>
      </c>
      <c r="G1069" s="5">
        <v>1</v>
      </c>
      <c r="H1069" s="5">
        <v>6579</v>
      </c>
      <c r="I1069" s="5">
        <v>3</v>
      </c>
      <c r="J1069" s="5">
        <v>6579</v>
      </c>
      <c r="K1069" t="s">
        <v>33</v>
      </c>
      <c r="L1069" t="s">
        <v>57</v>
      </c>
      <c r="M1069" t="s">
        <v>47</v>
      </c>
      <c r="N1069" t="s">
        <v>21</v>
      </c>
      <c r="O1069" t="s">
        <v>35</v>
      </c>
      <c r="P1069" t="s">
        <v>18</v>
      </c>
      <c r="Q1069">
        <f>Table1[[#This Row],[Course_Fee_AED]]-Table1[[#This Row],[Amount_Paid_AED]]</f>
        <v>0</v>
      </c>
      <c r="R1069">
        <f>Table1[[#This Row],[Course_Fee_AED]]-Table1[[#This Row],[pending Revenue]]</f>
        <v>6579</v>
      </c>
    </row>
    <row r="1070" spans="1:18" x14ac:dyDescent="0.25">
      <c r="A1070" t="s">
        <v>1147</v>
      </c>
      <c r="B1070" s="2">
        <v>45321</v>
      </c>
      <c r="C1070" t="s">
        <v>55</v>
      </c>
      <c r="D1070" t="s">
        <v>56</v>
      </c>
      <c r="E1070" t="s">
        <v>26</v>
      </c>
      <c r="F1070" s="5">
        <v>3</v>
      </c>
      <c r="G1070" s="5">
        <v>1</v>
      </c>
      <c r="H1070" s="5">
        <v>10009</v>
      </c>
      <c r="I1070" s="5">
        <v>2</v>
      </c>
      <c r="J1070" s="5">
        <v>6672</v>
      </c>
      <c r="K1070" t="s">
        <v>18</v>
      </c>
      <c r="L1070" t="s">
        <v>19</v>
      </c>
      <c r="M1070" t="s">
        <v>20</v>
      </c>
      <c r="N1070" t="s">
        <v>70</v>
      </c>
      <c r="O1070" t="s">
        <v>64</v>
      </c>
      <c r="P1070" t="s">
        <v>18</v>
      </c>
      <c r="Q1070">
        <f>Table1[[#This Row],[Course_Fee_AED]]-Table1[[#This Row],[Amount_Paid_AED]]</f>
        <v>3337</v>
      </c>
      <c r="R1070">
        <f>Table1[[#This Row],[Course_Fee_AED]]-Table1[[#This Row],[pending Revenue]]</f>
        <v>6672</v>
      </c>
    </row>
    <row r="1071" spans="1:18" x14ac:dyDescent="0.25">
      <c r="A1071" t="s">
        <v>1148</v>
      </c>
      <c r="B1071" s="2">
        <v>45325</v>
      </c>
      <c r="C1071" t="s">
        <v>113</v>
      </c>
      <c r="D1071" t="s">
        <v>93</v>
      </c>
      <c r="E1071" t="s">
        <v>17</v>
      </c>
      <c r="F1071" s="5">
        <v>6</v>
      </c>
      <c r="G1071" s="5">
        <v>1</v>
      </c>
      <c r="H1071" s="5">
        <v>4405</v>
      </c>
      <c r="I1071" s="5">
        <v>2</v>
      </c>
      <c r="J1071" s="5">
        <v>2936</v>
      </c>
      <c r="K1071" t="s">
        <v>18</v>
      </c>
      <c r="L1071" t="s">
        <v>40</v>
      </c>
      <c r="M1071" t="s">
        <v>63</v>
      </c>
      <c r="N1071" t="s">
        <v>73</v>
      </c>
      <c r="O1071" t="s">
        <v>35</v>
      </c>
      <c r="P1071" t="s">
        <v>36</v>
      </c>
      <c r="Q1071">
        <f>Table1[[#This Row],[Course_Fee_AED]]-Table1[[#This Row],[Amount_Paid_AED]]</f>
        <v>1469</v>
      </c>
      <c r="R1071">
        <f>Table1[[#This Row],[Course_Fee_AED]]-Table1[[#This Row],[pending Revenue]]</f>
        <v>2936</v>
      </c>
    </row>
    <row r="1072" spans="1:18" x14ac:dyDescent="0.25">
      <c r="A1072" t="s">
        <v>1149</v>
      </c>
      <c r="B1072" s="2">
        <v>45400</v>
      </c>
      <c r="C1072" t="s">
        <v>31</v>
      </c>
      <c r="D1072" t="s">
        <v>32</v>
      </c>
      <c r="E1072" t="s">
        <v>17</v>
      </c>
      <c r="F1072" s="5">
        <v>6</v>
      </c>
      <c r="G1072" s="5">
        <v>1</v>
      </c>
      <c r="H1072" s="5">
        <v>6292</v>
      </c>
      <c r="I1072" s="5">
        <v>3</v>
      </c>
      <c r="J1072" s="5">
        <v>6291</v>
      </c>
      <c r="K1072" t="s">
        <v>18</v>
      </c>
      <c r="L1072" t="s">
        <v>40</v>
      </c>
      <c r="M1072" t="s">
        <v>60</v>
      </c>
      <c r="N1072" t="s">
        <v>21</v>
      </c>
      <c r="O1072" t="s">
        <v>29</v>
      </c>
      <c r="P1072" t="s">
        <v>18</v>
      </c>
      <c r="Q1072">
        <f>Table1[[#This Row],[Course_Fee_AED]]-Table1[[#This Row],[Amount_Paid_AED]]</f>
        <v>1</v>
      </c>
      <c r="R1072">
        <f>Table1[[#This Row],[Course_Fee_AED]]-Table1[[#This Row],[pending Revenue]]</f>
        <v>6291</v>
      </c>
    </row>
    <row r="1073" spans="1:18" x14ac:dyDescent="0.25">
      <c r="A1073" t="s">
        <v>1150</v>
      </c>
      <c r="B1073" s="2">
        <v>45417</v>
      </c>
      <c r="C1073" t="s">
        <v>15</v>
      </c>
      <c r="D1073" t="s">
        <v>16</v>
      </c>
      <c r="E1073" t="s">
        <v>26</v>
      </c>
      <c r="F1073" s="5">
        <v>3</v>
      </c>
      <c r="G1073" s="5">
        <v>1</v>
      </c>
      <c r="H1073" s="5">
        <v>5550</v>
      </c>
      <c r="I1073" s="5">
        <v>3</v>
      </c>
      <c r="J1073" s="5">
        <v>5550</v>
      </c>
      <c r="K1073" t="s">
        <v>33</v>
      </c>
      <c r="L1073" t="s">
        <v>19</v>
      </c>
      <c r="M1073" t="s">
        <v>20</v>
      </c>
      <c r="N1073" t="s">
        <v>48</v>
      </c>
      <c r="O1073" t="s">
        <v>35</v>
      </c>
      <c r="P1073" t="s">
        <v>18</v>
      </c>
      <c r="Q1073">
        <f>Table1[[#This Row],[Course_Fee_AED]]-Table1[[#This Row],[Amount_Paid_AED]]</f>
        <v>0</v>
      </c>
      <c r="R1073">
        <f>Table1[[#This Row],[Course_Fee_AED]]-Table1[[#This Row],[pending Revenue]]</f>
        <v>5550</v>
      </c>
    </row>
    <row r="1074" spans="1:18" x14ac:dyDescent="0.25">
      <c r="A1074" t="s">
        <v>1151</v>
      </c>
      <c r="B1074" s="2">
        <v>45528</v>
      </c>
      <c r="C1074" t="s">
        <v>55</v>
      </c>
      <c r="D1074" t="s">
        <v>56</v>
      </c>
      <c r="E1074" t="s">
        <v>26</v>
      </c>
      <c r="F1074" s="5">
        <v>3</v>
      </c>
      <c r="G1074" s="5">
        <v>1</v>
      </c>
      <c r="H1074" s="5">
        <v>11900</v>
      </c>
      <c r="I1074" s="5">
        <v>1</v>
      </c>
      <c r="J1074" s="5">
        <v>3966</v>
      </c>
      <c r="K1074" t="s">
        <v>18</v>
      </c>
      <c r="L1074" t="s">
        <v>57</v>
      </c>
      <c r="M1074" t="s">
        <v>41</v>
      </c>
      <c r="N1074" t="s">
        <v>42</v>
      </c>
      <c r="O1074" t="s">
        <v>87</v>
      </c>
      <c r="P1074" t="s">
        <v>18</v>
      </c>
      <c r="Q1074">
        <f>Table1[[#This Row],[Course_Fee_AED]]-Table1[[#This Row],[Amount_Paid_AED]]</f>
        <v>7934</v>
      </c>
      <c r="R1074">
        <f>Table1[[#This Row],[Course_Fee_AED]]-Table1[[#This Row],[pending Revenue]]</f>
        <v>3966</v>
      </c>
    </row>
    <row r="1075" spans="1:18" x14ac:dyDescent="0.25">
      <c r="A1075" t="s">
        <v>1152</v>
      </c>
      <c r="B1075" s="2">
        <v>45533</v>
      </c>
      <c r="C1075" t="s">
        <v>55</v>
      </c>
      <c r="D1075" t="s">
        <v>56</v>
      </c>
      <c r="E1075" t="s">
        <v>26</v>
      </c>
      <c r="F1075" s="5">
        <v>3</v>
      </c>
      <c r="G1075" s="5">
        <v>1</v>
      </c>
      <c r="H1075" s="5">
        <v>7722</v>
      </c>
      <c r="I1075" s="5">
        <v>3</v>
      </c>
      <c r="J1075" s="5">
        <v>7722</v>
      </c>
      <c r="K1075" t="s">
        <v>33</v>
      </c>
      <c r="L1075" t="s">
        <v>19</v>
      </c>
      <c r="M1075" t="s">
        <v>27</v>
      </c>
      <c r="N1075" t="s">
        <v>21</v>
      </c>
      <c r="O1075" t="s">
        <v>35</v>
      </c>
      <c r="P1075" t="s">
        <v>36</v>
      </c>
      <c r="Q1075">
        <f>Table1[[#This Row],[Course_Fee_AED]]-Table1[[#This Row],[Amount_Paid_AED]]</f>
        <v>0</v>
      </c>
      <c r="R1075">
        <f>Table1[[#This Row],[Course_Fee_AED]]-Table1[[#This Row],[pending Revenue]]</f>
        <v>7722</v>
      </c>
    </row>
    <row r="1076" spans="1:18" x14ac:dyDescent="0.25">
      <c r="A1076" t="s">
        <v>1153</v>
      </c>
      <c r="B1076" s="2">
        <v>45412</v>
      </c>
      <c r="C1076" t="s">
        <v>45</v>
      </c>
      <c r="D1076" t="s">
        <v>46</v>
      </c>
      <c r="E1076" t="s">
        <v>26</v>
      </c>
      <c r="F1076" s="5">
        <v>3</v>
      </c>
      <c r="G1076" s="5">
        <v>1</v>
      </c>
      <c r="H1076" s="5">
        <v>4073</v>
      </c>
      <c r="I1076" s="5">
        <v>2</v>
      </c>
      <c r="J1076" s="5">
        <v>2714</v>
      </c>
      <c r="K1076" t="s">
        <v>18</v>
      </c>
      <c r="L1076" t="s">
        <v>19</v>
      </c>
      <c r="M1076" t="s">
        <v>47</v>
      </c>
      <c r="N1076" t="s">
        <v>79</v>
      </c>
      <c r="O1076" t="s">
        <v>58</v>
      </c>
      <c r="P1076" t="s">
        <v>36</v>
      </c>
      <c r="Q1076">
        <f>Table1[[#This Row],[Course_Fee_AED]]-Table1[[#This Row],[Amount_Paid_AED]]</f>
        <v>1359</v>
      </c>
      <c r="R1076">
        <f>Table1[[#This Row],[Course_Fee_AED]]-Table1[[#This Row],[pending Revenue]]</f>
        <v>2714</v>
      </c>
    </row>
    <row r="1077" spans="1:18" x14ac:dyDescent="0.25">
      <c r="A1077" t="s">
        <v>1154</v>
      </c>
      <c r="B1077" s="2">
        <v>45512</v>
      </c>
      <c r="C1077" t="s">
        <v>45</v>
      </c>
      <c r="D1077" t="s">
        <v>46</v>
      </c>
      <c r="E1077" t="s">
        <v>26</v>
      </c>
      <c r="F1077" s="5">
        <v>3</v>
      </c>
      <c r="G1077" s="5">
        <v>1</v>
      </c>
      <c r="H1077" s="5">
        <v>6886</v>
      </c>
      <c r="I1077" s="5">
        <v>1</v>
      </c>
      <c r="J1077" s="5">
        <v>2295</v>
      </c>
      <c r="K1077" t="s">
        <v>18</v>
      </c>
      <c r="L1077" t="s">
        <v>57</v>
      </c>
      <c r="M1077" t="s">
        <v>63</v>
      </c>
      <c r="N1077" t="s">
        <v>21</v>
      </c>
      <c r="O1077" t="s">
        <v>22</v>
      </c>
      <c r="P1077" t="s">
        <v>18</v>
      </c>
      <c r="Q1077">
        <f>Table1[[#This Row],[Course_Fee_AED]]-Table1[[#This Row],[Amount_Paid_AED]]</f>
        <v>4591</v>
      </c>
      <c r="R1077">
        <f>Table1[[#This Row],[Course_Fee_AED]]-Table1[[#This Row],[pending Revenue]]</f>
        <v>2295</v>
      </c>
    </row>
    <row r="1078" spans="1:18" x14ac:dyDescent="0.25">
      <c r="A1078" t="s">
        <v>1155</v>
      </c>
      <c r="B1078" s="2">
        <v>45591</v>
      </c>
      <c r="C1078" t="s">
        <v>38</v>
      </c>
      <c r="D1078" t="s">
        <v>39</v>
      </c>
      <c r="E1078" t="s">
        <v>26</v>
      </c>
      <c r="F1078" s="5">
        <v>3</v>
      </c>
      <c r="G1078" s="5">
        <v>1</v>
      </c>
      <c r="H1078" s="5">
        <v>4123</v>
      </c>
      <c r="I1078" s="5">
        <v>3</v>
      </c>
      <c r="J1078" s="5">
        <v>4122</v>
      </c>
      <c r="K1078" t="s">
        <v>18</v>
      </c>
      <c r="L1078" t="s">
        <v>40</v>
      </c>
      <c r="M1078" t="s">
        <v>60</v>
      </c>
      <c r="N1078" t="s">
        <v>70</v>
      </c>
      <c r="O1078" t="s">
        <v>49</v>
      </c>
      <c r="P1078" t="s">
        <v>36</v>
      </c>
      <c r="Q1078">
        <f>Table1[[#This Row],[Course_Fee_AED]]-Table1[[#This Row],[Amount_Paid_AED]]</f>
        <v>1</v>
      </c>
      <c r="R1078">
        <f>Table1[[#This Row],[Course_Fee_AED]]-Table1[[#This Row],[pending Revenue]]</f>
        <v>4122</v>
      </c>
    </row>
    <row r="1079" spans="1:18" x14ac:dyDescent="0.25">
      <c r="A1079" t="s">
        <v>1156</v>
      </c>
      <c r="B1079" s="2">
        <v>45292</v>
      </c>
      <c r="C1079" t="s">
        <v>113</v>
      </c>
      <c r="D1079" t="s">
        <v>93</v>
      </c>
      <c r="E1079" t="s">
        <v>26</v>
      </c>
      <c r="F1079" s="5">
        <v>3</v>
      </c>
      <c r="G1079" s="5">
        <v>1</v>
      </c>
      <c r="H1079" s="5">
        <v>3109</v>
      </c>
      <c r="I1079" s="5">
        <v>1</v>
      </c>
      <c r="J1079" s="5">
        <v>1036</v>
      </c>
      <c r="K1079" t="s">
        <v>18</v>
      </c>
      <c r="L1079" t="s">
        <v>40</v>
      </c>
      <c r="M1079" t="s">
        <v>47</v>
      </c>
      <c r="N1079" t="s">
        <v>28</v>
      </c>
      <c r="O1079" t="s">
        <v>35</v>
      </c>
      <c r="P1079" t="s">
        <v>18</v>
      </c>
      <c r="Q1079">
        <f>Table1[[#This Row],[Course_Fee_AED]]-Table1[[#This Row],[Amount_Paid_AED]]</f>
        <v>2073</v>
      </c>
      <c r="R1079">
        <f>Table1[[#This Row],[Course_Fee_AED]]-Table1[[#This Row],[pending Revenue]]</f>
        <v>1036</v>
      </c>
    </row>
    <row r="1080" spans="1:18" x14ac:dyDescent="0.25">
      <c r="A1080" t="s">
        <v>1157</v>
      </c>
      <c r="B1080" s="2">
        <v>45539</v>
      </c>
      <c r="C1080" t="s">
        <v>113</v>
      </c>
      <c r="D1080" t="s">
        <v>93</v>
      </c>
      <c r="E1080" t="s">
        <v>26</v>
      </c>
      <c r="F1080" s="5">
        <v>3</v>
      </c>
      <c r="G1080" s="5">
        <v>1</v>
      </c>
      <c r="H1080" s="5">
        <v>4212</v>
      </c>
      <c r="I1080" s="5">
        <v>3</v>
      </c>
      <c r="J1080" s="5">
        <v>4212</v>
      </c>
      <c r="K1080" t="s">
        <v>33</v>
      </c>
      <c r="L1080" t="s">
        <v>19</v>
      </c>
      <c r="M1080" t="s">
        <v>60</v>
      </c>
      <c r="N1080" t="s">
        <v>53</v>
      </c>
      <c r="O1080" t="s">
        <v>35</v>
      </c>
      <c r="P1080" t="s">
        <v>18</v>
      </c>
      <c r="Q1080">
        <f>Table1[[#This Row],[Course_Fee_AED]]-Table1[[#This Row],[Amount_Paid_AED]]</f>
        <v>0</v>
      </c>
      <c r="R1080">
        <f>Table1[[#This Row],[Course_Fee_AED]]-Table1[[#This Row],[pending Revenue]]</f>
        <v>4212</v>
      </c>
    </row>
    <row r="1081" spans="1:18" x14ac:dyDescent="0.25">
      <c r="A1081" t="s">
        <v>1158</v>
      </c>
      <c r="B1081" s="2">
        <v>45306</v>
      </c>
      <c r="C1081" t="s">
        <v>75</v>
      </c>
      <c r="D1081" t="s">
        <v>76</v>
      </c>
      <c r="E1081" t="s">
        <v>26</v>
      </c>
      <c r="F1081" s="5">
        <v>3</v>
      </c>
      <c r="G1081" s="5">
        <v>1</v>
      </c>
      <c r="H1081" s="5">
        <v>8362</v>
      </c>
      <c r="I1081" s="5">
        <v>2</v>
      </c>
      <c r="J1081" s="5">
        <v>5574</v>
      </c>
      <c r="K1081" t="s">
        <v>18</v>
      </c>
      <c r="L1081" t="s">
        <v>57</v>
      </c>
      <c r="M1081" t="s">
        <v>27</v>
      </c>
      <c r="N1081" t="s">
        <v>61</v>
      </c>
      <c r="O1081" t="s">
        <v>68</v>
      </c>
      <c r="P1081" t="s">
        <v>36</v>
      </c>
      <c r="Q1081">
        <f>Table1[[#This Row],[Course_Fee_AED]]-Table1[[#This Row],[Amount_Paid_AED]]</f>
        <v>2788</v>
      </c>
      <c r="R1081">
        <f>Table1[[#This Row],[Course_Fee_AED]]-Table1[[#This Row],[pending Revenue]]</f>
        <v>5574</v>
      </c>
    </row>
    <row r="1082" spans="1:18" x14ac:dyDescent="0.25">
      <c r="A1082" t="s">
        <v>1159</v>
      </c>
      <c r="B1082" s="2">
        <v>45513</v>
      </c>
      <c r="C1082" t="s">
        <v>38</v>
      </c>
      <c r="D1082" t="s">
        <v>39</v>
      </c>
      <c r="E1082" t="s">
        <v>26</v>
      </c>
      <c r="F1082" s="5">
        <v>3</v>
      </c>
      <c r="G1082" s="5">
        <v>1</v>
      </c>
      <c r="H1082" s="5">
        <v>6093</v>
      </c>
      <c r="I1082" s="5">
        <v>3</v>
      </c>
      <c r="J1082" s="5">
        <v>6093</v>
      </c>
      <c r="K1082" t="s">
        <v>33</v>
      </c>
      <c r="L1082" t="s">
        <v>57</v>
      </c>
      <c r="M1082" t="s">
        <v>47</v>
      </c>
      <c r="N1082" t="s">
        <v>154</v>
      </c>
      <c r="O1082" t="s">
        <v>68</v>
      </c>
      <c r="P1082" t="s">
        <v>18</v>
      </c>
      <c r="Q1082">
        <f>Table1[[#This Row],[Course_Fee_AED]]-Table1[[#This Row],[Amount_Paid_AED]]</f>
        <v>0</v>
      </c>
      <c r="R1082">
        <f>Table1[[#This Row],[Course_Fee_AED]]-Table1[[#This Row],[pending Revenue]]</f>
        <v>6093</v>
      </c>
    </row>
    <row r="1083" spans="1:18" x14ac:dyDescent="0.25">
      <c r="A1083" t="s">
        <v>1160</v>
      </c>
      <c r="B1083" s="2">
        <v>45454</v>
      </c>
      <c r="C1083" t="s">
        <v>100</v>
      </c>
      <c r="D1083" t="s">
        <v>101</v>
      </c>
      <c r="E1083" t="s">
        <v>26</v>
      </c>
      <c r="F1083" s="5">
        <v>3</v>
      </c>
      <c r="G1083" s="5">
        <v>1</v>
      </c>
      <c r="H1083" s="5">
        <v>5772</v>
      </c>
      <c r="I1083" s="5">
        <v>2</v>
      </c>
      <c r="J1083" s="5">
        <v>3848</v>
      </c>
      <c r="K1083" t="s">
        <v>18</v>
      </c>
      <c r="L1083" t="s">
        <v>19</v>
      </c>
      <c r="M1083" t="s">
        <v>20</v>
      </c>
      <c r="N1083" t="s">
        <v>86</v>
      </c>
      <c r="O1083" t="s">
        <v>87</v>
      </c>
      <c r="P1083" t="s">
        <v>18</v>
      </c>
      <c r="Q1083">
        <f>Table1[[#This Row],[Course_Fee_AED]]-Table1[[#This Row],[Amount_Paid_AED]]</f>
        <v>1924</v>
      </c>
      <c r="R1083">
        <f>Table1[[#This Row],[Course_Fee_AED]]-Table1[[#This Row],[pending Revenue]]</f>
        <v>3848</v>
      </c>
    </row>
    <row r="1084" spans="1:18" x14ac:dyDescent="0.25">
      <c r="A1084" t="s">
        <v>1161</v>
      </c>
      <c r="B1084" s="2">
        <v>45333</v>
      </c>
      <c r="C1084" t="s">
        <v>24</v>
      </c>
      <c r="D1084" t="s">
        <v>25</v>
      </c>
      <c r="E1084" t="s">
        <v>26</v>
      </c>
      <c r="F1084" s="5">
        <v>3</v>
      </c>
      <c r="G1084" s="5">
        <v>1</v>
      </c>
      <c r="H1084" s="5">
        <v>5682</v>
      </c>
      <c r="I1084" s="5">
        <v>2</v>
      </c>
      <c r="J1084" s="5">
        <v>3788</v>
      </c>
      <c r="K1084" t="s">
        <v>18</v>
      </c>
      <c r="L1084" t="s">
        <v>19</v>
      </c>
      <c r="M1084" t="s">
        <v>27</v>
      </c>
      <c r="N1084" t="s">
        <v>34</v>
      </c>
      <c r="O1084" t="s">
        <v>35</v>
      </c>
      <c r="P1084" t="s">
        <v>18</v>
      </c>
      <c r="Q1084">
        <f>Table1[[#This Row],[Course_Fee_AED]]-Table1[[#This Row],[Amount_Paid_AED]]</f>
        <v>1894</v>
      </c>
      <c r="R1084">
        <f>Table1[[#This Row],[Course_Fee_AED]]-Table1[[#This Row],[pending Revenue]]</f>
        <v>3788</v>
      </c>
    </row>
    <row r="1085" spans="1:18" x14ac:dyDescent="0.25">
      <c r="A1085" t="s">
        <v>1162</v>
      </c>
      <c r="B1085" s="2">
        <v>45446</v>
      </c>
      <c r="C1085" t="s">
        <v>45</v>
      </c>
      <c r="D1085" t="s">
        <v>46</v>
      </c>
      <c r="E1085" t="s">
        <v>17</v>
      </c>
      <c r="F1085" s="5">
        <v>6</v>
      </c>
      <c r="G1085" s="5">
        <v>1</v>
      </c>
      <c r="H1085" s="5">
        <v>5336</v>
      </c>
      <c r="I1085" s="5">
        <v>1</v>
      </c>
      <c r="J1085" s="5">
        <v>1778</v>
      </c>
      <c r="K1085" t="s">
        <v>18</v>
      </c>
      <c r="L1085" t="s">
        <v>19</v>
      </c>
      <c r="M1085" t="s">
        <v>41</v>
      </c>
      <c r="N1085" t="s">
        <v>79</v>
      </c>
      <c r="O1085" t="s">
        <v>58</v>
      </c>
      <c r="P1085" t="s">
        <v>36</v>
      </c>
      <c r="Q1085">
        <f>Table1[[#This Row],[Course_Fee_AED]]-Table1[[#This Row],[Amount_Paid_AED]]</f>
        <v>3558</v>
      </c>
      <c r="R1085">
        <f>Table1[[#This Row],[Course_Fee_AED]]-Table1[[#This Row],[pending Revenue]]</f>
        <v>1778</v>
      </c>
    </row>
    <row r="1086" spans="1:18" x14ac:dyDescent="0.25">
      <c r="A1086" t="s">
        <v>1163</v>
      </c>
      <c r="B1086" s="2">
        <v>45558</v>
      </c>
      <c r="C1086" t="s">
        <v>38</v>
      </c>
      <c r="D1086" t="s">
        <v>39</v>
      </c>
      <c r="E1086" t="s">
        <v>26</v>
      </c>
      <c r="F1086" s="5">
        <v>3</v>
      </c>
      <c r="G1086" s="5">
        <v>1</v>
      </c>
      <c r="H1086" s="5">
        <v>5139</v>
      </c>
      <c r="I1086" s="5">
        <v>3</v>
      </c>
      <c r="J1086" s="5">
        <v>5139</v>
      </c>
      <c r="K1086" t="s">
        <v>33</v>
      </c>
      <c r="L1086" t="s">
        <v>40</v>
      </c>
      <c r="M1086" t="s">
        <v>60</v>
      </c>
      <c r="N1086" t="s">
        <v>48</v>
      </c>
      <c r="O1086" t="s">
        <v>71</v>
      </c>
      <c r="P1086" t="s">
        <v>18</v>
      </c>
      <c r="Q1086">
        <f>Table1[[#This Row],[Course_Fee_AED]]-Table1[[#This Row],[Amount_Paid_AED]]</f>
        <v>0</v>
      </c>
      <c r="R1086">
        <f>Table1[[#This Row],[Course_Fee_AED]]-Table1[[#This Row],[pending Revenue]]</f>
        <v>5139</v>
      </c>
    </row>
    <row r="1087" spans="1:18" x14ac:dyDescent="0.25">
      <c r="A1087" t="s">
        <v>1164</v>
      </c>
      <c r="B1087" s="2">
        <v>45383</v>
      </c>
      <c r="C1087" t="s">
        <v>55</v>
      </c>
      <c r="D1087" t="s">
        <v>56</v>
      </c>
      <c r="E1087" t="s">
        <v>26</v>
      </c>
      <c r="F1087" s="5">
        <v>3</v>
      </c>
      <c r="G1087" s="5">
        <v>1</v>
      </c>
      <c r="H1087" s="5">
        <v>9871</v>
      </c>
      <c r="I1087" s="5">
        <v>3</v>
      </c>
      <c r="J1087" s="5">
        <v>9870</v>
      </c>
      <c r="K1087" t="s">
        <v>18</v>
      </c>
      <c r="L1087" t="s">
        <v>40</v>
      </c>
      <c r="M1087" t="s">
        <v>27</v>
      </c>
      <c r="N1087" t="s">
        <v>70</v>
      </c>
      <c r="O1087" t="s">
        <v>58</v>
      </c>
      <c r="P1087" t="s">
        <v>36</v>
      </c>
      <c r="Q1087">
        <f>Table1[[#This Row],[Course_Fee_AED]]-Table1[[#This Row],[Amount_Paid_AED]]</f>
        <v>1</v>
      </c>
      <c r="R1087">
        <f>Table1[[#This Row],[Course_Fee_AED]]-Table1[[#This Row],[pending Revenue]]</f>
        <v>9870</v>
      </c>
    </row>
    <row r="1088" spans="1:18" x14ac:dyDescent="0.25">
      <c r="A1088" t="s">
        <v>1165</v>
      </c>
      <c r="B1088" s="2">
        <v>45466</v>
      </c>
      <c r="C1088" t="s">
        <v>100</v>
      </c>
      <c r="D1088" t="s">
        <v>101</v>
      </c>
      <c r="E1088" t="s">
        <v>17</v>
      </c>
      <c r="F1088" s="5">
        <v>6</v>
      </c>
      <c r="G1088" s="5">
        <v>1</v>
      </c>
      <c r="H1088" s="5">
        <v>5377</v>
      </c>
      <c r="I1088" s="5">
        <v>1</v>
      </c>
      <c r="J1088" s="5">
        <v>1792</v>
      </c>
      <c r="K1088" t="s">
        <v>18</v>
      </c>
      <c r="L1088" t="s">
        <v>40</v>
      </c>
      <c r="M1088" t="s">
        <v>41</v>
      </c>
      <c r="N1088" t="s">
        <v>90</v>
      </c>
      <c r="O1088" t="s">
        <v>71</v>
      </c>
      <c r="P1088" t="s">
        <v>18</v>
      </c>
      <c r="Q1088">
        <f>Table1[[#This Row],[Course_Fee_AED]]-Table1[[#This Row],[Amount_Paid_AED]]</f>
        <v>3585</v>
      </c>
      <c r="R1088">
        <f>Table1[[#This Row],[Course_Fee_AED]]-Table1[[#This Row],[pending Revenue]]</f>
        <v>1792</v>
      </c>
    </row>
    <row r="1089" spans="1:18" x14ac:dyDescent="0.25">
      <c r="A1089" t="s">
        <v>1166</v>
      </c>
      <c r="B1089" s="2">
        <v>45399</v>
      </c>
      <c r="C1089" t="s">
        <v>106</v>
      </c>
      <c r="D1089" t="s">
        <v>107</v>
      </c>
      <c r="E1089" t="s">
        <v>17</v>
      </c>
      <c r="F1089" s="5">
        <v>6</v>
      </c>
      <c r="G1089" s="5">
        <v>1</v>
      </c>
      <c r="H1089" s="5">
        <v>5269</v>
      </c>
      <c r="I1089" s="5">
        <v>3</v>
      </c>
      <c r="J1089" s="5">
        <v>5268</v>
      </c>
      <c r="K1089" t="s">
        <v>18</v>
      </c>
      <c r="L1089" t="s">
        <v>19</v>
      </c>
      <c r="M1089" t="s">
        <v>63</v>
      </c>
      <c r="N1089" t="s">
        <v>90</v>
      </c>
      <c r="O1089" t="s">
        <v>58</v>
      </c>
      <c r="P1089" t="s">
        <v>36</v>
      </c>
      <c r="Q1089">
        <f>Table1[[#This Row],[Course_Fee_AED]]-Table1[[#This Row],[Amount_Paid_AED]]</f>
        <v>1</v>
      </c>
      <c r="R1089">
        <f>Table1[[#This Row],[Course_Fee_AED]]-Table1[[#This Row],[pending Revenue]]</f>
        <v>5268</v>
      </c>
    </row>
    <row r="1090" spans="1:18" x14ac:dyDescent="0.25">
      <c r="A1090" t="s">
        <v>1167</v>
      </c>
      <c r="B1090" s="2">
        <v>45527</v>
      </c>
      <c r="C1090" t="s">
        <v>75</v>
      </c>
      <c r="D1090" t="s">
        <v>76</v>
      </c>
      <c r="E1090" t="s">
        <v>26</v>
      </c>
      <c r="F1090" s="5">
        <v>3</v>
      </c>
      <c r="G1090" s="5">
        <v>1</v>
      </c>
      <c r="H1090" s="5">
        <v>13424</v>
      </c>
      <c r="I1090" s="5">
        <v>3</v>
      </c>
      <c r="J1090" s="5">
        <v>13422</v>
      </c>
      <c r="K1090" t="s">
        <v>18</v>
      </c>
      <c r="L1090" t="s">
        <v>40</v>
      </c>
      <c r="M1090" t="s">
        <v>60</v>
      </c>
      <c r="N1090" t="s">
        <v>86</v>
      </c>
      <c r="O1090" t="s">
        <v>64</v>
      </c>
      <c r="P1090" t="s">
        <v>36</v>
      </c>
      <c r="Q1090">
        <f>Table1[[#This Row],[Course_Fee_AED]]-Table1[[#This Row],[Amount_Paid_AED]]</f>
        <v>2</v>
      </c>
      <c r="R1090">
        <f>Table1[[#This Row],[Course_Fee_AED]]-Table1[[#This Row],[pending Revenue]]</f>
        <v>13422</v>
      </c>
    </row>
    <row r="1091" spans="1:18" x14ac:dyDescent="0.25">
      <c r="A1091" t="s">
        <v>1168</v>
      </c>
      <c r="B1091" s="2">
        <v>45625</v>
      </c>
      <c r="C1091" t="s">
        <v>31</v>
      </c>
      <c r="D1091" t="s">
        <v>32</v>
      </c>
      <c r="E1091" t="s">
        <v>17</v>
      </c>
      <c r="F1091" s="5">
        <v>6</v>
      </c>
      <c r="G1091" s="5">
        <v>1</v>
      </c>
      <c r="H1091" s="5">
        <v>5353</v>
      </c>
      <c r="I1091" s="5">
        <v>2</v>
      </c>
      <c r="J1091" s="5">
        <v>3568</v>
      </c>
      <c r="K1091" t="s">
        <v>18</v>
      </c>
      <c r="L1091" t="s">
        <v>57</v>
      </c>
      <c r="M1091" t="s">
        <v>20</v>
      </c>
      <c r="N1091" t="s">
        <v>154</v>
      </c>
      <c r="O1091" t="s">
        <v>29</v>
      </c>
      <c r="P1091" t="s">
        <v>36</v>
      </c>
      <c r="Q1091">
        <f>Table1[[#This Row],[Course_Fee_AED]]-Table1[[#This Row],[Amount_Paid_AED]]</f>
        <v>1785</v>
      </c>
      <c r="R1091">
        <f>Table1[[#This Row],[Course_Fee_AED]]-Table1[[#This Row],[pending Revenue]]</f>
        <v>3568</v>
      </c>
    </row>
    <row r="1092" spans="1:18" x14ac:dyDescent="0.25">
      <c r="A1092" t="s">
        <v>1169</v>
      </c>
      <c r="B1092" s="2">
        <v>45586</v>
      </c>
      <c r="C1092" t="s">
        <v>100</v>
      </c>
      <c r="D1092" t="s">
        <v>101</v>
      </c>
      <c r="E1092" t="s">
        <v>17</v>
      </c>
      <c r="F1092" s="5">
        <v>6</v>
      </c>
      <c r="G1092" s="5">
        <v>1</v>
      </c>
      <c r="H1092" s="5">
        <v>4913</v>
      </c>
      <c r="I1092" s="5">
        <v>2</v>
      </c>
      <c r="J1092" s="5">
        <v>3274</v>
      </c>
      <c r="K1092" t="s">
        <v>18</v>
      </c>
      <c r="L1092" t="s">
        <v>40</v>
      </c>
      <c r="M1092" t="s">
        <v>27</v>
      </c>
      <c r="N1092" t="s">
        <v>95</v>
      </c>
      <c r="O1092" t="s">
        <v>58</v>
      </c>
      <c r="P1092" t="s">
        <v>18</v>
      </c>
      <c r="Q1092">
        <f>Table1[[#This Row],[Course_Fee_AED]]-Table1[[#This Row],[Amount_Paid_AED]]</f>
        <v>1639</v>
      </c>
      <c r="R1092">
        <f>Table1[[#This Row],[Course_Fee_AED]]-Table1[[#This Row],[pending Revenue]]</f>
        <v>3274</v>
      </c>
    </row>
    <row r="1093" spans="1:18" x14ac:dyDescent="0.25">
      <c r="A1093" t="s">
        <v>1170</v>
      </c>
      <c r="B1093" s="2">
        <v>45382</v>
      </c>
      <c r="C1093" t="s">
        <v>75</v>
      </c>
      <c r="D1093" t="s">
        <v>76</v>
      </c>
      <c r="E1093" t="s">
        <v>26</v>
      </c>
      <c r="F1093" s="5">
        <v>3</v>
      </c>
      <c r="G1093" s="5">
        <v>1</v>
      </c>
      <c r="H1093" s="5">
        <v>7044</v>
      </c>
      <c r="I1093" s="5">
        <v>1</v>
      </c>
      <c r="J1093" s="5">
        <v>2348</v>
      </c>
      <c r="K1093" t="s">
        <v>18</v>
      </c>
      <c r="L1093" t="s">
        <v>19</v>
      </c>
      <c r="M1093" t="s">
        <v>27</v>
      </c>
      <c r="N1093" t="s">
        <v>28</v>
      </c>
      <c r="O1093" t="s">
        <v>43</v>
      </c>
      <c r="P1093" t="s">
        <v>18</v>
      </c>
      <c r="Q1093">
        <f>Table1[[#This Row],[Course_Fee_AED]]-Table1[[#This Row],[Amount_Paid_AED]]</f>
        <v>4696</v>
      </c>
      <c r="R1093">
        <f>Table1[[#This Row],[Course_Fee_AED]]-Table1[[#This Row],[pending Revenue]]</f>
        <v>2348</v>
      </c>
    </row>
    <row r="1094" spans="1:18" x14ac:dyDescent="0.25">
      <c r="A1094" t="s">
        <v>1171</v>
      </c>
      <c r="B1094" s="2">
        <v>45480</v>
      </c>
      <c r="C1094" t="s">
        <v>24</v>
      </c>
      <c r="D1094" t="s">
        <v>25</v>
      </c>
      <c r="E1094" t="s">
        <v>26</v>
      </c>
      <c r="F1094" s="5">
        <v>3</v>
      </c>
      <c r="G1094" s="5">
        <v>1</v>
      </c>
      <c r="H1094" s="5">
        <v>5531</v>
      </c>
      <c r="I1094" s="5">
        <v>1</v>
      </c>
      <c r="J1094" s="5">
        <v>1843</v>
      </c>
      <c r="K1094" t="s">
        <v>18</v>
      </c>
      <c r="L1094" t="s">
        <v>40</v>
      </c>
      <c r="M1094" t="s">
        <v>60</v>
      </c>
      <c r="N1094" t="s">
        <v>70</v>
      </c>
      <c r="O1094" t="s">
        <v>29</v>
      </c>
      <c r="P1094" t="s">
        <v>36</v>
      </c>
      <c r="Q1094">
        <f>Table1[[#This Row],[Course_Fee_AED]]-Table1[[#This Row],[Amount_Paid_AED]]</f>
        <v>3688</v>
      </c>
      <c r="R1094">
        <f>Table1[[#This Row],[Course_Fee_AED]]-Table1[[#This Row],[pending Revenue]]</f>
        <v>1843</v>
      </c>
    </row>
    <row r="1095" spans="1:18" x14ac:dyDescent="0.25">
      <c r="A1095" t="s">
        <v>1172</v>
      </c>
      <c r="B1095" s="2">
        <v>45571</v>
      </c>
      <c r="C1095" t="s">
        <v>66</v>
      </c>
      <c r="D1095" t="s">
        <v>56</v>
      </c>
      <c r="E1095" t="s">
        <v>26</v>
      </c>
      <c r="F1095" s="5">
        <v>3</v>
      </c>
      <c r="G1095" s="5">
        <v>1</v>
      </c>
      <c r="H1095" s="5">
        <v>11557</v>
      </c>
      <c r="I1095" s="5">
        <v>2</v>
      </c>
      <c r="J1095" s="5">
        <v>7704</v>
      </c>
      <c r="K1095" t="s">
        <v>18</v>
      </c>
      <c r="L1095" t="s">
        <v>57</v>
      </c>
      <c r="M1095" t="s">
        <v>27</v>
      </c>
      <c r="N1095" t="s">
        <v>95</v>
      </c>
      <c r="O1095" t="s">
        <v>22</v>
      </c>
      <c r="P1095" t="s">
        <v>36</v>
      </c>
      <c r="Q1095">
        <f>Table1[[#This Row],[Course_Fee_AED]]-Table1[[#This Row],[Amount_Paid_AED]]</f>
        <v>3853</v>
      </c>
      <c r="R1095">
        <f>Table1[[#This Row],[Course_Fee_AED]]-Table1[[#This Row],[pending Revenue]]</f>
        <v>7704</v>
      </c>
    </row>
    <row r="1096" spans="1:18" x14ac:dyDescent="0.25">
      <c r="A1096" t="s">
        <v>1173</v>
      </c>
      <c r="B1096" s="2">
        <v>45575</v>
      </c>
      <c r="C1096" t="s">
        <v>55</v>
      </c>
      <c r="D1096" t="s">
        <v>56</v>
      </c>
      <c r="E1096" t="s">
        <v>17</v>
      </c>
      <c r="F1096" s="5">
        <v>6</v>
      </c>
      <c r="G1096" s="5">
        <v>1</v>
      </c>
      <c r="H1096" s="5">
        <v>8017</v>
      </c>
      <c r="I1096" s="5">
        <v>1</v>
      </c>
      <c r="J1096" s="5">
        <v>2672</v>
      </c>
      <c r="K1096" t="s">
        <v>18</v>
      </c>
      <c r="L1096" t="s">
        <v>40</v>
      </c>
      <c r="M1096" t="s">
        <v>20</v>
      </c>
      <c r="N1096" t="s">
        <v>116</v>
      </c>
      <c r="O1096" t="s">
        <v>35</v>
      </c>
      <c r="P1096" t="s">
        <v>36</v>
      </c>
      <c r="Q1096">
        <f>Table1[[#This Row],[Course_Fee_AED]]-Table1[[#This Row],[Amount_Paid_AED]]</f>
        <v>5345</v>
      </c>
      <c r="R1096">
        <f>Table1[[#This Row],[Course_Fee_AED]]-Table1[[#This Row],[pending Revenue]]</f>
        <v>2672</v>
      </c>
    </row>
    <row r="1097" spans="1:18" x14ac:dyDescent="0.25">
      <c r="A1097" t="s">
        <v>1174</v>
      </c>
      <c r="B1097" s="2">
        <v>45527</v>
      </c>
      <c r="C1097" t="s">
        <v>31</v>
      </c>
      <c r="D1097" t="s">
        <v>32</v>
      </c>
      <c r="E1097" t="s">
        <v>26</v>
      </c>
      <c r="F1097" s="5">
        <v>3</v>
      </c>
      <c r="G1097" s="5">
        <v>1</v>
      </c>
      <c r="H1097" s="5">
        <v>6694</v>
      </c>
      <c r="I1097" s="5">
        <v>3</v>
      </c>
      <c r="J1097" s="5">
        <v>6693</v>
      </c>
      <c r="K1097" t="s">
        <v>18</v>
      </c>
      <c r="L1097" t="s">
        <v>19</v>
      </c>
      <c r="M1097" t="s">
        <v>27</v>
      </c>
      <c r="N1097" t="s">
        <v>42</v>
      </c>
      <c r="O1097" t="s">
        <v>43</v>
      </c>
      <c r="P1097" t="s">
        <v>18</v>
      </c>
      <c r="Q1097">
        <f>Table1[[#This Row],[Course_Fee_AED]]-Table1[[#This Row],[Amount_Paid_AED]]</f>
        <v>1</v>
      </c>
      <c r="R1097">
        <f>Table1[[#This Row],[Course_Fee_AED]]-Table1[[#This Row],[pending Revenue]]</f>
        <v>6693</v>
      </c>
    </row>
    <row r="1098" spans="1:18" x14ac:dyDescent="0.25">
      <c r="A1098" t="s">
        <v>1175</v>
      </c>
      <c r="B1098" s="2">
        <v>45519</v>
      </c>
      <c r="C1098" t="s">
        <v>15</v>
      </c>
      <c r="D1098" t="s">
        <v>16</v>
      </c>
      <c r="E1098" t="s">
        <v>26</v>
      </c>
      <c r="F1098" s="5">
        <v>3</v>
      </c>
      <c r="G1098" s="5">
        <v>1</v>
      </c>
      <c r="H1098" s="5">
        <v>5823</v>
      </c>
      <c r="I1098" s="5">
        <v>2</v>
      </c>
      <c r="J1098" s="5">
        <v>3882</v>
      </c>
      <c r="K1098" t="s">
        <v>18</v>
      </c>
      <c r="L1098" t="s">
        <v>57</v>
      </c>
      <c r="M1098" t="s">
        <v>63</v>
      </c>
      <c r="N1098" t="s">
        <v>73</v>
      </c>
      <c r="O1098" t="s">
        <v>43</v>
      </c>
      <c r="P1098" t="s">
        <v>36</v>
      </c>
      <c r="Q1098">
        <f>Table1[[#This Row],[Course_Fee_AED]]-Table1[[#This Row],[Amount_Paid_AED]]</f>
        <v>1941</v>
      </c>
      <c r="R1098">
        <f>Table1[[#This Row],[Course_Fee_AED]]-Table1[[#This Row],[pending Revenue]]</f>
        <v>3882</v>
      </c>
    </row>
    <row r="1099" spans="1:18" x14ac:dyDescent="0.25">
      <c r="A1099" t="s">
        <v>1176</v>
      </c>
      <c r="B1099" s="2">
        <v>45412</v>
      </c>
      <c r="C1099" t="s">
        <v>15</v>
      </c>
      <c r="D1099" t="s">
        <v>16</v>
      </c>
      <c r="E1099" t="s">
        <v>17</v>
      </c>
      <c r="F1099" s="5">
        <v>6</v>
      </c>
      <c r="G1099" s="5">
        <v>1</v>
      </c>
      <c r="H1099" s="5">
        <v>6728</v>
      </c>
      <c r="I1099" s="5">
        <v>1</v>
      </c>
      <c r="J1099" s="5">
        <v>2242</v>
      </c>
      <c r="K1099" t="s">
        <v>18</v>
      </c>
      <c r="L1099" t="s">
        <v>19</v>
      </c>
      <c r="M1099" t="s">
        <v>20</v>
      </c>
      <c r="N1099" t="s">
        <v>48</v>
      </c>
      <c r="O1099" t="s">
        <v>64</v>
      </c>
      <c r="P1099" t="s">
        <v>36</v>
      </c>
      <c r="Q1099">
        <f>Table1[[#This Row],[Course_Fee_AED]]-Table1[[#This Row],[Amount_Paid_AED]]</f>
        <v>4486</v>
      </c>
      <c r="R1099">
        <f>Table1[[#This Row],[Course_Fee_AED]]-Table1[[#This Row],[pending Revenue]]</f>
        <v>2242</v>
      </c>
    </row>
    <row r="1100" spans="1:18" x14ac:dyDescent="0.25">
      <c r="A1100" t="s">
        <v>1177</v>
      </c>
      <c r="B1100" s="2">
        <v>45542</v>
      </c>
      <c r="C1100" t="s">
        <v>75</v>
      </c>
      <c r="D1100" t="s">
        <v>76</v>
      </c>
      <c r="E1100" t="s">
        <v>17</v>
      </c>
      <c r="F1100" s="5">
        <v>6</v>
      </c>
      <c r="G1100" s="5">
        <v>1</v>
      </c>
      <c r="H1100" s="5">
        <v>8497</v>
      </c>
      <c r="I1100" s="5">
        <v>2</v>
      </c>
      <c r="J1100" s="5">
        <v>5664</v>
      </c>
      <c r="K1100" t="s">
        <v>18</v>
      </c>
      <c r="L1100" t="s">
        <v>19</v>
      </c>
      <c r="M1100" t="s">
        <v>47</v>
      </c>
      <c r="N1100" t="s">
        <v>90</v>
      </c>
      <c r="O1100" t="s">
        <v>35</v>
      </c>
      <c r="P1100" t="s">
        <v>18</v>
      </c>
      <c r="Q1100">
        <f>Table1[[#This Row],[Course_Fee_AED]]-Table1[[#This Row],[Amount_Paid_AED]]</f>
        <v>2833</v>
      </c>
      <c r="R1100">
        <f>Table1[[#This Row],[Course_Fee_AED]]-Table1[[#This Row],[pending Revenue]]</f>
        <v>5664</v>
      </c>
    </row>
    <row r="1101" spans="1:18" x14ac:dyDescent="0.25">
      <c r="A1101" t="s">
        <v>1178</v>
      </c>
      <c r="B1101" s="2">
        <v>45361</v>
      </c>
      <c r="C1101" t="s">
        <v>51</v>
      </c>
      <c r="D1101" t="s">
        <v>52</v>
      </c>
      <c r="E1101" t="s">
        <v>26</v>
      </c>
      <c r="F1101" s="5">
        <v>3</v>
      </c>
      <c r="G1101" s="5">
        <v>1</v>
      </c>
      <c r="H1101" s="5">
        <v>5465</v>
      </c>
      <c r="I1101" s="5">
        <v>2</v>
      </c>
      <c r="J1101" s="5">
        <v>3642</v>
      </c>
      <c r="K1101" t="s">
        <v>18</v>
      </c>
      <c r="L1101" t="s">
        <v>40</v>
      </c>
      <c r="M1101" t="s">
        <v>60</v>
      </c>
      <c r="N1101" t="s">
        <v>116</v>
      </c>
      <c r="O1101" t="s">
        <v>29</v>
      </c>
      <c r="P1101" t="s">
        <v>18</v>
      </c>
      <c r="Q1101">
        <f>Table1[[#This Row],[Course_Fee_AED]]-Table1[[#This Row],[Amount_Paid_AED]]</f>
        <v>1823</v>
      </c>
      <c r="R1101">
        <f>Table1[[#This Row],[Course_Fee_AED]]-Table1[[#This Row],[pending Revenue]]</f>
        <v>3642</v>
      </c>
    </row>
    <row r="1102" spans="1:18" x14ac:dyDescent="0.25">
      <c r="A1102" t="s">
        <v>1179</v>
      </c>
      <c r="B1102" s="2">
        <v>45373</v>
      </c>
      <c r="C1102" t="s">
        <v>75</v>
      </c>
      <c r="D1102" t="s">
        <v>76</v>
      </c>
      <c r="E1102" t="s">
        <v>17</v>
      </c>
      <c r="F1102" s="5">
        <v>6</v>
      </c>
      <c r="G1102" s="5">
        <v>1</v>
      </c>
      <c r="H1102" s="5">
        <v>10919</v>
      </c>
      <c r="I1102" s="5">
        <v>2</v>
      </c>
      <c r="J1102" s="5">
        <v>7278</v>
      </c>
      <c r="K1102" t="s">
        <v>18</v>
      </c>
      <c r="L1102" t="s">
        <v>19</v>
      </c>
      <c r="M1102" t="s">
        <v>20</v>
      </c>
      <c r="N1102" t="s">
        <v>61</v>
      </c>
      <c r="O1102" t="s">
        <v>22</v>
      </c>
      <c r="P1102" t="s">
        <v>18</v>
      </c>
      <c r="Q1102">
        <f>Table1[[#This Row],[Course_Fee_AED]]-Table1[[#This Row],[Amount_Paid_AED]]</f>
        <v>3641</v>
      </c>
      <c r="R1102">
        <f>Table1[[#This Row],[Course_Fee_AED]]-Table1[[#This Row],[pending Revenue]]</f>
        <v>7278</v>
      </c>
    </row>
    <row r="1103" spans="1:18" x14ac:dyDescent="0.25">
      <c r="A1103" t="s">
        <v>1180</v>
      </c>
      <c r="B1103" s="2">
        <v>45456</v>
      </c>
      <c r="C1103" t="s">
        <v>31</v>
      </c>
      <c r="D1103" t="s">
        <v>32</v>
      </c>
      <c r="E1103" t="s">
        <v>17</v>
      </c>
      <c r="F1103" s="5">
        <v>6</v>
      </c>
      <c r="G1103" s="5">
        <v>1</v>
      </c>
      <c r="H1103" s="5">
        <v>6835</v>
      </c>
      <c r="I1103" s="5">
        <v>1</v>
      </c>
      <c r="J1103" s="5">
        <v>2278</v>
      </c>
      <c r="K1103" t="s">
        <v>18</v>
      </c>
      <c r="L1103" t="s">
        <v>57</v>
      </c>
      <c r="M1103" t="s">
        <v>20</v>
      </c>
      <c r="N1103" t="s">
        <v>28</v>
      </c>
      <c r="O1103" t="s">
        <v>58</v>
      </c>
      <c r="P1103" t="s">
        <v>18</v>
      </c>
      <c r="Q1103">
        <f>Table1[[#This Row],[Course_Fee_AED]]-Table1[[#This Row],[Amount_Paid_AED]]</f>
        <v>4557</v>
      </c>
      <c r="R1103">
        <f>Table1[[#This Row],[Course_Fee_AED]]-Table1[[#This Row],[pending Revenue]]</f>
        <v>2278</v>
      </c>
    </row>
    <row r="1104" spans="1:18" x14ac:dyDescent="0.25">
      <c r="A1104" t="s">
        <v>1181</v>
      </c>
      <c r="B1104" s="2">
        <v>45450</v>
      </c>
      <c r="C1104" t="s">
        <v>113</v>
      </c>
      <c r="D1104" t="s">
        <v>93</v>
      </c>
      <c r="E1104" t="s">
        <v>26</v>
      </c>
      <c r="F1104" s="5">
        <v>3</v>
      </c>
      <c r="G1104" s="5">
        <v>1</v>
      </c>
      <c r="H1104" s="5">
        <v>4792</v>
      </c>
      <c r="I1104" s="5">
        <v>1</v>
      </c>
      <c r="J1104" s="5">
        <v>1597</v>
      </c>
      <c r="K1104" t="s">
        <v>18</v>
      </c>
      <c r="L1104" t="s">
        <v>57</v>
      </c>
      <c r="M1104" t="s">
        <v>27</v>
      </c>
      <c r="N1104" t="s">
        <v>154</v>
      </c>
      <c r="O1104" t="s">
        <v>68</v>
      </c>
      <c r="P1104" t="s">
        <v>36</v>
      </c>
      <c r="Q1104">
        <f>Table1[[#This Row],[Course_Fee_AED]]-Table1[[#This Row],[Amount_Paid_AED]]</f>
        <v>3195</v>
      </c>
      <c r="R1104">
        <f>Table1[[#This Row],[Course_Fee_AED]]-Table1[[#This Row],[pending Revenue]]</f>
        <v>1597</v>
      </c>
    </row>
    <row r="1105" spans="1:18" x14ac:dyDescent="0.25">
      <c r="A1105" t="s">
        <v>1182</v>
      </c>
      <c r="B1105" s="2">
        <v>45362</v>
      </c>
      <c r="C1105" t="s">
        <v>75</v>
      </c>
      <c r="D1105" t="s">
        <v>76</v>
      </c>
      <c r="E1105" t="s">
        <v>17</v>
      </c>
      <c r="F1105" s="5">
        <v>6</v>
      </c>
      <c r="G1105" s="5">
        <v>1</v>
      </c>
      <c r="H1105" s="5">
        <v>7574</v>
      </c>
      <c r="I1105" s="5">
        <v>2</v>
      </c>
      <c r="J1105" s="5">
        <v>5048</v>
      </c>
      <c r="K1105" t="s">
        <v>18</v>
      </c>
      <c r="L1105" t="s">
        <v>40</v>
      </c>
      <c r="M1105" t="s">
        <v>27</v>
      </c>
      <c r="N1105" t="s">
        <v>86</v>
      </c>
      <c r="O1105" t="s">
        <v>35</v>
      </c>
      <c r="P1105" t="s">
        <v>36</v>
      </c>
      <c r="Q1105">
        <f>Table1[[#This Row],[Course_Fee_AED]]-Table1[[#This Row],[Amount_Paid_AED]]</f>
        <v>2526</v>
      </c>
      <c r="R1105">
        <f>Table1[[#This Row],[Course_Fee_AED]]-Table1[[#This Row],[pending Revenue]]</f>
        <v>5048</v>
      </c>
    </row>
    <row r="1106" spans="1:18" x14ac:dyDescent="0.25">
      <c r="A1106" t="s">
        <v>1183</v>
      </c>
      <c r="B1106" s="2">
        <v>45309</v>
      </c>
      <c r="C1106" t="s">
        <v>24</v>
      </c>
      <c r="D1106" t="s">
        <v>25</v>
      </c>
      <c r="E1106" t="s">
        <v>17</v>
      </c>
      <c r="F1106" s="5">
        <v>6</v>
      </c>
      <c r="G1106" s="5">
        <v>1</v>
      </c>
      <c r="H1106" s="5">
        <v>6492</v>
      </c>
      <c r="I1106" s="5">
        <v>2</v>
      </c>
      <c r="J1106" s="5">
        <v>4328</v>
      </c>
      <c r="K1106" t="s">
        <v>18</v>
      </c>
      <c r="L1106" t="s">
        <v>40</v>
      </c>
      <c r="M1106" t="s">
        <v>27</v>
      </c>
      <c r="N1106" t="s">
        <v>21</v>
      </c>
      <c r="O1106" t="s">
        <v>71</v>
      </c>
      <c r="P1106" t="s">
        <v>36</v>
      </c>
      <c r="Q1106">
        <f>Table1[[#This Row],[Course_Fee_AED]]-Table1[[#This Row],[Amount_Paid_AED]]</f>
        <v>2164</v>
      </c>
      <c r="R1106">
        <f>Table1[[#This Row],[Course_Fee_AED]]-Table1[[#This Row],[pending Revenue]]</f>
        <v>4328</v>
      </c>
    </row>
    <row r="1107" spans="1:18" x14ac:dyDescent="0.25">
      <c r="A1107" t="s">
        <v>1184</v>
      </c>
      <c r="B1107" s="2">
        <v>45529</v>
      </c>
      <c r="C1107" t="s">
        <v>15</v>
      </c>
      <c r="D1107" t="s">
        <v>16</v>
      </c>
      <c r="E1107" t="s">
        <v>26</v>
      </c>
      <c r="F1107" s="5">
        <v>3</v>
      </c>
      <c r="G1107" s="5">
        <v>1</v>
      </c>
      <c r="H1107" s="5">
        <v>4924</v>
      </c>
      <c r="I1107" s="5">
        <v>1</v>
      </c>
      <c r="J1107" s="5">
        <v>1641</v>
      </c>
      <c r="K1107" t="s">
        <v>18</v>
      </c>
      <c r="L1107" t="s">
        <v>57</v>
      </c>
      <c r="M1107" t="s">
        <v>60</v>
      </c>
      <c r="N1107" t="s">
        <v>34</v>
      </c>
      <c r="O1107" t="s">
        <v>43</v>
      </c>
      <c r="P1107" t="s">
        <v>18</v>
      </c>
      <c r="Q1107">
        <f>Table1[[#This Row],[Course_Fee_AED]]-Table1[[#This Row],[Amount_Paid_AED]]</f>
        <v>3283</v>
      </c>
      <c r="R1107">
        <f>Table1[[#This Row],[Course_Fee_AED]]-Table1[[#This Row],[pending Revenue]]</f>
        <v>1641</v>
      </c>
    </row>
    <row r="1108" spans="1:18" x14ac:dyDescent="0.25">
      <c r="A1108" t="s">
        <v>1185</v>
      </c>
      <c r="B1108" s="2">
        <v>45336</v>
      </c>
      <c r="C1108" t="s">
        <v>82</v>
      </c>
      <c r="D1108" t="s">
        <v>83</v>
      </c>
      <c r="E1108" t="s">
        <v>26</v>
      </c>
      <c r="F1108" s="5">
        <v>3</v>
      </c>
      <c r="G1108" s="5">
        <v>1</v>
      </c>
      <c r="H1108" s="5">
        <v>13990</v>
      </c>
      <c r="I1108" s="5">
        <v>3</v>
      </c>
      <c r="J1108" s="5">
        <v>13989</v>
      </c>
      <c r="K1108" t="s">
        <v>18</v>
      </c>
      <c r="L1108" t="s">
        <v>19</v>
      </c>
      <c r="M1108" t="s">
        <v>27</v>
      </c>
      <c r="N1108" t="s">
        <v>95</v>
      </c>
      <c r="O1108" t="s">
        <v>49</v>
      </c>
      <c r="P1108" t="s">
        <v>18</v>
      </c>
      <c r="Q1108">
        <f>Table1[[#This Row],[Course_Fee_AED]]-Table1[[#This Row],[Amount_Paid_AED]]</f>
        <v>1</v>
      </c>
      <c r="R1108">
        <f>Table1[[#This Row],[Course_Fee_AED]]-Table1[[#This Row],[pending Revenue]]</f>
        <v>13989</v>
      </c>
    </row>
    <row r="1109" spans="1:18" x14ac:dyDescent="0.25">
      <c r="A1109" t="s">
        <v>1186</v>
      </c>
      <c r="B1109" s="2">
        <v>45496</v>
      </c>
      <c r="C1109" t="s">
        <v>55</v>
      </c>
      <c r="D1109" t="s">
        <v>56</v>
      </c>
      <c r="E1109" t="s">
        <v>26</v>
      </c>
      <c r="F1109" s="5">
        <v>3</v>
      </c>
      <c r="G1109" s="5">
        <v>1</v>
      </c>
      <c r="H1109" s="5">
        <v>7913</v>
      </c>
      <c r="I1109" s="5">
        <v>1</v>
      </c>
      <c r="J1109" s="5">
        <v>2637</v>
      </c>
      <c r="K1109" t="s">
        <v>18</v>
      </c>
      <c r="L1109" t="s">
        <v>40</v>
      </c>
      <c r="M1109" t="s">
        <v>60</v>
      </c>
      <c r="N1109" t="s">
        <v>28</v>
      </c>
      <c r="O1109" t="s">
        <v>29</v>
      </c>
      <c r="P1109" t="s">
        <v>18</v>
      </c>
      <c r="Q1109">
        <f>Table1[[#This Row],[Course_Fee_AED]]-Table1[[#This Row],[Amount_Paid_AED]]</f>
        <v>5276</v>
      </c>
      <c r="R1109">
        <f>Table1[[#This Row],[Course_Fee_AED]]-Table1[[#This Row],[pending Revenue]]</f>
        <v>2637</v>
      </c>
    </row>
    <row r="1110" spans="1:18" x14ac:dyDescent="0.25">
      <c r="A1110" t="s">
        <v>1187</v>
      </c>
      <c r="B1110" s="2">
        <v>45604</v>
      </c>
      <c r="C1110" t="s">
        <v>75</v>
      </c>
      <c r="D1110" t="s">
        <v>76</v>
      </c>
      <c r="E1110" t="s">
        <v>26</v>
      </c>
      <c r="F1110" s="5">
        <v>3</v>
      </c>
      <c r="G1110" s="5">
        <v>1</v>
      </c>
      <c r="H1110" s="5">
        <v>7231</v>
      </c>
      <c r="I1110" s="5">
        <v>1</v>
      </c>
      <c r="J1110" s="5">
        <v>2410</v>
      </c>
      <c r="K1110" t="s">
        <v>18</v>
      </c>
      <c r="L1110" t="s">
        <v>57</v>
      </c>
      <c r="M1110" t="s">
        <v>63</v>
      </c>
      <c r="N1110" t="s">
        <v>86</v>
      </c>
      <c r="O1110" t="s">
        <v>35</v>
      </c>
      <c r="P1110" t="s">
        <v>18</v>
      </c>
      <c r="Q1110">
        <f>Table1[[#This Row],[Course_Fee_AED]]-Table1[[#This Row],[Amount_Paid_AED]]</f>
        <v>4821</v>
      </c>
      <c r="R1110">
        <f>Table1[[#This Row],[Course_Fee_AED]]-Table1[[#This Row],[pending Revenue]]</f>
        <v>2410</v>
      </c>
    </row>
    <row r="1111" spans="1:18" x14ac:dyDescent="0.25">
      <c r="A1111" t="s">
        <v>1188</v>
      </c>
      <c r="B1111" s="2">
        <v>45378</v>
      </c>
      <c r="C1111" t="s">
        <v>113</v>
      </c>
      <c r="D1111" t="s">
        <v>93</v>
      </c>
      <c r="E1111" t="s">
        <v>17</v>
      </c>
      <c r="F1111" s="5">
        <v>6</v>
      </c>
      <c r="G1111" s="5">
        <v>1</v>
      </c>
      <c r="H1111" s="5">
        <v>4235</v>
      </c>
      <c r="I1111" s="5">
        <v>2</v>
      </c>
      <c r="J1111" s="5">
        <v>2822</v>
      </c>
      <c r="K1111" t="s">
        <v>18</v>
      </c>
      <c r="L1111" t="s">
        <v>19</v>
      </c>
      <c r="M1111" t="s">
        <v>60</v>
      </c>
      <c r="N1111" t="s">
        <v>154</v>
      </c>
      <c r="O1111" t="s">
        <v>49</v>
      </c>
      <c r="P1111" t="s">
        <v>18</v>
      </c>
      <c r="Q1111">
        <f>Table1[[#This Row],[Course_Fee_AED]]-Table1[[#This Row],[Amount_Paid_AED]]</f>
        <v>1413</v>
      </c>
      <c r="R1111">
        <f>Table1[[#This Row],[Course_Fee_AED]]-Table1[[#This Row],[pending Revenue]]</f>
        <v>2822</v>
      </c>
    </row>
    <row r="1112" spans="1:18" x14ac:dyDescent="0.25">
      <c r="A1112" t="s">
        <v>1189</v>
      </c>
      <c r="B1112" s="2">
        <v>45638</v>
      </c>
      <c r="C1112" t="s">
        <v>51</v>
      </c>
      <c r="D1112" t="s">
        <v>52</v>
      </c>
      <c r="E1112" t="s">
        <v>17</v>
      </c>
      <c r="F1112" s="5">
        <v>6</v>
      </c>
      <c r="G1112" s="5">
        <v>1</v>
      </c>
      <c r="H1112" s="5">
        <v>4946</v>
      </c>
      <c r="I1112" s="5">
        <v>2</v>
      </c>
      <c r="J1112" s="5">
        <v>3296</v>
      </c>
      <c r="K1112" t="s">
        <v>18</v>
      </c>
      <c r="L1112" t="s">
        <v>19</v>
      </c>
      <c r="M1112" t="s">
        <v>20</v>
      </c>
      <c r="N1112" t="s">
        <v>21</v>
      </c>
      <c r="O1112" t="s">
        <v>49</v>
      </c>
      <c r="P1112" t="s">
        <v>36</v>
      </c>
      <c r="Q1112">
        <f>Table1[[#This Row],[Course_Fee_AED]]-Table1[[#This Row],[Amount_Paid_AED]]</f>
        <v>1650</v>
      </c>
      <c r="R1112">
        <f>Table1[[#This Row],[Course_Fee_AED]]-Table1[[#This Row],[pending Revenue]]</f>
        <v>3296</v>
      </c>
    </row>
    <row r="1113" spans="1:18" x14ac:dyDescent="0.25">
      <c r="A1113" t="s">
        <v>1190</v>
      </c>
      <c r="B1113" s="2">
        <v>45418</v>
      </c>
      <c r="C1113" t="s">
        <v>15</v>
      </c>
      <c r="D1113" t="s">
        <v>16</v>
      </c>
      <c r="E1113" t="s">
        <v>17</v>
      </c>
      <c r="F1113" s="5">
        <v>6</v>
      </c>
      <c r="G1113" s="5">
        <v>1</v>
      </c>
      <c r="H1113" s="5">
        <v>5667</v>
      </c>
      <c r="I1113" s="5">
        <v>2</v>
      </c>
      <c r="J1113" s="5">
        <v>3778</v>
      </c>
      <c r="K1113" t="s">
        <v>18</v>
      </c>
      <c r="L1113" t="s">
        <v>57</v>
      </c>
      <c r="M1113" t="s">
        <v>63</v>
      </c>
      <c r="N1113" t="s">
        <v>90</v>
      </c>
      <c r="O1113" t="s">
        <v>49</v>
      </c>
      <c r="P1113" t="s">
        <v>36</v>
      </c>
      <c r="Q1113">
        <f>Table1[[#This Row],[Course_Fee_AED]]-Table1[[#This Row],[Amount_Paid_AED]]</f>
        <v>1889</v>
      </c>
      <c r="R1113">
        <f>Table1[[#This Row],[Course_Fee_AED]]-Table1[[#This Row],[pending Revenue]]</f>
        <v>3778</v>
      </c>
    </row>
    <row r="1114" spans="1:18" x14ac:dyDescent="0.25">
      <c r="A1114" t="s">
        <v>1191</v>
      </c>
      <c r="B1114" s="2">
        <v>45380</v>
      </c>
      <c r="C1114" t="s">
        <v>45</v>
      </c>
      <c r="D1114" t="s">
        <v>46</v>
      </c>
      <c r="E1114" t="s">
        <v>26</v>
      </c>
      <c r="F1114" s="5">
        <v>3</v>
      </c>
      <c r="G1114" s="5">
        <v>1</v>
      </c>
      <c r="H1114" s="5">
        <v>4513</v>
      </c>
      <c r="I1114" s="5">
        <v>2</v>
      </c>
      <c r="J1114" s="5">
        <v>3008</v>
      </c>
      <c r="K1114" t="s">
        <v>18</v>
      </c>
      <c r="L1114" t="s">
        <v>40</v>
      </c>
      <c r="M1114" t="s">
        <v>41</v>
      </c>
      <c r="N1114" t="s">
        <v>53</v>
      </c>
      <c r="O1114" t="s">
        <v>43</v>
      </c>
      <c r="P1114" t="s">
        <v>36</v>
      </c>
      <c r="Q1114">
        <f>Table1[[#This Row],[Course_Fee_AED]]-Table1[[#This Row],[Amount_Paid_AED]]</f>
        <v>1505</v>
      </c>
      <c r="R1114">
        <f>Table1[[#This Row],[Course_Fee_AED]]-Table1[[#This Row],[pending Revenue]]</f>
        <v>3008</v>
      </c>
    </row>
    <row r="1115" spans="1:18" x14ac:dyDescent="0.25">
      <c r="A1115" t="s">
        <v>1192</v>
      </c>
      <c r="B1115" s="2">
        <v>45433</v>
      </c>
      <c r="C1115" t="s">
        <v>100</v>
      </c>
      <c r="D1115" t="s">
        <v>101</v>
      </c>
      <c r="E1115" t="s">
        <v>17</v>
      </c>
      <c r="F1115" s="5">
        <v>6</v>
      </c>
      <c r="G1115" s="5">
        <v>1</v>
      </c>
      <c r="H1115" s="5">
        <v>4088</v>
      </c>
      <c r="I1115" s="5">
        <v>2</v>
      </c>
      <c r="J1115" s="5">
        <v>2724</v>
      </c>
      <c r="K1115" t="s">
        <v>18</v>
      </c>
      <c r="L1115" t="s">
        <v>57</v>
      </c>
      <c r="M1115" t="s">
        <v>63</v>
      </c>
      <c r="N1115" t="s">
        <v>48</v>
      </c>
      <c r="O1115" t="s">
        <v>35</v>
      </c>
      <c r="P1115" t="s">
        <v>18</v>
      </c>
      <c r="Q1115">
        <f>Table1[[#This Row],[Course_Fee_AED]]-Table1[[#This Row],[Amount_Paid_AED]]</f>
        <v>1364</v>
      </c>
      <c r="R1115">
        <f>Table1[[#This Row],[Course_Fee_AED]]-Table1[[#This Row],[pending Revenue]]</f>
        <v>2724</v>
      </c>
    </row>
    <row r="1116" spans="1:18" x14ac:dyDescent="0.25">
      <c r="A1116" t="s">
        <v>1193</v>
      </c>
      <c r="B1116" s="2">
        <v>45300</v>
      </c>
      <c r="C1116" t="s">
        <v>38</v>
      </c>
      <c r="D1116" t="s">
        <v>39</v>
      </c>
      <c r="E1116" t="s">
        <v>17</v>
      </c>
      <c r="F1116" s="5">
        <v>6</v>
      </c>
      <c r="G1116" s="5">
        <v>1</v>
      </c>
      <c r="H1116" s="5">
        <v>6770</v>
      </c>
      <c r="I1116" s="5">
        <v>2</v>
      </c>
      <c r="J1116" s="5">
        <v>4512</v>
      </c>
      <c r="K1116" t="s">
        <v>18</v>
      </c>
      <c r="L1116" t="s">
        <v>57</v>
      </c>
      <c r="M1116" t="s">
        <v>20</v>
      </c>
      <c r="N1116" t="s">
        <v>116</v>
      </c>
      <c r="O1116" t="s">
        <v>68</v>
      </c>
      <c r="P1116" t="s">
        <v>36</v>
      </c>
      <c r="Q1116">
        <f>Table1[[#This Row],[Course_Fee_AED]]-Table1[[#This Row],[Amount_Paid_AED]]</f>
        <v>2258</v>
      </c>
      <c r="R1116">
        <f>Table1[[#This Row],[Course_Fee_AED]]-Table1[[#This Row],[pending Revenue]]</f>
        <v>4512</v>
      </c>
    </row>
    <row r="1117" spans="1:18" x14ac:dyDescent="0.25">
      <c r="A1117" t="s">
        <v>1194</v>
      </c>
      <c r="B1117" s="2">
        <v>45541</v>
      </c>
      <c r="C1117" t="s">
        <v>38</v>
      </c>
      <c r="D1117" t="s">
        <v>39</v>
      </c>
      <c r="E1117" t="s">
        <v>26</v>
      </c>
      <c r="F1117" s="5">
        <v>3</v>
      </c>
      <c r="G1117" s="5">
        <v>1</v>
      </c>
      <c r="H1117" s="5">
        <v>7448</v>
      </c>
      <c r="I1117" s="5">
        <v>1</v>
      </c>
      <c r="J1117" s="5">
        <v>2482</v>
      </c>
      <c r="K1117" t="s">
        <v>18</v>
      </c>
      <c r="L1117" t="s">
        <v>57</v>
      </c>
      <c r="M1117" t="s">
        <v>60</v>
      </c>
      <c r="N1117" t="s">
        <v>95</v>
      </c>
      <c r="O1117" t="s">
        <v>35</v>
      </c>
      <c r="P1117" t="s">
        <v>36</v>
      </c>
      <c r="Q1117">
        <f>Table1[[#This Row],[Course_Fee_AED]]-Table1[[#This Row],[Amount_Paid_AED]]</f>
        <v>4966</v>
      </c>
      <c r="R1117">
        <f>Table1[[#This Row],[Course_Fee_AED]]-Table1[[#This Row],[pending Revenue]]</f>
        <v>2482</v>
      </c>
    </row>
    <row r="1118" spans="1:18" x14ac:dyDescent="0.25">
      <c r="A1118" t="s">
        <v>1195</v>
      </c>
      <c r="B1118" s="2">
        <v>45463</v>
      </c>
      <c r="C1118" t="s">
        <v>106</v>
      </c>
      <c r="D1118" t="s">
        <v>107</v>
      </c>
      <c r="E1118" t="s">
        <v>26</v>
      </c>
      <c r="F1118" s="5">
        <v>3</v>
      </c>
      <c r="G1118" s="5">
        <v>1</v>
      </c>
      <c r="H1118" s="5">
        <v>6396</v>
      </c>
      <c r="I1118" s="5">
        <v>1</v>
      </c>
      <c r="J1118" s="5">
        <v>2132</v>
      </c>
      <c r="K1118" t="s">
        <v>18</v>
      </c>
      <c r="L1118" t="s">
        <v>57</v>
      </c>
      <c r="M1118" t="s">
        <v>20</v>
      </c>
      <c r="N1118" t="s">
        <v>42</v>
      </c>
      <c r="O1118" t="s">
        <v>58</v>
      </c>
      <c r="P1118" t="s">
        <v>36</v>
      </c>
      <c r="Q1118">
        <f>Table1[[#This Row],[Course_Fee_AED]]-Table1[[#This Row],[Amount_Paid_AED]]</f>
        <v>4264</v>
      </c>
      <c r="R1118">
        <f>Table1[[#This Row],[Course_Fee_AED]]-Table1[[#This Row],[pending Revenue]]</f>
        <v>2132</v>
      </c>
    </row>
    <row r="1119" spans="1:18" x14ac:dyDescent="0.25">
      <c r="A1119" t="s">
        <v>1196</v>
      </c>
      <c r="B1119" s="2">
        <v>45521</v>
      </c>
      <c r="C1119" t="s">
        <v>106</v>
      </c>
      <c r="D1119" t="s">
        <v>107</v>
      </c>
      <c r="E1119" t="s">
        <v>26</v>
      </c>
      <c r="F1119" s="5">
        <v>3</v>
      </c>
      <c r="G1119" s="5">
        <v>1</v>
      </c>
      <c r="H1119" s="5">
        <v>5541</v>
      </c>
      <c r="I1119" s="5">
        <v>1</v>
      </c>
      <c r="J1119" s="5">
        <v>1847</v>
      </c>
      <c r="K1119" t="s">
        <v>18</v>
      </c>
      <c r="L1119" t="s">
        <v>57</v>
      </c>
      <c r="M1119" t="s">
        <v>27</v>
      </c>
      <c r="N1119" t="s">
        <v>70</v>
      </c>
      <c r="O1119" t="s">
        <v>35</v>
      </c>
      <c r="P1119" t="s">
        <v>18</v>
      </c>
      <c r="Q1119">
        <f>Table1[[#This Row],[Course_Fee_AED]]-Table1[[#This Row],[Amount_Paid_AED]]</f>
        <v>3694</v>
      </c>
      <c r="R1119">
        <f>Table1[[#This Row],[Course_Fee_AED]]-Table1[[#This Row],[pending Revenue]]</f>
        <v>1847</v>
      </c>
    </row>
    <row r="1120" spans="1:18" x14ac:dyDescent="0.25">
      <c r="A1120" t="s">
        <v>1197</v>
      </c>
      <c r="B1120" s="2">
        <v>45601</v>
      </c>
      <c r="C1120" t="s">
        <v>106</v>
      </c>
      <c r="D1120" t="s">
        <v>107</v>
      </c>
      <c r="E1120" t="s">
        <v>26</v>
      </c>
      <c r="F1120" s="5">
        <v>3</v>
      </c>
      <c r="G1120" s="5">
        <v>1</v>
      </c>
      <c r="H1120" s="5">
        <v>5780</v>
      </c>
      <c r="I1120" s="5">
        <v>2</v>
      </c>
      <c r="J1120" s="5">
        <v>3852</v>
      </c>
      <c r="K1120" t="s">
        <v>18</v>
      </c>
      <c r="L1120" t="s">
        <v>19</v>
      </c>
      <c r="M1120" t="s">
        <v>60</v>
      </c>
      <c r="N1120" t="s">
        <v>73</v>
      </c>
      <c r="O1120" t="s">
        <v>58</v>
      </c>
      <c r="P1120" t="s">
        <v>36</v>
      </c>
      <c r="Q1120">
        <f>Table1[[#This Row],[Course_Fee_AED]]-Table1[[#This Row],[Amount_Paid_AED]]</f>
        <v>1928</v>
      </c>
      <c r="R1120">
        <f>Table1[[#This Row],[Course_Fee_AED]]-Table1[[#This Row],[pending Revenue]]</f>
        <v>3852</v>
      </c>
    </row>
    <row r="1121" spans="1:18" x14ac:dyDescent="0.25">
      <c r="A1121" t="s">
        <v>1198</v>
      </c>
      <c r="B1121" s="2">
        <v>45584</v>
      </c>
      <c r="C1121" t="s">
        <v>106</v>
      </c>
      <c r="D1121" t="s">
        <v>107</v>
      </c>
      <c r="E1121" t="s">
        <v>26</v>
      </c>
      <c r="F1121" s="5">
        <v>3</v>
      </c>
      <c r="G1121" s="5">
        <v>1</v>
      </c>
      <c r="H1121" s="5">
        <v>8235</v>
      </c>
      <c r="I1121" s="5">
        <v>1</v>
      </c>
      <c r="J1121" s="5">
        <v>2745</v>
      </c>
      <c r="K1121" t="s">
        <v>18</v>
      </c>
      <c r="L1121" t="s">
        <v>40</v>
      </c>
      <c r="M1121" t="s">
        <v>20</v>
      </c>
      <c r="N1121" t="s">
        <v>95</v>
      </c>
      <c r="O1121" t="s">
        <v>43</v>
      </c>
      <c r="P1121" t="s">
        <v>18</v>
      </c>
      <c r="Q1121">
        <f>Table1[[#This Row],[Course_Fee_AED]]-Table1[[#This Row],[Amount_Paid_AED]]</f>
        <v>5490</v>
      </c>
      <c r="R1121">
        <f>Table1[[#This Row],[Course_Fee_AED]]-Table1[[#This Row],[pending Revenue]]</f>
        <v>2745</v>
      </c>
    </row>
    <row r="1122" spans="1:18" x14ac:dyDescent="0.25">
      <c r="A1122" t="s">
        <v>1199</v>
      </c>
      <c r="B1122" s="2">
        <v>45401</v>
      </c>
      <c r="C1122" t="s">
        <v>24</v>
      </c>
      <c r="D1122" t="s">
        <v>25</v>
      </c>
      <c r="E1122" t="s">
        <v>26</v>
      </c>
      <c r="F1122" s="5">
        <v>3</v>
      </c>
      <c r="G1122" s="5">
        <v>1</v>
      </c>
      <c r="H1122" s="5">
        <v>6282</v>
      </c>
      <c r="I1122" s="5">
        <v>1</v>
      </c>
      <c r="J1122" s="5">
        <v>2094</v>
      </c>
      <c r="K1122" t="s">
        <v>18</v>
      </c>
      <c r="L1122" t="s">
        <v>57</v>
      </c>
      <c r="M1122" t="s">
        <v>27</v>
      </c>
      <c r="N1122" t="s">
        <v>42</v>
      </c>
      <c r="O1122" t="s">
        <v>68</v>
      </c>
      <c r="P1122" t="s">
        <v>18</v>
      </c>
      <c r="Q1122">
        <f>Table1[[#This Row],[Course_Fee_AED]]-Table1[[#This Row],[Amount_Paid_AED]]</f>
        <v>4188</v>
      </c>
      <c r="R1122">
        <f>Table1[[#This Row],[Course_Fee_AED]]-Table1[[#This Row],[pending Revenue]]</f>
        <v>2094</v>
      </c>
    </row>
    <row r="1123" spans="1:18" x14ac:dyDescent="0.25">
      <c r="A1123" t="s">
        <v>1200</v>
      </c>
      <c r="B1123" s="2">
        <v>45414</v>
      </c>
      <c r="C1123" t="s">
        <v>113</v>
      </c>
      <c r="D1123" t="s">
        <v>93</v>
      </c>
      <c r="E1123" t="s">
        <v>17</v>
      </c>
      <c r="F1123" s="5">
        <v>6</v>
      </c>
      <c r="G1123" s="5">
        <v>1</v>
      </c>
      <c r="H1123" s="5">
        <v>3472</v>
      </c>
      <c r="I1123" s="5">
        <v>3</v>
      </c>
      <c r="J1123" s="5">
        <v>3471</v>
      </c>
      <c r="K1123" t="s">
        <v>18</v>
      </c>
      <c r="L1123" t="s">
        <v>40</v>
      </c>
      <c r="M1123" t="s">
        <v>63</v>
      </c>
      <c r="N1123" t="s">
        <v>90</v>
      </c>
      <c r="O1123" t="s">
        <v>49</v>
      </c>
      <c r="P1123" t="s">
        <v>18</v>
      </c>
      <c r="Q1123">
        <f>Table1[[#This Row],[Course_Fee_AED]]-Table1[[#This Row],[Amount_Paid_AED]]</f>
        <v>1</v>
      </c>
      <c r="R1123">
        <f>Table1[[#This Row],[Course_Fee_AED]]-Table1[[#This Row],[pending Revenue]]</f>
        <v>3471</v>
      </c>
    </row>
    <row r="1124" spans="1:18" x14ac:dyDescent="0.25">
      <c r="A1124" t="s">
        <v>1201</v>
      </c>
      <c r="B1124" s="2">
        <v>45338</v>
      </c>
      <c r="C1124" t="s">
        <v>75</v>
      </c>
      <c r="D1124" t="s">
        <v>76</v>
      </c>
      <c r="E1124" t="s">
        <v>26</v>
      </c>
      <c r="F1124" s="5">
        <v>3</v>
      </c>
      <c r="G1124" s="5">
        <v>1</v>
      </c>
      <c r="H1124" s="5">
        <v>9854</v>
      </c>
      <c r="I1124" s="5">
        <v>1</v>
      </c>
      <c r="J1124" s="5">
        <v>3284</v>
      </c>
      <c r="K1124" t="s">
        <v>18</v>
      </c>
      <c r="L1124" t="s">
        <v>19</v>
      </c>
      <c r="M1124" t="s">
        <v>41</v>
      </c>
      <c r="N1124" t="s">
        <v>86</v>
      </c>
      <c r="O1124" t="s">
        <v>29</v>
      </c>
      <c r="P1124" t="s">
        <v>18</v>
      </c>
      <c r="Q1124">
        <f>Table1[[#This Row],[Course_Fee_AED]]-Table1[[#This Row],[Amount_Paid_AED]]</f>
        <v>6570</v>
      </c>
      <c r="R1124">
        <f>Table1[[#This Row],[Course_Fee_AED]]-Table1[[#This Row],[pending Revenue]]</f>
        <v>3284</v>
      </c>
    </row>
    <row r="1125" spans="1:18" x14ac:dyDescent="0.25">
      <c r="A1125" t="s">
        <v>1202</v>
      </c>
      <c r="B1125" s="2">
        <v>45298</v>
      </c>
      <c r="C1125" t="s">
        <v>106</v>
      </c>
      <c r="D1125" t="s">
        <v>107</v>
      </c>
      <c r="E1125" t="s">
        <v>26</v>
      </c>
      <c r="F1125" s="5">
        <v>3</v>
      </c>
      <c r="G1125" s="5">
        <v>1</v>
      </c>
      <c r="H1125" s="5">
        <v>7242</v>
      </c>
      <c r="I1125" s="5">
        <v>1</v>
      </c>
      <c r="J1125" s="5">
        <v>2414</v>
      </c>
      <c r="K1125" t="s">
        <v>18</v>
      </c>
      <c r="L1125" t="s">
        <v>19</v>
      </c>
      <c r="M1125" t="s">
        <v>47</v>
      </c>
      <c r="N1125" t="s">
        <v>42</v>
      </c>
      <c r="O1125" t="s">
        <v>68</v>
      </c>
      <c r="P1125" t="s">
        <v>18</v>
      </c>
      <c r="Q1125">
        <f>Table1[[#This Row],[Course_Fee_AED]]-Table1[[#This Row],[Amount_Paid_AED]]</f>
        <v>4828</v>
      </c>
      <c r="R1125">
        <f>Table1[[#This Row],[Course_Fee_AED]]-Table1[[#This Row],[pending Revenue]]</f>
        <v>2414</v>
      </c>
    </row>
    <row r="1126" spans="1:18" x14ac:dyDescent="0.25">
      <c r="A1126" t="s">
        <v>1203</v>
      </c>
      <c r="B1126" s="2">
        <v>45292</v>
      </c>
      <c r="C1126" t="s">
        <v>24</v>
      </c>
      <c r="D1126" t="s">
        <v>25</v>
      </c>
      <c r="E1126" t="s">
        <v>17</v>
      </c>
      <c r="F1126" s="5">
        <v>6</v>
      </c>
      <c r="G1126" s="5">
        <v>1</v>
      </c>
      <c r="H1126" s="5">
        <v>4522</v>
      </c>
      <c r="I1126" s="5">
        <v>3</v>
      </c>
      <c r="J1126" s="5">
        <v>4521</v>
      </c>
      <c r="K1126" t="s">
        <v>18</v>
      </c>
      <c r="L1126" t="s">
        <v>57</v>
      </c>
      <c r="M1126" t="s">
        <v>47</v>
      </c>
      <c r="N1126" t="s">
        <v>86</v>
      </c>
      <c r="O1126" t="s">
        <v>22</v>
      </c>
      <c r="P1126" t="s">
        <v>18</v>
      </c>
      <c r="Q1126">
        <f>Table1[[#This Row],[Course_Fee_AED]]-Table1[[#This Row],[Amount_Paid_AED]]</f>
        <v>1</v>
      </c>
      <c r="R1126">
        <f>Table1[[#This Row],[Course_Fee_AED]]-Table1[[#This Row],[pending Revenue]]</f>
        <v>4521</v>
      </c>
    </row>
    <row r="1127" spans="1:18" x14ac:dyDescent="0.25">
      <c r="A1127" t="s">
        <v>1204</v>
      </c>
      <c r="B1127" s="2">
        <v>45520</v>
      </c>
      <c r="C1127" t="s">
        <v>113</v>
      </c>
      <c r="D1127" t="s">
        <v>93</v>
      </c>
      <c r="E1127" t="s">
        <v>26</v>
      </c>
      <c r="F1127" s="5">
        <v>3</v>
      </c>
      <c r="G1127" s="5">
        <v>1</v>
      </c>
      <c r="H1127" s="5">
        <v>3308</v>
      </c>
      <c r="I1127" s="5">
        <v>2</v>
      </c>
      <c r="J1127" s="5">
        <v>2204</v>
      </c>
      <c r="K1127" t="s">
        <v>18</v>
      </c>
      <c r="L1127" t="s">
        <v>19</v>
      </c>
      <c r="M1127" t="s">
        <v>27</v>
      </c>
      <c r="N1127" t="s">
        <v>79</v>
      </c>
      <c r="O1127" t="s">
        <v>35</v>
      </c>
      <c r="P1127" t="s">
        <v>18</v>
      </c>
      <c r="Q1127">
        <f>Table1[[#This Row],[Course_Fee_AED]]-Table1[[#This Row],[Amount_Paid_AED]]</f>
        <v>1104</v>
      </c>
      <c r="R1127">
        <f>Table1[[#This Row],[Course_Fee_AED]]-Table1[[#This Row],[pending Revenue]]</f>
        <v>2204</v>
      </c>
    </row>
    <row r="1128" spans="1:18" x14ac:dyDescent="0.25">
      <c r="A1128" t="s">
        <v>1205</v>
      </c>
      <c r="B1128" s="2">
        <v>45552</v>
      </c>
      <c r="C1128" t="s">
        <v>38</v>
      </c>
      <c r="D1128" t="s">
        <v>39</v>
      </c>
      <c r="E1128" t="s">
        <v>26</v>
      </c>
      <c r="F1128" s="5">
        <v>3</v>
      </c>
      <c r="G1128" s="5">
        <v>1</v>
      </c>
      <c r="H1128" s="5">
        <v>6607</v>
      </c>
      <c r="I1128" s="5">
        <v>1</v>
      </c>
      <c r="J1128" s="5">
        <v>2202</v>
      </c>
      <c r="K1128" t="s">
        <v>18</v>
      </c>
      <c r="L1128" t="s">
        <v>57</v>
      </c>
      <c r="M1128" t="s">
        <v>47</v>
      </c>
      <c r="N1128" t="s">
        <v>48</v>
      </c>
      <c r="O1128" t="s">
        <v>64</v>
      </c>
      <c r="P1128" t="s">
        <v>18</v>
      </c>
      <c r="Q1128">
        <f>Table1[[#This Row],[Course_Fee_AED]]-Table1[[#This Row],[Amount_Paid_AED]]</f>
        <v>4405</v>
      </c>
      <c r="R1128">
        <f>Table1[[#This Row],[Course_Fee_AED]]-Table1[[#This Row],[pending Revenue]]</f>
        <v>2202</v>
      </c>
    </row>
    <row r="1129" spans="1:18" x14ac:dyDescent="0.25">
      <c r="A1129" t="s">
        <v>1206</v>
      </c>
      <c r="B1129" s="2">
        <v>45309</v>
      </c>
      <c r="C1129" t="s">
        <v>92</v>
      </c>
      <c r="D1129" t="s">
        <v>93</v>
      </c>
      <c r="E1129" t="s">
        <v>17</v>
      </c>
      <c r="F1129" s="5">
        <v>6</v>
      </c>
      <c r="G1129" s="5">
        <v>1</v>
      </c>
      <c r="H1129" s="5">
        <v>7356</v>
      </c>
      <c r="I1129" s="5">
        <v>3</v>
      </c>
      <c r="J1129" s="5">
        <v>7356</v>
      </c>
      <c r="K1129" t="s">
        <v>33</v>
      </c>
      <c r="L1129" t="s">
        <v>57</v>
      </c>
      <c r="M1129" t="s">
        <v>27</v>
      </c>
      <c r="N1129" t="s">
        <v>48</v>
      </c>
      <c r="O1129" t="s">
        <v>29</v>
      </c>
      <c r="P1129" t="s">
        <v>18</v>
      </c>
      <c r="Q1129">
        <f>Table1[[#This Row],[Course_Fee_AED]]-Table1[[#This Row],[Amount_Paid_AED]]</f>
        <v>0</v>
      </c>
      <c r="R1129">
        <f>Table1[[#This Row],[Course_Fee_AED]]-Table1[[#This Row],[pending Revenue]]</f>
        <v>7356</v>
      </c>
    </row>
    <row r="1130" spans="1:18" x14ac:dyDescent="0.25">
      <c r="A1130" t="s">
        <v>1207</v>
      </c>
      <c r="B1130" s="2">
        <v>45434</v>
      </c>
      <c r="C1130" t="s">
        <v>24</v>
      </c>
      <c r="D1130" t="s">
        <v>25</v>
      </c>
      <c r="E1130" t="s">
        <v>17</v>
      </c>
      <c r="F1130" s="5">
        <v>6</v>
      </c>
      <c r="G1130" s="5">
        <v>1</v>
      </c>
      <c r="H1130" s="5">
        <v>5638</v>
      </c>
      <c r="I1130" s="5">
        <v>2</v>
      </c>
      <c r="J1130" s="5">
        <v>3758</v>
      </c>
      <c r="K1130" t="s">
        <v>18</v>
      </c>
      <c r="L1130" t="s">
        <v>40</v>
      </c>
      <c r="M1130" t="s">
        <v>27</v>
      </c>
      <c r="N1130" t="s">
        <v>86</v>
      </c>
      <c r="O1130" t="s">
        <v>35</v>
      </c>
      <c r="P1130" t="s">
        <v>18</v>
      </c>
      <c r="Q1130">
        <f>Table1[[#This Row],[Course_Fee_AED]]-Table1[[#This Row],[Amount_Paid_AED]]</f>
        <v>1880</v>
      </c>
      <c r="R1130">
        <f>Table1[[#This Row],[Course_Fee_AED]]-Table1[[#This Row],[pending Revenue]]</f>
        <v>3758</v>
      </c>
    </row>
    <row r="1131" spans="1:18" x14ac:dyDescent="0.25">
      <c r="A1131" t="s">
        <v>1208</v>
      </c>
      <c r="B1131" s="2">
        <v>45572</v>
      </c>
      <c r="C1131" t="s">
        <v>75</v>
      </c>
      <c r="D1131" t="s">
        <v>76</v>
      </c>
      <c r="E1131" t="s">
        <v>26</v>
      </c>
      <c r="F1131" s="5">
        <v>3</v>
      </c>
      <c r="G1131" s="5">
        <v>1</v>
      </c>
      <c r="H1131" s="5">
        <v>9006</v>
      </c>
      <c r="I1131" s="5">
        <v>3</v>
      </c>
      <c r="J1131" s="5">
        <v>9006</v>
      </c>
      <c r="K1131" t="s">
        <v>33</v>
      </c>
      <c r="L1131" t="s">
        <v>19</v>
      </c>
      <c r="M1131" t="s">
        <v>27</v>
      </c>
      <c r="N1131" t="s">
        <v>95</v>
      </c>
      <c r="O1131" t="s">
        <v>43</v>
      </c>
      <c r="P1131" t="s">
        <v>36</v>
      </c>
      <c r="Q1131">
        <f>Table1[[#This Row],[Course_Fee_AED]]-Table1[[#This Row],[Amount_Paid_AED]]</f>
        <v>0</v>
      </c>
      <c r="R1131">
        <f>Table1[[#This Row],[Course_Fee_AED]]-Table1[[#This Row],[pending Revenue]]</f>
        <v>9006</v>
      </c>
    </row>
    <row r="1132" spans="1:18" x14ac:dyDescent="0.25">
      <c r="A1132" t="s">
        <v>1209</v>
      </c>
      <c r="B1132" s="2">
        <v>45301</v>
      </c>
      <c r="C1132" t="s">
        <v>24</v>
      </c>
      <c r="D1132" t="s">
        <v>25</v>
      </c>
      <c r="E1132" t="s">
        <v>17</v>
      </c>
      <c r="F1132" s="5">
        <v>6</v>
      </c>
      <c r="G1132" s="5">
        <v>1</v>
      </c>
      <c r="H1132" s="5">
        <v>6753</v>
      </c>
      <c r="I1132" s="5">
        <v>2</v>
      </c>
      <c r="J1132" s="5">
        <v>4502</v>
      </c>
      <c r="K1132" t="s">
        <v>18</v>
      </c>
      <c r="L1132" t="s">
        <v>57</v>
      </c>
      <c r="M1132" t="s">
        <v>47</v>
      </c>
      <c r="N1132" t="s">
        <v>79</v>
      </c>
      <c r="O1132" t="s">
        <v>35</v>
      </c>
      <c r="P1132" t="s">
        <v>36</v>
      </c>
      <c r="Q1132">
        <f>Table1[[#This Row],[Course_Fee_AED]]-Table1[[#This Row],[Amount_Paid_AED]]</f>
        <v>2251</v>
      </c>
      <c r="R1132">
        <f>Table1[[#This Row],[Course_Fee_AED]]-Table1[[#This Row],[pending Revenue]]</f>
        <v>4502</v>
      </c>
    </row>
    <row r="1133" spans="1:18" x14ac:dyDescent="0.25">
      <c r="A1133" t="s">
        <v>1210</v>
      </c>
      <c r="B1133" s="2">
        <v>45449</v>
      </c>
      <c r="C1133" t="s">
        <v>66</v>
      </c>
      <c r="D1133" t="s">
        <v>56</v>
      </c>
      <c r="E1133" t="s">
        <v>17</v>
      </c>
      <c r="F1133" s="5">
        <v>6</v>
      </c>
      <c r="G1133" s="5">
        <v>1</v>
      </c>
      <c r="H1133" s="5">
        <v>7380</v>
      </c>
      <c r="I1133" s="5">
        <v>2</v>
      </c>
      <c r="J1133" s="5">
        <v>4920</v>
      </c>
      <c r="K1133" t="s">
        <v>18</v>
      </c>
      <c r="L1133" t="s">
        <v>40</v>
      </c>
      <c r="M1133" t="s">
        <v>60</v>
      </c>
      <c r="N1133" t="s">
        <v>90</v>
      </c>
      <c r="O1133" t="s">
        <v>71</v>
      </c>
      <c r="P1133" t="s">
        <v>36</v>
      </c>
      <c r="Q1133">
        <f>Table1[[#This Row],[Course_Fee_AED]]-Table1[[#This Row],[Amount_Paid_AED]]</f>
        <v>2460</v>
      </c>
      <c r="R1133">
        <f>Table1[[#This Row],[Course_Fee_AED]]-Table1[[#This Row],[pending Revenue]]</f>
        <v>4920</v>
      </c>
    </row>
    <row r="1134" spans="1:18" x14ac:dyDescent="0.25">
      <c r="A1134" t="s">
        <v>1211</v>
      </c>
      <c r="B1134" s="2">
        <v>45411</v>
      </c>
      <c r="C1134" t="s">
        <v>82</v>
      </c>
      <c r="D1134" t="s">
        <v>83</v>
      </c>
      <c r="E1134" t="s">
        <v>26</v>
      </c>
      <c r="F1134" s="5">
        <v>3</v>
      </c>
      <c r="G1134" s="5">
        <v>1</v>
      </c>
      <c r="H1134" s="5">
        <v>14903</v>
      </c>
      <c r="I1134" s="5">
        <v>1</v>
      </c>
      <c r="J1134" s="5">
        <v>4967</v>
      </c>
      <c r="K1134" t="s">
        <v>18</v>
      </c>
      <c r="L1134" t="s">
        <v>40</v>
      </c>
      <c r="M1134" t="s">
        <v>27</v>
      </c>
      <c r="N1134" t="s">
        <v>154</v>
      </c>
      <c r="O1134" t="s">
        <v>22</v>
      </c>
      <c r="P1134" t="s">
        <v>18</v>
      </c>
      <c r="Q1134">
        <f>Table1[[#This Row],[Course_Fee_AED]]-Table1[[#This Row],[Amount_Paid_AED]]</f>
        <v>9936</v>
      </c>
      <c r="R1134">
        <f>Table1[[#This Row],[Course_Fee_AED]]-Table1[[#This Row],[pending Revenue]]</f>
        <v>4967</v>
      </c>
    </row>
    <row r="1135" spans="1:18" x14ac:dyDescent="0.25">
      <c r="A1135" t="s">
        <v>1212</v>
      </c>
      <c r="B1135" s="2">
        <v>45569</v>
      </c>
      <c r="C1135" t="s">
        <v>66</v>
      </c>
      <c r="D1135" t="s">
        <v>56</v>
      </c>
      <c r="E1135" t="s">
        <v>26</v>
      </c>
      <c r="F1135" s="5">
        <v>3</v>
      </c>
      <c r="G1135" s="5">
        <v>1</v>
      </c>
      <c r="H1135" s="5">
        <v>11745</v>
      </c>
      <c r="I1135" s="5">
        <v>3</v>
      </c>
      <c r="J1135" s="5">
        <v>11745</v>
      </c>
      <c r="K1135" t="s">
        <v>33</v>
      </c>
      <c r="L1135" t="s">
        <v>19</v>
      </c>
      <c r="M1135" t="s">
        <v>41</v>
      </c>
      <c r="N1135" t="s">
        <v>95</v>
      </c>
      <c r="O1135" t="s">
        <v>68</v>
      </c>
      <c r="P1135" t="s">
        <v>36</v>
      </c>
      <c r="Q1135">
        <f>Table1[[#This Row],[Course_Fee_AED]]-Table1[[#This Row],[Amount_Paid_AED]]</f>
        <v>0</v>
      </c>
      <c r="R1135">
        <f>Table1[[#This Row],[Course_Fee_AED]]-Table1[[#This Row],[pending Revenue]]</f>
        <v>11745</v>
      </c>
    </row>
    <row r="1136" spans="1:18" x14ac:dyDescent="0.25">
      <c r="A1136" t="s">
        <v>1213</v>
      </c>
      <c r="B1136" s="2">
        <v>45649</v>
      </c>
      <c r="C1136" t="s">
        <v>31</v>
      </c>
      <c r="D1136" t="s">
        <v>32</v>
      </c>
      <c r="E1136" t="s">
        <v>26</v>
      </c>
      <c r="F1136" s="5">
        <v>3</v>
      </c>
      <c r="G1136" s="5">
        <v>1</v>
      </c>
      <c r="H1136" s="5">
        <v>7080</v>
      </c>
      <c r="I1136" s="5">
        <v>2</v>
      </c>
      <c r="J1136" s="5">
        <v>4720</v>
      </c>
      <c r="K1136" t="s">
        <v>18</v>
      </c>
      <c r="L1136" t="s">
        <v>57</v>
      </c>
      <c r="M1136" t="s">
        <v>63</v>
      </c>
      <c r="N1136" t="s">
        <v>42</v>
      </c>
      <c r="O1136" t="s">
        <v>29</v>
      </c>
      <c r="P1136" t="s">
        <v>18</v>
      </c>
      <c r="Q1136">
        <f>Table1[[#This Row],[Course_Fee_AED]]-Table1[[#This Row],[Amount_Paid_AED]]</f>
        <v>2360</v>
      </c>
      <c r="R1136">
        <f>Table1[[#This Row],[Course_Fee_AED]]-Table1[[#This Row],[pending Revenue]]</f>
        <v>4720</v>
      </c>
    </row>
    <row r="1137" spans="1:18" x14ac:dyDescent="0.25">
      <c r="A1137" t="s">
        <v>1214</v>
      </c>
      <c r="B1137" s="2">
        <v>45576</v>
      </c>
      <c r="C1137" t="s">
        <v>66</v>
      </c>
      <c r="D1137" t="s">
        <v>56</v>
      </c>
      <c r="E1137" t="s">
        <v>17</v>
      </c>
      <c r="F1137" s="5">
        <v>6</v>
      </c>
      <c r="G1137" s="5">
        <v>1</v>
      </c>
      <c r="H1137" s="5">
        <v>10384</v>
      </c>
      <c r="I1137" s="5">
        <v>1</v>
      </c>
      <c r="J1137" s="5">
        <v>3461</v>
      </c>
      <c r="K1137" t="s">
        <v>18</v>
      </c>
      <c r="L1137" t="s">
        <v>57</v>
      </c>
      <c r="M1137" t="s">
        <v>60</v>
      </c>
      <c r="N1137" t="s">
        <v>28</v>
      </c>
      <c r="O1137" t="s">
        <v>58</v>
      </c>
      <c r="P1137" t="s">
        <v>36</v>
      </c>
      <c r="Q1137">
        <f>Table1[[#This Row],[Course_Fee_AED]]-Table1[[#This Row],[Amount_Paid_AED]]</f>
        <v>6923</v>
      </c>
      <c r="R1137">
        <f>Table1[[#This Row],[Course_Fee_AED]]-Table1[[#This Row],[pending Revenue]]</f>
        <v>3461</v>
      </c>
    </row>
    <row r="1138" spans="1:18" x14ac:dyDescent="0.25">
      <c r="A1138" t="s">
        <v>1215</v>
      </c>
      <c r="B1138" s="2">
        <v>45385</v>
      </c>
      <c r="C1138" t="s">
        <v>45</v>
      </c>
      <c r="D1138" t="s">
        <v>46</v>
      </c>
      <c r="E1138" t="s">
        <v>26</v>
      </c>
      <c r="F1138" s="5">
        <v>3</v>
      </c>
      <c r="G1138" s="5">
        <v>1</v>
      </c>
      <c r="H1138" s="5">
        <v>4271</v>
      </c>
      <c r="I1138" s="5">
        <v>2</v>
      </c>
      <c r="J1138" s="5">
        <v>2846</v>
      </c>
      <c r="K1138" t="s">
        <v>18</v>
      </c>
      <c r="L1138" t="s">
        <v>40</v>
      </c>
      <c r="M1138" t="s">
        <v>60</v>
      </c>
      <c r="N1138" t="s">
        <v>42</v>
      </c>
      <c r="O1138" t="s">
        <v>49</v>
      </c>
      <c r="P1138" t="s">
        <v>18</v>
      </c>
      <c r="Q1138">
        <f>Table1[[#This Row],[Course_Fee_AED]]-Table1[[#This Row],[Amount_Paid_AED]]</f>
        <v>1425</v>
      </c>
      <c r="R1138">
        <f>Table1[[#This Row],[Course_Fee_AED]]-Table1[[#This Row],[pending Revenue]]</f>
        <v>2846</v>
      </c>
    </row>
    <row r="1139" spans="1:18" x14ac:dyDescent="0.25">
      <c r="A1139" t="s">
        <v>1216</v>
      </c>
      <c r="B1139" s="2">
        <v>45445</v>
      </c>
      <c r="C1139" t="s">
        <v>106</v>
      </c>
      <c r="D1139" t="s">
        <v>107</v>
      </c>
      <c r="E1139" t="s">
        <v>26</v>
      </c>
      <c r="F1139" s="5">
        <v>3</v>
      </c>
      <c r="G1139" s="5">
        <v>1</v>
      </c>
      <c r="H1139" s="5">
        <v>5806</v>
      </c>
      <c r="I1139" s="5">
        <v>3</v>
      </c>
      <c r="J1139" s="5">
        <v>5805</v>
      </c>
      <c r="K1139" t="s">
        <v>18</v>
      </c>
      <c r="L1139" t="s">
        <v>40</v>
      </c>
      <c r="M1139" t="s">
        <v>47</v>
      </c>
      <c r="N1139" t="s">
        <v>79</v>
      </c>
      <c r="O1139" t="s">
        <v>35</v>
      </c>
      <c r="P1139" t="s">
        <v>36</v>
      </c>
      <c r="Q1139">
        <f>Table1[[#This Row],[Course_Fee_AED]]-Table1[[#This Row],[Amount_Paid_AED]]</f>
        <v>1</v>
      </c>
      <c r="R1139">
        <f>Table1[[#This Row],[Course_Fee_AED]]-Table1[[#This Row],[pending Revenue]]</f>
        <v>5805</v>
      </c>
    </row>
    <row r="1140" spans="1:18" x14ac:dyDescent="0.25">
      <c r="A1140" t="s">
        <v>1217</v>
      </c>
      <c r="B1140" s="2">
        <v>45463</v>
      </c>
      <c r="C1140" t="s">
        <v>106</v>
      </c>
      <c r="D1140" t="s">
        <v>107</v>
      </c>
      <c r="E1140" t="s">
        <v>26</v>
      </c>
      <c r="F1140" s="5">
        <v>3</v>
      </c>
      <c r="G1140" s="5">
        <v>1</v>
      </c>
      <c r="H1140" s="5">
        <v>6964</v>
      </c>
      <c r="I1140" s="5">
        <v>3</v>
      </c>
      <c r="J1140" s="5">
        <v>6963</v>
      </c>
      <c r="K1140" t="s">
        <v>18</v>
      </c>
      <c r="L1140" t="s">
        <v>19</v>
      </c>
      <c r="M1140" t="s">
        <v>47</v>
      </c>
      <c r="N1140" t="s">
        <v>154</v>
      </c>
      <c r="O1140" t="s">
        <v>35</v>
      </c>
      <c r="P1140" t="s">
        <v>18</v>
      </c>
      <c r="Q1140">
        <f>Table1[[#This Row],[Course_Fee_AED]]-Table1[[#This Row],[Amount_Paid_AED]]</f>
        <v>1</v>
      </c>
      <c r="R1140">
        <f>Table1[[#This Row],[Course_Fee_AED]]-Table1[[#This Row],[pending Revenue]]</f>
        <v>6963</v>
      </c>
    </row>
    <row r="1141" spans="1:18" x14ac:dyDescent="0.25">
      <c r="A1141" t="s">
        <v>1218</v>
      </c>
      <c r="B1141" s="2">
        <v>45452</v>
      </c>
      <c r="C1141" t="s">
        <v>51</v>
      </c>
      <c r="D1141" t="s">
        <v>52</v>
      </c>
      <c r="E1141" t="s">
        <v>17</v>
      </c>
      <c r="F1141" s="5">
        <v>6</v>
      </c>
      <c r="G1141" s="5">
        <v>1</v>
      </c>
      <c r="H1141" s="5">
        <v>4256</v>
      </c>
      <c r="I1141" s="5">
        <v>3</v>
      </c>
      <c r="J1141" s="5">
        <v>4254</v>
      </c>
      <c r="K1141" t="s">
        <v>18</v>
      </c>
      <c r="L1141" t="s">
        <v>19</v>
      </c>
      <c r="M1141" t="s">
        <v>63</v>
      </c>
      <c r="N1141" t="s">
        <v>28</v>
      </c>
      <c r="O1141" t="s">
        <v>58</v>
      </c>
      <c r="P1141" t="s">
        <v>36</v>
      </c>
      <c r="Q1141">
        <f>Table1[[#This Row],[Course_Fee_AED]]-Table1[[#This Row],[Amount_Paid_AED]]</f>
        <v>2</v>
      </c>
      <c r="R1141">
        <f>Table1[[#This Row],[Course_Fee_AED]]-Table1[[#This Row],[pending Revenue]]</f>
        <v>4254</v>
      </c>
    </row>
    <row r="1142" spans="1:18" x14ac:dyDescent="0.25">
      <c r="A1142" t="s">
        <v>1219</v>
      </c>
      <c r="B1142" s="2">
        <v>45535</v>
      </c>
      <c r="C1142" t="s">
        <v>92</v>
      </c>
      <c r="D1142" t="s">
        <v>93</v>
      </c>
      <c r="E1142" t="s">
        <v>17</v>
      </c>
      <c r="F1142" s="5">
        <v>6</v>
      </c>
      <c r="G1142" s="5">
        <v>1</v>
      </c>
      <c r="H1142" s="5">
        <v>5785</v>
      </c>
      <c r="I1142" s="5">
        <v>3</v>
      </c>
      <c r="J1142" s="5">
        <v>5784</v>
      </c>
      <c r="K1142" t="s">
        <v>18</v>
      </c>
      <c r="L1142" t="s">
        <v>19</v>
      </c>
      <c r="M1142" t="s">
        <v>47</v>
      </c>
      <c r="N1142" t="s">
        <v>95</v>
      </c>
      <c r="O1142" t="s">
        <v>87</v>
      </c>
      <c r="P1142" t="s">
        <v>18</v>
      </c>
      <c r="Q1142">
        <f>Table1[[#This Row],[Course_Fee_AED]]-Table1[[#This Row],[Amount_Paid_AED]]</f>
        <v>1</v>
      </c>
      <c r="R1142">
        <f>Table1[[#This Row],[Course_Fee_AED]]-Table1[[#This Row],[pending Revenue]]</f>
        <v>5784</v>
      </c>
    </row>
    <row r="1143" spans="1:18" x14ac:dyDescent="0.25">
      <c r="A1143" t="s">
        <v>1220</v>
      </c>
      <c r="B1143" s="2">
        <v>45360</v>
      </c>
      <c r="C1143" t="s">
        <v>92</v>
      </c>
      <c r="D1143" t="s">
        <v>93</v>
      </c>
      <c r="E1143" t="s">
        <v>26</v>
      </c>
      <c r="F1143" s="5">
        <v>3</v>
      </c>
      <c r="G1143" s="5">
        <v>1</v>
      </c>
      <c r="H1143" s="5">
        <v>6249</v>
      </c>
      <c r="I1143" s="5">
        <v>1</v>
      </c>
      <c r="J1143" s="5">
        <v>2083</v>
      </c>
      <c r="K1143" t="s">
        <v>18</v>
      </c>
      <c r="L1143" t="s">
        <v>57</v>
      </c>
      <c r="M1143" t="s">
        <v>27</v>
      </c>
      <c r="N1143" t="s">
        <v>34</v>
      </c>
      <c r="O1143" t="s">
        <v>29</v>
      </c>
      <c r="P1143" t="s">
        <v>18</v>
      </c>
      <c r="Q1143">
        <f>Table1[[#This Row],[Course_Fee_AED]]-Table1[[#This Row],[Amount_Paid_AED]]</f>
        <v>4166</v>
      </c>
      <c r="R1143">
        <f>Table1[[#This Row],[Course_Fee_AED]]-Table1[[#This Row],[pending Revenue]]</f>
        <v>2083</v>
      </c>
    </row>
    <row r="1144" spans="1:18" x14ac:dyDescent="0.25">
      <c r="A1144" t="s">
        <v>1221</v>
      </c>
      <c r="B1144" s="2">
        <v>45506</v>
      </c>
      <c r="C1144" t="s">
        <v>15</v>
      </c>
      <c r="D1144" t="s">
        <v>16</v>
      </c>
      <c r="E1144" t="s">
        <v>17</v>
      </c>
      <c r="F1144" s="5">
        <v>6</v>
      </c>
      <c r="G1144" s="5">
        <v>1</v>
      </c>
      <c r="H1144" s="5">
        <v>7024</v>
      </c>
      <c r="I1144" s="5">
        <v>3</v>
      </c>
      <c r="J1144" s="5">
        <v>7023</v>
      </c>
      <c r="K1144" t="s">
        <v>18</v>
      </c>
      <c r="L1144" t="s">
        <v>19</v>
      </c>
      <c r="M1144" t="s">
        <v>27</v>
      </c>
      <c r="N1144" t="s">
        <v>61</v>
      </c>
      <c r="O1144" t="s">
        <v>43</v>
      </c>
      <c r="P1144" t="s">
        <v>36</v>
      </c>
      <c r="Q1144">
        <f>Table1[[#This Row],[Course_Fee_AED]]-Table1[[#This Row],[Amount_Paid_AED]]</f>
        <v>1</v>
      </c>
      <c r="R1144">
        <f>Table1[[#This Row],[Course_Fee_AED]]-Table1[[#This Row],[pending Revenue]]</f>
        <v>7023</v>
      </c>
    </row>
    <row r="1145" spans="1:18" x14ac:dyDescent="0.25">
      <c r="A1145" t="s">
        <v>1222</v>
      </c>
      <c r="B1145" s="2">
        <v>45468</v>
      </c>
      <c r="C1145" t="s">
        <v>113</v>
      </c>
      <c r="D1145" t="s">
        <v>93</v>
      </c>
      <c r="E1145" t="s">
        <v>26</v>
      </c>
      <c r="F1145" s="5">
        <v>3</v>
      </c>
      <c r="G1145" s="5">
        <v>1</v>
      </c>
      <c r="H1145" s="5">
        <v>4172</v>
      </c>
      <c r="I1145" s="5">
        <v>2</v>
      </c>
      <c r="J1145" s="5">
        <v>2780</v>
      </c>
      <c r="K1145" t="s">
        <v>18</v>
      </c>
      <c r="L1145" t="s">
        <v>19</v>
      </c>
      <c r="M1145" t="s">
        <v>47</v>
      </c>
      <c r="N1145" t="s">
        <v>79</v>
      </c>
      <c r="O1145" t="s">
        <v>71</v>
      </c>
      <c r="P1145" t="s">
        <v>18</v>
      </c>
      <c r="Q1145">
        <f>Table1[[#This Row],[Course_Fee_AED]]-Table1[[#This Row],[Amount_Paid_AED]]</f>
        <v>1392</v>
      </c>
      <c r="R1145">
        <f>Table1[[#This Row],[Course_Fee_AED]]-Table1[[#This Row],[pending Revenue]]</f>
        <v>2780</v>
      </c>
    </row>
    <row r="1146" spans="1:18" x14ac:dyDescent="0.25">
      <c r="A1146" t="s">
        <v>1223</v>
      </c>
      <c r="B1146" s="2">
        <v>45320</v>
      </c>
      <c r="C1146" t="s">
        <v>106</v>
      </c>
      <c r="D1146" t="s">
        <v>107</v>
      </c>
      <c r="E1146" t="s">
        <v>17</v>
      </c>
      <c r="F1146" s="5">
        <v>6</v>
      </c>
      <c r="G1146" s="5">
        <v>1</v>
      </c>
      <c r="H1146" s="5">
        <v>5093</v>
      </c>
      <c r="I1146" s="5">
        <v>2</v>
      </c>
      <c r="J1146" s="5">
        <v>3394</v>
      </c>
      <c r="K1146" t="s">
        <v>18</v>
      </c>
      <c r="L1146" t="s">
        <v>40</v>
      </c>
      <c r="M1146" t="s">
        <v>20</v>
      </c>
      <c r="N1146" t="s">
        <v>42</v>
      </c>
      <c r="O1146" t="s">
        <v>87</v>
      </c>
      <c r="P1146" t="s">
        <v>36</v>
      </c>
      <c r="Q1146">
        <f>Table1[[#This Row],[Course_Fee_AED]]-Table1[[#This Row],[Amount_Paid_AED]]</f>
        <v>1699</v>
      </c>
      <c r="R1146">
        <f>Table1[[#This Row],[Course_Fee_AED]]-Table1[[#This Row],[pending Revenue]]</f>
        <v>3394</v>
      </c>
    </row>
    <row r="1147" spans="1:18" x14ac:dyDescent="0.25">
      <c r="A1147" t="s">
        <v>1224</v>
      </c>
      <c r="B1147" s="2">
        <v>45540</v>
      </c>
      <c r="C1147" t="s">
        <v>92</v>
      </c>
      <c r="D1147" t="s">
        <v>93</v>
      </c>
      <c r="E1147" t="s">
        <v>17</v>
      </c>
      <c r="F1147" s="5">
        <v>6</v>
      </c>
      <c r="G1147" s="5">
        <v>1</v>
      </c>
      <c r="H1147" s="5">
        <v>6844</v>
      </c>
      <c r="I1147" s="5">
        <v>1</v>
      </c>
      <c r="J1147" s="5">
        <v>2281</v>
      </c>
      <c r="K1147" t="s">
        <v>18</v>
      </c>
      <c r="L1147" t="s">
        <v>57</v>
      </c>
      <c r="M1147" t="s">
        <v>47</v>
      </c>
      <c r="N1147" t="s">
        <v>61</v>
      </c>
      <c r="O1147" t="s">
        <v>29</v>
      </c>
      <c r="P1147" t="s">
        <v>18</v>
      </c>
      <c r="Q1147">
        <f>Table1[[#This Row],[Course_Fee_AED]]-Table1[[#This Row],[Amount_Paid_AED]]</f>
        <v>4563</v>
      </c>
      <c r="R1147">
        <f>Table1[[#This Row],[Course_Fee_AED]]-Table1[[#This Row],[pending Revenue]]</f>
        <v>2281</v>
      </c>
    </row>
    <row r="1148" spans="1:18" x14ac:dyDescent="0.25">
      <c r="A1148" t="s">
        <v>1225</v>
      </c>
      <c r="B1148" s="2">
        <v>45578</v>
      </c>
      <c r="C1148" t="s">
        <v>66</v>
      </c>
      <c r="D1148" t="s">
        <v>56</v>
      </c>
      <c r="E1148" t="s">
        <v>26</v>
      </c>
      <c r="F1148" s="5">
        <v>3</v>
      </c>
      <c r="G1148" s="5">
        <v>1</v>
      </c>
      <c r="H1148" s="5">
        <v>9686</v>
      </c>
      <c r="I1148" s="5">
        <v>2</v>
      </c>
      <c r="J1148" s="5">
        <v>6456</v>
      </c>
      <c r="K1148" t="s">
        <v>18</v>
      </c>
      <c r="L1148" t="s">
        <v>57</v>
      </c>
      <c r="M1148" t="s">
        <v>47</v>
      </c>
      <c r="N1148" t="s">
        <v>48</v>
      </c>
      <c r="O1148" t="s">
        <v>43</v>
      </c>
      <c r="P1148" t="s">
        <v>18</v>
      </c>
      <c r="Q1148">
        <f>Table1[[#This Row],[Course_Fee_AED]]-Table1[[#This Row],[Amount_Paid_AED]]</f>
        <v>3230</v>
      </c>
      <c r="R1148">
        <f>Table1[[#This Row],[Course_Fee_AED]]-Table1[[#This Row],[pending Revenue]]</f>
        <v>6456</v>
      </c>
    </row>
    <row r="1149" spans="1:18" x14ac:dyDescent="0.25">
      <c r="A1149" t="s">
        <v>1226</v>
      </c>
      <c r="B1149" s="2">
        <v>45596</v>
      </c>
      <c r="C1149" t="s">
        <v>15</v>
      </c>
      <c r="D1149" t="s">
        <v>16</v>
      </c>
      <c r="E1149" t="s">
        <v>17</v>
      </c>
      <c r="F1149" s="5">
        <v>6</v>
      </c>
      <c r="G1149" s="5">
        <v>1</v>
      </c>
      <c r="H1149" s="5">
        <v>5899</v>
      </c>
      <c r="I1149" s="5">
        <v>1</v>
      </c>
      <c r="J1149" s="5">
        <v>1966</v>
      </c>
      <c r="K1149" t="s">
        <v>18</v>
      </c>
      <c r="L1149" t="s">
        <v>19</v>
      </c>
      <c r="M1149" t="s">
        <v>41</v>
      </c>
      <c r="N1149" t="s">
        <v>154</v>
      </c>
      <c r="O1149" t="s">
        <v>64</v>
      </c>
      <c r="P1149" t="s">
        <v>18</v>
      </c>
      <c r="Q1149">
        <f>Table1[[#This Row],[Course_Fee_AED]]-Table1[[#This Row],[Amount_Paid_AED]]</f>
        <v>3933</v>
      </c>
      <c r="R1149">
        <f>Table1[[#This Row],[Course_Fee_AED]]-Table1[[#This Row],[pending Revenue]]</f>
        <v>1966</v>
      </c>
    </row>
    <row r="1150" spans="1:18" x14ac:dyDescent="0.25">
      <c r="A1150" t="s">
        <v>1227</v>
      </c>
      <c r="B1150" s="2">
        <v>45483</v>
      </c>
      <c r="C1150" t="s">
        <v>24</v>
      </c>
      <c r="D1150" t="s">
        <v>25</v>
      </c>
      <c r="E1150" t="s">
        <v>26</v>
      </c>
      <c r="F1150" s="5">
        <v>3</v>
      </c>
      <c r="G1150" s="5">
        <v>1</v>
      </c>
      <c r="H1150" s="5">
        <v>5975</v>
      </c>
      <c r="I1150" s="5">
        <v>3</v>
      </c>
      <c r="J1150" s="5">
        <v>5973</v>
      </c>
      <c r="K1150" t="s">
        <v>18</v>
      </c>
      <c r="L1150" t="s">
        <v>40</v>
      </c>
      <c r="M1150" t="s">
        <v>60</v>
      </c>
      <c r="N1150" t="s">
        <v>95</v>
      </c>
      <c r="O1150" t="s">
        <v>29</v>
      </c>
      <c r="P1150" t="s">
        <v>18</v>
      </c>
      <c r="Q1150">
        <f>Table1[[#This Row],[Course_Fee_AED]]-Table1[[#This Row],[Amount_Paid_AED]]</f>
        <v>2</v>
      </c>
      <c r="R1150">
        <f>Table1[[#This Row],[Course_Fee_AED]]-Table1[[#This Row],[pending Revenue]]</f>
        <v>5973</v>
      </c>
    </row>
    <row r="1151" spans="1:18" x14ac:dyDescent="0.25">
      <c r="A1151" t="s">
        <v>1228</v>
      </c>
      <c r="B1151" s="2">
        <v>45572</v>
      </c>
      <c r="C1151" t="s">
        <v>106</v>
      </c>
      <c r="D1151" t="s">
        <v>107</v>
      </c>
      <c r="E1151" t="s">
        <v>17</v>
      </c>
      <c r="F1151" s="5">
        <v>6</v>
      </c>
      <c r="G1151" s="5">
        <v>1</v>
      </c>
      <c r="H1151" s="5">
        <v>6838</v>
      </c>
      <c r="I1151" s="5">
        <v>3</v>
      </c>
      <c r="J1151" s="5">
        <v>6837</v>
      </c>
      <c r="K1151" t="s">
        <v>18</v>
      </c>
      <c r="L1151" t="s">
        <v>40</v>
      </c>
      <c r="M1151" t="s">
        <v>27</v>
      </c>
      <c r="N1151" t="s">
        <v>154</v>
      </c>
      <c r="O1151" t="s">
        <v>58</v>
      </c>
      <c r="P1151" t="s">
        <v>18</v>
      </c>
      <c r="Q1151">
        <f>Table1[[#This Row],[Course_Fee_AED]]-Table1[[#This Row],[Amount_Paid_AED]]</f>
        <v>1</v>
      </c>
      <c r="R1151">
        <f>Table1[[#This Row],[Course_Fee_AED]]-Table1[[#This Row],[pending Revenue]]</f>
        <v>6837</v>
      </c>
    </row>
    <row r="1152" spans="1:18" x14ac:dyDescent="0.25">
      <c r="A1152" t="s">
        <v>1229</v>
      </c>
      <c r="B1152" s="2">
        <v>45644</v>
      </c>
      <c r="C1152" t="s">
        <v>75</v>
      </c>
      <c r="D1152" t="s">
        <v>76</v>
      </c>
      <c r="E1152" t="s">
        <v>17</v>
      </c>
      <c r="F1152" s="5">
        <v>6</v>
      </c>
      <c r="G1152" s="5">
        <v>1</v>
      </c>
      <c r="H1152" s="5">
        <v>12990</v>
      </c>
      <c r="I1152" s="5">
        <v>1</v>
      </c>
      <c r="J1152" s="5">
        <v>4330</v>
      </c>
      <c r="K1152" t="s">
        <v>18</v>
      </c>
      <c r="L1152" t="s">
        <v>40</v>
      </c>
      <c r="M1152" t="s">
        <v>27</v>
      </c>
      <c r="N1152" t="s">
        <v>42</v>
      </c>
      <c r="O1152" t="s">
        <v>35</v>
      </c>
      <c r="P1152" t="s">
        <v>18</v>
      </c>
      <c r="Q1152">
        <f>Table1[[#This Row],[Course_Fee_AED]]-Table1[[#This Row],[Amount_Paid_AED]]</f>
        <v>8660</v>
      </c>
      <c r="R1152">
        <f>Table1[[#This Row],[Course_Fee_AED]]-Table1[[#This Row],[pending Revenue]]</f>
        <v>4330</v>
      </c>
    </row>
    <row r="1153" spans="1:18" x14ac:dyDescent="0.25">
      <c r="A1153" t="s">
        <v>1230</v>
      </c>
      <c r="B1153" s="2">
        <v>45308</v>
      </c>
      <c r="C1153" t="s">
        <v>51</v>
      </c>
      <c r="D1153" t="s">
        <v>52</v>
      </c>
      <c r="E1153" t="s">
        <v>17</v>
      </c>
      <c r="F1153" s="5">
        <v>6</v>
      </c>
      <c r="G1153" s="5">
        <v>1</v>
      </c>
      <c r="H1153" s="5">
        <v>4831</v>
      </c>
      <c r="I1153" s="5">
        <v>1</v>
      </c>
      <c r="J1153" s="5">
        <v>1610</v>
      </c>
      <c r="K1153" t="s">
        <v>18</v>
      </c>
      <c r="L1153" t="s">
        <v>57</v>
      </c>
      <c r="M1153" t="s">
        <v>20</v>
      </c>
      <c r="N1153" t="s">
        <v>79</v>
      </c>
      <c r="O1153" t="s">
        <v>35</v>
      </c>
      <c r="P1153" t="s">
        <v>36</v>
      </c>
      <c r="Q1153">
        <f>Table1[[#This Row],[Course_Fee_AED]]-Table1[[#This Row],[Amount_Paid_AED]]</f>
        <v>3221</v>
      </c>
      <c r="R1153">
        <f>Table1[[#This Row],[Course_Fee_AED]]-Table1[[#This Row],[pending Revenue]]</f>
        <v>1610</v>
      </c>
    </row>
    <row r="1154" spans="1:18" x14ac:dyDescent="0.25">
      <c r="A1154" t="s">
        <v>1231</v>
      </c>
      <c r="B1154" s="2">
        <v>45557</v>
      </c>
      <c r="C1154" t="s">
        <v>24</v>
      </c>
      <c r="D1154" t="s">
        <v>25</v>
      </c>
      <c r="E1154" t="s">
        <v>26</v>
      </c>
      <c r="F1154" s="5">
        <v>3</v>
      </c>
      <c r="G1154" s="5">
        <v>1</v>
      </c>
      <c r="H1154" s="5">
        <v>6355</v>
      </c>
      <c r="I1154" s="5">
        <v>2</v>
      </c>
      <c r="J1154" s="5">
        <v>4236</v>
      </c>
      <c r="K1154" t="s">
        <v>18</v>
      </c>
      <c r="L1154" t="s">
        <v>40</v>
      </c>
      <c r="M1154" t="s">
        <v>20</v>
      </c>
      <c r="N1154" t="s">
        <v>116</v>
      </c>
      <c r="O1154" t="s">
        <v>71</v>
      </c>
      <c r="P1154" t="s">
        <v>18</v>
      </c>
      <c r="Q1154">
        <f>Table1[[#This Row],[Course_Fee_AED]]-Table1[[#This Row],[Amount_Paid_AED]]</f>
        <v>2119</v>
      </c>
      <c r="R1154">
        <f>Table1[[#This Row],[Course_Fee_AED]]-Table1[[#This Row],[pending Revenue]]</f>
        <v>4236</v>
      </c>
    </row>
    <row r="1155" spans="1:18" x14ac:dyDescent="0.25">
      <c r="A1155" t="s">
        <v>1232</v>
      </c>
      <c r="B1155" s="2">
        <v>45517</v>
      </c>
      <c r="C1155" t="s">
        <v>100</v>
      </c>
      <c r="D1155" t="s">
        <v>101</v>
      </c>
      <c r="E1155" t="s">
        <v>26</v>
      </c>
      <c r="F1155" s="5">
        <v>3</v>
      </c>
      <c r="G1155" s="5">
        <v>1</v>
      </c>
      <c r="H1155" s="5">
        <v>3720</v>
      </c>
      <c r="I1155" s="5">
        <v>1</v>
      </c>
      <c r="J1155" s="5">
        <v>1240</v>
      </c>
      <c r="K1155" t="s">
        <v>18</v>
      </c>
      <c r="L1155" t="s">
        <v>19</v>
      </c>
      <c r="M1155" t="s">
        <v>63</v>
      </c>
      <c r="N1155" t="s">
        <v>73</v>
      </c>
      <c r="O1155" t="s">
        <v>71</v>
      </c>
      <c r="P1155" t="s">
        <v>36</v>
      </c>
      <c r="Q1155">
        <f>Table1[[#This Row],[Course_Fee_AED]]-Table1[[#This Row],[Amount_Paid_AED]]</f>
        <v>2480</v>
      </c>
      <c r="R1155">
        <f>Table1[[#This Row],[Course_Fee_AED]]-Table1[[#This Row],[pending Revenue]]</f>
        <v>1240</v>
      </c>
    </row>
    <row r="1156" spans="1:18" x14ac:dyDescent="0.25">
      <c r="A1156" t="s">
        <v>1233</v>
      </c>
      <c r="B1156" s="2">
        <v>45342</v>
      </c>
      <c r="C1156" t="s">
        <v>92</v>
      </c>
      <c r="D1156" t="s">
        <v>93</v>
      </c>
      <c r="E1156" t="s">
        <v>26</v>
      </c>
      <c r="F1156" s="5">
        <v>3</v>
      </c>
      <c r="G1156" s="5">
        <v>1</v>
      </c>
      <c r="H1156" s="5">
        <v>5530</v>
      </c>
      <c r="I1156" s="5">
        <v>2</v>
      </c>
      <c r="J1156" s="5">
        <v>3686</v>
      </c>
      <c r="K1156" t="s">
        <v>18</v>
      </c>
      <c r="L1156" t="s">
        <v>40</v>
      </c>
      <c r="M1156" t="s">
        <v>60</v>
      </c>
      <c r="N1156" t="s">
        <v>48</v>
      </c>
      <c r="O1156" t="s">
        <v>35</v>
      </c>
      <c r="P1156" t="s">
        <v>36</v>
      </c>
      <c r="Q1156">
        <f>Table1[[#This Row],[Course_Fee_AED]]-Table1[[#This Row],[Amount_Paid_AED]]</f>
        <v>1844</v>
      </c>
      <c r="R1156">
        <f>Table1[[#This Row],[Course_Fee_AED]]-Table1[[#This Row],[pending Revenue]]</f>
        <v>3686</v>
      </c>
    </row>
    <row r="1157" spans="1:18" x14ac:dyDescent="0.25">
      <c r="A1157" t="s">
        <v>1234</v>
      </c>
      <c r="B1157" s="2">
        <v>45624</v>
      </c>
      <c r="C1157" t="s">
        <v>51</v>
      </c>
      <c r="D1157" t="s">
        <v>52</v>
      </c>
      <c r="E1157" t="s">
        <v>26</v>
      </c>
      <c r="F1157" s="5">
        <v>3</v>
      </c>
      <c r="G1157" s="5">
        <v>1</v>
      </c>
      <c r="H1157" s="5">
        <v>3939</v>
      </c>
      <c r="I1157" s="5">
        <v>1</v>
      </c>
      <c r="J1157" s="5">
        <v>1313</v>
      </c>
      <c r="K1157" t="s">
        <v>18</v>
      </c>
      <c r="L1157" t="s">
        <v>57</v>
      </c>
      <c r="M1157" t="s">
        <v>63</v>
      </c>
      <c r="N1157" t="s">
        <v>42</v>
      </c>
      <c r="O1157" t="s">
        <v>71</v>
      </c>
      <c r="P1157" t="s">
        <v>18</v>
      </c>
      <c r="Q1157">
        <f>Table1[[#This Row],[Course_Fee_AED]]-Table1[[#This Row],[Amount_Paid_AED]]</f>
        <v>2626</v>
      </c>
      <c r="R1157">
        <f>Table1[[#This Row],[Course_Fee_AED]]-Table1[[#This Row],[pending Revenue]]</f>
        <v>1313</v>
      </c>
    </row>
    <row r="1158" spans="1:18" x14ac:dyDescent="0.25">
      <c r="A1158" t="s">
        <v>1235</v>
      </c>
      <c r="B1158" s="2">
        <v>45488</v>
      </c>
      <c r="C1158" t="s">
        <v>31</v>
      </c>
      <c r="D1158" t="s">
        <v>32</v>
      </c>
      <c r="E1158" t="s">
        <v>17</v>
      </c>
      <c r="F1158" s="5">
        <v>6</v>
      </c>
      <c r="G1158" s="5">
        <v>1</v>
      </c>
      <c r="H1158" s="5">
        <v>4640</v>
      </c>
      <c r="I1158" s="5">
        <v>3</v>
      </c>
      <c r="J1158" s="5">
        <v>4638</v>
      </c>
      <c r="K1158" t="s">
        <v>18</v>
      </c>
      <c r="L1158" t="s">
        <v>40</v>
      </c>
      <c r="M1158" t="s">
        <v>41</v>
      </c>
      <c r="N1158" t="s">
        <v>42</v>
      </c>
      <c r="O1158" t="s">
        <v>64</v>
      </c>
      <c r="P1158" t="s">
        <v>18</v>
      </c>
      <c r="Q1158">
        <f>Table1[[#This Row],[Course_Fee_AED]]-Table1[[#This Row],[Amount_Paid_AED]]</f>
        <v>2</v>
      </c>
      <c r="R1158">
        <f>Table1[[#This Row],[Course_Fee_AED]]-Table1[[#This Row],[pending Revenue]]</f>
        <v>4638</v>
      </c>
    </row>
    <row r="1159" spans="1:18" x14ac:dyDescent="0.25">
      <c r="A1159" t="s">
        <v>1236</v>
      </c>
      <c r="B1159" s="2">
        <v>45452</v>
      </c>
      <c r="C1159" t="s">
        <v>38</v>
      </c>
      <c r="D1159" t="s">
        <v>39</v>
      </c>
      <c r="E1159" t="s">
        <v>26</v>
      </c>
      <c r="F1159" s="5">
        <v>3</v>
      </c>
      <c r="G1159" s="5">
        <v>1</v>
      </c>
      <c r="H1159" s="5">
        <v>5946</v>
      </c>
      <c r="I1159" s="5">
        <v>1</v>
      </c>
      <c r="J1159" s="5">
        <v>1982</v>
      </c>
      <c r="K1159" t="s">
        <v>18</v>
      </c>
      <c r="L1159" t="s">
        <v>57</v>
      </c>
      <c r="M1159" t="s">
        <v>41</v>
      </c>
      <c r="N1159" t="s">
        <v>48</v>
      </c>
      <c r="O1159" t="s">
        <v>71</v>
      </c>
      <c r="P1159" t="s">
        <v>18</v>
      </c>
      <c r="Q1159">
        <f>Table1[[#This Row],[Course_Fee_AED]]-Table1[[#This Row],[Amount_Paid_AED]]</f>
        <v>3964</v>
      </c>
      <c r="R1159">
        <f>Table1[[#This Row],[Course_Fee_AED]]-Table1[[#This Row],[pending Revenue]]</f>
        <v>1982</v>
      </c>
    </row>
    <row r="1160" spans="1:18" x14ac:dyDescent="0.25">
      <c r="A1160" t="s">
        <v>1237</v>
      </c>
      <c r="B1160" s="2">
        <v>45547</v>
      </c>
      <c r="C1160" t="s">
        <v>92</v>
      </c>
      <c r="D1160" t="s">
        <v>93</v>
      </c>
      <c r="E1160" t="s">
        <v>17</v>
      </c>
      <c r="F1160" s="5">
        <v>6</v>
      </c>
      <c r="G1160" s="5">
        <v>1</v>
      </c>
      <c r="H1160" s="5">
        <v>6565</v>
      </c>
      <c r="I1160" s="5">
        <v>1</v>
      </c>
      <c r="J1160" s="5">
        <v>2188</v>
      </c>
      <c r="K1160" t="s">
        <v>18</v>
      </c>
      <c r="L1160" t="s">
        <v>19</v>
      </c>
      <c r="M1160" t="s">
        <v>27</v>
      </c>
      <c r="N1160" t="s">
        <v>21</v>
      </c>
      <c r="O1160" t="s">
        <v>43</v>
      </c>
      <c r="P1160" t="s">
        <v>36</v>
      </c>
      <c r="Q1160">
        <f>Table1[[#This Row],[Course_Fee_AED]]-Table1[[#This Row],[Amount_Paid_AED]]</f>
        <v>4377</v>
      </c>
      <c r="R1160">
        <f>Table1[[#This Row],[Course_Fee_AED]]-Table1[[#This Row],[pending Revenue]]</f>
        <v>2188</v>
      </c>
    </row>
    <row r="1161" spans="1:18" x14ac:dyDescent="0.25">
      <c r="A1161" t="s">
        <v>1238</v>
      </c>
      <c r="B1161" s="2">
        <v>45353</v>
      </c>
      <c r="C1161" t="s">
        <v>38</v>
      </c>
      <c r="D1161" t="s">
        <v>39</v>
      </c>
      <c r="E1161" t="s">
        <v>26</v>
      </c>
      <c r="F1161" s="5">
        <v>3</v>
      </c>
      <c r="G1161" s="5">
        <v>1</v>
      </c>
      <c r="H1161" s="5">
        <v>6411</v>
      </c>
      <c r="I1161" s="5">
        <v>3</v>
      </c>
      <c r="J1161" s="5">
        <v>6411</v>
      </c>
      <c r="K1161" t="s">
        <v>33</v>
      </c>
      <c r="L1161" t="s">
        <v>19</v>
      </c>
      <c r="M1161" t="s">
        <v>47</v>
      </c>
      <c r="N1161" t="s">
        <v>42</v>
      </c>
      <c r="O1161" t="s">
        <v>58</v>
      </c>
      <c r="P1161" t="s">
        <v>36</v>
      </c>
      <c r="Q1161">
        <f>Table1[[#This Row],[Course_Fee_AED]]-Table1[[#This Row],[Amount_Paid_AED]]</f>
        <v>0</v>
      </c>
      <c r="R1161">
        <f>Table1[[#This Row],[Course_Fee_AED]]-Table1[[#This Row],[pending Revenue]]</f>
        <v>6411</v>
      </c>
    </row>
    <row r="1162" spans="1:18" x14ac:dyDescent="0.25">
      <c r="A1162" t="s">
        <v>1239</v>
      </c>
      <c r="B1162" s="2">
        <v>45524</v>
      </c>
      <c r="C1162" t="s">
        <v>15</v>
      </c>
      <c r="D1162" t="s">
        <v>16</v>
      </c>
      <c r="E1162" t="s">
        <v>26</v>
      </c>
      <c r="F1162" s="5">
        <v>3</v>
      </c>
      <c r="G1162" s="5">
        <v>1</v>
      </c>
      <c r="H1162" s="5">
        <v>6611</v>
      </c>
      <c r="I1162" s="5">
        <v>1</v>
      </c>
      <c r="J1162" s="5">
        <v>2203</v>
      </c>
      <c r="K1162" t="s">
        <v>18</v>
      </c>
      <c r="L1162" t="s">
        <v>57</v>
      </c>
      <c r="M1162" t="s">
        <v>20</v>
      </c>
      <c r="N1162" t="s">
        <v>48</v>
      </c>
      <c r="O1162" t="s">
        <v>35</v>
      </c>
      <c r="P1162" t="s">
        <v>36</v>
      </c>
      <c r="Q1162">
        <f>Table1[[#This Row],[Course_Fee_AED]]-Table1[[#This Row],[Amount_Paid_AED]]</f>
        <v>4408</v>
      </c>
      <c r="R1162">
        <f>Table1[[#This Row],[Course_Fee_AED]]-Table1[[#This Row],[pending Revenue]]</f>
        <v>2203</v>
      </c>
    </row>
    <row r="1163" spans="1:18" x14ac:dyDescent="0.25">
      <c r="A1163" t="s">
        <v>1240</v>
      </c>
      <c r="B1163" s="2">
        <v>45501</v>
      </c>
      <c r="C1163" t="s">
        <v>51</v>
      </c>
      <c r="D1163" t="s">
        <v>52</v>
      </c>
      <c r="E1163" t="s">
        <v>17</v>
      </c>
      <c r="F1163" s="5">
        <v>6</v>
      </c>
      <c r="G1163" s="5">
        <v>1</v>
      </c>
      <c r="H1163" s="5">
        <v>4056</v>
      </c>
      <c r="I1163" s="5">
        <v>2</v>
      </c>
      <c r="J1163" s="5">
        <v>2704</v>
      </c>
      <c r="K1163" t="s">
        <v>18</v>
      </c>
      <c r="L1163" t="s">
        <v>57</v>
      </c>
      <c r="M1163" t="s">
        <v>27</v>
      </c>
      <c r="N1163" t="s">
        <v>42</v>
      </c>
      <c r="O1163" t="s">
        <v>22</v>
      </c>
      <c r="P1163" t="s">
        <v>36</v>
      </c>
      <c r="Q1163">
        <f>Table1[[#This Row],[Course_Fee_AED]]-Table1[[#This Row],[Amount_Paid_AED]]</f>
        <v>1352</v>
      </c>
      <c r="R1163">
        <f>Table1[[#This Row],[Course_Fee_AED]]-Table1[[#This Row],[pending Revenue]]</f>
        <v>2704</v>
      </c>
    </row>
    <row r="1164" spans="1:18" x14ac:dyDescent="0.25">
      <c r="A1164" t="s">
        <v>1241</v>
      </c>
      <c r="B1164" s="2">
        <v>45490</v>
      </c>
      <c r="C1164" t="s">
        <v>24</v>
      </c>
      <c r="D1164" t="s">
        <v>25</v>
      </c>
      <c r="E1164" t="s">
        <v>17</v>
      </c>
      <c r="F1164" s="5">
        <v>6</v>
      </c>
      <c r="G1164" s="5">
        <v>1</v>
      </c>
      <c r="H1164" s="5">
        <v>4846</v>
      </c>
      <c r="I1164" s="5">
        <v>3</v>
      </c>
      <c r="J1164" s="5">
        <v>4845</v>
      </c>
      <c r="K1164" t="s">
        <v>18</v>
      </c>
      <c r="L1164" t="s">
        <v>57</v>
      </c>
      <c r="M1164" t="s">
        <v>27</v>
      </c>
      <c r="N1164" t="s">
        <v>79</v>
      </c>
      <c r="O1164" t="s">
        <v>22</v>
      </c>
      <c r="P1164" t="s">
        <v>18</v>
      </c>
      <c r="Q1164">
        <f>Table1[[#This Row],[Course_Fee_AED]]-Table1[[#This Row],[Amount_Paid_AED]]</f>
        <v>1</v>
      </c>
      <c r="R1164">
        <f>Table1[[#This Row],[Course_Fee_AED]]-Table1[[#This Row],[pending Revenue]]</f>
        <v>4845</v>
      </c>
    </row>
    <row r="1165" spans="1:18" x14ac:dyDescent="0.25">
      <c r="A1165" t="s">
        <v>1242</v>
      </c>
      <c r="B1165" s="2">
        <v>45606</v>
      </c>
      <c r="C1165" t="s">
        <v>66</v>
      </c>
      <c r="D1165" t="s">
        <v>56</v>
      </c>
      <c r="E1165" t="s">
        <v>26</v>
      </c>
      <c r="F1165" s="5">
        <v>3</v>
      </c>
      <c r="G1165" s="5">
        <v>1</v>
      </c>
      <c r="H1165" s="5">
        <v>7176</v>
      </c>
      <c r="I1165" s="5">
        <v>1</v>
      </c>
      <c r="J1165" s="5">
        <v>2392</v>
      </c>
      <c r="K1165" t="s">
        <v>18</v>
      </c>
      <c r="L1165" t="s">
        <v>40</v>
      </c>
      <c r="M1165" t="s">
        <v>47</v>
      </c>
      <c r="N1165" t="s">
        <v>48</v>
      </c>
      <c r="O1165" t="s">
        <v>87</v>
      </c>
      <c r="P1165" t="s">
        <v>18</v>
      </c>
      <c r="Q1165">
        <f>Table1[[#This Row],[Course_Fee_AED]]-Table1[[#This Row],[Amount_Paid_AED]]</f>
        <v>4784</v>
      </c>
      <c r="R1165">
        <f>Table1[[#This Row],[Course_Fee_AED]]-Table1[[#This Row],[pending Revenue]]</f>
        <v>2392</v>
      </c>
    </row>
    <row r="1166" spans="1:18" x14ac:dyDescent="0.25">
      <c r="A1166" t="s">
        <v>1243</v>
      </c>
      <c r="B1166" s="2">
        <v>45520</v>
      </c>
      <c r="C1166" t="s">
        <v>24</v>
      </c>
      <c r="D1166" t="s">
        <v>25</v>
      </c>
      <c r="E1166" t="s">
        <v>26</v>
      </c>
      <c r="F1166" s="5">
        <v>3</v>
      </c>
      <c r="G1166" s="5">
        <v>1</v>
      </c>
      <c r="H1166" s="5">
        <v>5639</v>
      </c>
      <c r="I1166" s="5">
        <v>1</v>
      </c>
      <c r="J1166" s="5">
        <v>1879</v>
      </c>
      <c r="K1166" t="s">
        <v>18</v>
      </c>
      <c r="L1166" t="s">
        <v>40</v>
      </c>
      <c r="M1166" t="s">
        <v>63</v>
      </c>
      <c r="N1166" t="s">
        <v>53</v>
      </c>
      <c r="O1166" t="s">
        <v>35</v>
      </c>
      <c r="P1166" t="s">
        <v>36</v>
      </c>
      <c r="Q1166">
        <f>Table1[[#This Row],[Course_Fee_AED]]-Table1[[#This Row],[Amount_Paid_AED]]</f>
        <v>3760</v>
      </c>
      <c r="R1166">
        <f>Table1[[#This Row],[Course_Fee_AED]]-Table1[[#This Row],[pending Revenue]]</f>
        <v>1879</v>
      </c>
    </row>
    <row r="1167" spans="1:18" x14ac:dyDescent="0.25">
      <c r="A1167" t="s">
        <v>1244</v>
      </c>
      <c r="B1167" s="2">
        <v>45626</v>
      </c>
      <c r="C1167" t="s">
        <v>24</v>
      </c>
      <c r="D1167" t="s">
        <v>25</v>
      </c>
      <c r="E1167" t="s">
        <v>26</v>
      </c>
      <c r="F1167" s="5">
        <v>3</v>
      </c>
      <c r="G1167" s="5">
        <v>1</v>
      </c>
      <c r="H1167" s="5">
        <v>6992</v>
      </c>
      <c r="I1167" s="5">
        <v>3</v>
      </c>
      <c r="J1167" s="5">
        <v>6990</v>
      </c>
      <c r="K1167" t="s">
        <v>18</v>
      </c>
      <c r="L1167" t="s">
        <v>57</v>
      </c>
      <c r="M1167" t="s">
        <v>20</v>
      </c>
      <c r="N1167" t="s">
        <v>116</v>
      </c>
      <c r="O1167" t="s">
        <v>43</v>
      </c>
      <c r="P1167" t="s">
        <v>36</v>
      </c>
      <c r="Q1167">
        <f>Table1[[#This Row],[Course_Fee_AED]]-Table1[[#This Row],[Amount_Paid_AED]]</f>
        <v>2</v>
      </c>
      <c r="R1167">
        <f>Table1[[#This Row],[Course_Fee_AED]]-Table1[[#This Row],[pending Revenue]]</f>
        <v>6990</v>
      </c>
    </row>
    <row r="1168" spans="1:18" x14ac:dyDescent="0.25">
      <c r="A1168" t="s">
        <v>1245</v>
      </c>
      <c r="B1168" s="2">
        <v>45550</v>
      </c>
      <c r="C1168" t="s">
        <v>106</v>
      </c>
      <c r="D1168" t="s">
        <v>107</v>
      </c>
      <c r="E1168" t="s">
        <v>26</v>
      </c>
      <c r="F1168" s="5">
        <v>3</v>
      </c>
      <c r="G1168" s="5">
        <v>1</v>
      </c>
      <c r="H1168" s="5">
        <v>5849</v>
      </c>
      <c r="I1168" s="5">
        <v>3</v>
      </c>
      <c r="J1168" s="5">
        <v>5847</v>
      </c>
      <c r="K1168" t="s">
        <v>18</v>
      </c>
      <c r="L1168" t="s">
        <v>19</v>
      </c>
      <c r="M1168" t="s">
        <v>63</v>
      </c>
      <c r="N1168" t="s">
        <v>48</v>
      </c>
      <c r="O1168" t="s">
        <v>22</v>
      </c>
      <c r="P1168" t="s">
        <v>18</v>
      </c>
      <c r="Q1168">
        <f>Table1[[#This Row],[Course_Fee_AED]]-Table1[[#This Row],[Amount_Paid_AED]]</f>
        <v>2</v>
      </c>
      <c r="R1168">
        <f>Table1[[#This Row],[Course_Fee_AED]]-Table1[[#This Row],[pending Revenue]]</f>
        <v>5847</v>
      </c>
    </row>
    <row r="1169" spans="1:18" x14ac:dyDescent="0.25">
      <c r="A1169" t="s">
        <v>1246</v>
      </c>
      <c r="B1169" s="2">
        <v>45441</v>
      </c>
      <c r="C1169" t="s">
        <v>100</v>
      </c>
      <c r="D1169" t="s">
        <v>101</v>
      </c>
      <c r="E1169" t="s">
        <v>26</v>
      </c>
      <c r="F1169" s="5">
        <v>3</v>
      </c>
      <c r="G1169" s="5">
        <v>1</v>
      </c>
      <c r="H1169" s="5">
        <v>3819</v>
      </c>
      <c r="I1169" s="5">
        <v>1</v>
      </c>
      <c r="J1169" s="5">
        <v>1273</v>
      </c>
      <c r="K1169" t="s">
        <v>18</v>
      </c>
      <c r="L1169" t="s">
        <v>19</v>
      </c>
      <c r="M1169" t="s">
        <v>47</v>
      </c>
      <c r="N1169" t="s">
        <v>21</v>
      </c>
      <c r="O1169" t="s">
        <v>22</v>
      </c>
      <c r="P1169" t="s">
        <v>36</v>
      </c>
      <c r="Q1169">
        <f>Table1[[#This Row],[Course_Fee_AED]]-Table1[[#This Row],[Amount_Paid_AED]]</f>
        <v>2546</v>
      </c>
      <c r="R1169">
        <f>Table1[[#This Row],[Course_Fee_AED]]-Table1[[#This Row],[pending Revenue]]</f>
        <v>1273</v>
      </c>
    </row>
    <row r="1170" spans="1:18" x14ac:dyDescent="0.25">
      <c r="A1170" t="s">
        <v>1247</v>
      </c>
      <c r="B1170" s="2">
        <v>45628</v>
      </c>
      <c r="C1170" t="s">
        <v>45</v>
      </c>
      <c r="D1170" t="s">
        <v>46</v>
      </c>
      <c r="E1170" t="s">
        <v>17</v>
      </c>
      <c r="F1170" s="5">
        <v>6</v>
      </c>
      <c r="G1170" s="5">
        <v>1</v>
      </c>
      <c r="H1170" s="5">
        <v>4512</v>
      </c>
      <c r="I1170" s="5">
        <v>2</v>
      </c>
      <c r="J1170" s="5">
        <v>3008</v>
      </c>
      <c r="K1170" t="s">
        <v>18</v>
      </c>
      <c r="L1170" t="s">
        <v>57</v>
      </c>
      <c r="M1170" t="s">
        <v>47</v>
      </c>
      <c r="N1170" t="s">
        <v>61</v>
      </c>
      <c r="O1170" t="s">
        <v>68</v>
      </c>
      <c r="P1170" t="s">
        <v>36</v>
      </c>
      <c r="Q1170">
        <f>Table1[[#This Row],[Course_Fee_AED]]-Table1[[#This Row],[Amount_Paid_AED]]</f>
        <v>1504</v>
      </c>
      <c r="R1170">
        <f>Table1[[#This Row],[Course_Fee_AED]]-Table1[[#This Row],[pending Revenue]]</f>
        <v>3008</v>
      </c>
    </row>
    <row r="1171" spans="1:18" x14ac:dyDescent="0.25">
      <c r="A1171" t="s">
        <v>1248</v>
      </c>
      <c r="B1171" s="2">
        <v>45619</v>
      </c>
      <c r="C1171" t="s">
        <v>92</v>
      </c>
      <c r="D1171" t="s">
        <v>93</v>
      </c>
      <c r="E1171" t="s">
        <v>17</v>
      </c>
      <c r="F1171" s="5">
        <v>6</v>
      </c>
      <c r="G1171" s="5">
        <v>1</v>
      </c>
      <c r="H1171" s="5">
        <v>5311</v>
      </c>
      <c r="I1171" s="5">
        <v>2</v>
      </c>
      <c r="J1171" s="5">
        <v>3540</v>
      </c>
      <c r="K1171" t="s">
        <v>18</v>
      </c>
      <c r="L1171" t="s">
        <v>57</v>
      </c>
      <c r="M1171" t="s">
        <v>20</v>
      </c>
      <c r="N1171" t="s">
        <v>21</v>
      </c>
      <c r="O1171" t="s">
        <v>71</v>
      </c>
      <c r="P1171" t="s">
        <v>36</v>
      </c>
      <c r="Q1171">
        <f>Table1[[#This Row],[Course_Fee_AED]]-Table1[[#This Row],[Amount_Paid_AED]]</f>
        <v>1771</v>
      </c>
      <c r="R1171">
        <f>Table1[[#This Row],[Course_Fee_AED]]-Table1[[#This Row],[pending Revenue]]</f>
        <v>3540</v>
      </c>
    </row>
    <row r="1172" spans="1:18" x14ac:dyDescent="0.25">
      <c r="A1172" t="s">
        <v>1249</v>
      </c>
      <c r="B1172" s="2">
        <v>45558</v>
      </c>
      <c r="C1172" t="s">
        <v>38</v>
      </c>
      <c r="D1172" t="s">
        <v>39</v>
      </c>
      <c r="E1172" t="s">
        <v>26</v>
      </c>
      <c r="F1172" s="5">
        <v>3</v>
      </c>
      <c r="G1172" s="5">
        <v>1</v>
      </c>
      <c r="H1172" s="5">
        <v>6856</v>
      </c>
      <c r="I1172" s="5">
        <v>3</v>
      </c>
      <c r="J1172" s="5">
        <v>6855</v>
      </c>
      <c r="K1172" t="s">
        <v>18</v>
      </c>
      <c r="L1172" t="s">
        <v>57</v>
      </c>
      <c r="M1172" t="s">
        <v>27</v>
      </c>
      <c r="N1172" t="s">
        <v>42</v>
      </c>
      <c r="O1172" t="s">
        <v>29</v>
      </c>
      <c r="P1172" t="s">
        <v>18</v>
      </c>
      <c r="Q1172">
        <f>Table1[[#This Row],[Course_Fee_AED]]-Table1[[#This Row],[Amount_Paid_AED]]</f>
        <v>1</v>
      </c>
      <c r="R1172">
        <f>Table1[[#This Row],[Course_Fee_AED]]-Table1[[#This Row],[pending Revenue]]</f>
        <v>6855</v>
      </c>
    </row>
    <row r="1173" spans="1:18" x14ac:dyDescent="0.25">
      <c r="A1173" t="s">
        <v>1250</v>
      </c>
      <c r="B1173" s="2">
        <v>45435</v>
      </c>
      <c r="C1173" t="s">
        <v>55</v>
      </c>
      <c r="D1173" t="s">
        <v>56</v>
      </c>
      <c r="E1173" t="s">
        <v>26</v>
      </c>
      <c r="F1173" s="5">
        <v>3</v>
      </c>
      <c r="G1173" s="5">
        <v>1</v>
      </c>
      <c r="H1173" s="5">
        <v>9179</v>
      </c>
      <c r="I1173" s="5">
        <v>1</v>
      </c>
      <c r="J1173" s="5">
        <v>3059</v>
      </c>
      <c r="K1173" t="s">
        <v>18</v>
      </c>
      <c r="L1173" t="s">
        <v>57</v>
      </c>
      <c r="M1173" t="s">
        <v>27</v>
      </c>
      <c r="N1173" t="s">
        <v>61</v>
      </c>
      <c r="O1173" t="s">
        <v>68</v>
      </c>
      <c r="P1173" t="s">
        <v>36</v>
      </c>
      <c r="Q1173">
        <f>Table1[[#This Row],[Course_Fee_AED]]-Table1[[#This Row],[Amount_Paid_AED]]</f>
        <v>6120</v>
      </c>
      <c r="R1173">
        <f>Table1[[#This Row],[Course_Fee_AED]]-Table1[[#This Row],[pending Revenue]]</f>
        <v>3059</v>
      </c>
    </row>
    <row r="1174" spans="1:18" x14ac:dyDescent="0.25">
      <c r="A1174" t="s">
        <v>1251</v>
      </c>
      <c r="B1174" s="2">
        <v>45564</v>
      </c>
      <c r="C1174" t="s">
        <v>82</v>
      </c>
      <c r="D1174" t="s">
        <v>83</v>
      </c>
      <c r="E1174" t="s">
        <v>17</v>
      </c>
      <c r="F1174" s="5">
        <v>6</v>
      </c>
      <c r="G1174" s="5">
        <v>1</v>
      </c>
      <c r="H1174" s="5">
        <v>14084</v>
      </c>
      <c r="I1174" s="5">
        <v>2</v>
      </c>
      <c r="J1174" s="5">
        <v>9388</v>
      </c>
      <c r="K1174" t="s">
        <v>18</v>
      </c>
      <c r="L1174" t="s">
        <v>40</v>
      </c>
      <c r="M1174" t="s">
        <v>63</v>
      </c>
      <c r="N1174" t="s">
        <v>70</v>
      </c>
      <c r="O1174" t="s">
        <v>22</v>
      </c>
      <c r="P1174" t="s">
        <v>36</v>
      </c>
      <c r="Q1174">
        <f>Table1[[#This Row],[Course_Fee_AED]]-Table1[[#This Row],[Amount_Paid_AED]]</f>
        <v>4696</v>
      </c>
      <c r="R1174">
        <f>Table1[[#This Row],[Course_Fee_AED]]-Table1[[#This Row],[pending Revenue]]</f>
        <v>9388</v>
      </c>
    </row>
    <row r="1175" spans="1:18" x14ac:dyDescent="0.25">
      <c r="A1175" t="s">
        <v>1252</v>
      </c>
      <c r="B1175" s="2">
        <v>45620</v>
      </c>
      <c r="C1175" t="s">
        <v>24</v>
      </c>
      <c r="D1175" t="s">
        <v>25</v>
      </c>
      <c r="E1175" t="s">
        <v>26</v>
      </c>
      <c r="F1175" s="5">
        <v>3</v>
      </c>
      <c r="G1175" s="5">
        <v>1</v>
      </c>
      <c r="H1175" s="5">
        <v>4650</v>
      </c>
      <c r="I1175" s="5">
        <v>1</v>
      </c>
      <c r="J1175" s="5">
        <v>1550</v>
      </c>
      <c r="K1175" t="s">
        <v>18</v>
      </c>
      <c r="L1175" t="s">
        <v>19</v>
      </c>
      <c r="M1175" t="s">
        <v>20</v>
      </c>
      <c r="N1175" t="s">
        <v>90</v>
      </c>
      <c r="O1175" t="s">
        <v>22</v>
      </c>
      <c r="P1175" t="s">
        <v>36</v>
      </c>
      <c r="Q1175">
        <f>Table1[[#This Row],[Course_Fee_AED]]-Table1[[#This Row],[Amount_Paid_AED]]</f>
        <v>3100</v>
      </c>
      <c r="R1175">
        <f>Table1[[#This Row],[Course_Fee_AED]]-Table1[[#This Row],[pending Revenue]]</f>
        <v>1550</v>
      </c>
    </row>
    <row r="1176" spans="1:18" x14ac:dyDescent="0.25">
      <c r="A1176" t="s">
        <v>1253</v>
      </c>
      <c r="B1176" s="2">
        <v>45318</v>
      </c>
      <c r="C1176" t="s">
        <v>31</v>
      </c>
      <c r="D1176" t="s">
        <v>32</v>
      </c>
      <c r="E1176" t="s">
        <v>26</v>
      </c>
      <c r="F1176" s="5">
        <v>3</v>
      </c>
      <c r="G1176" s="5">
        <v>1</v>
      </c>
      <c r="H1176" s="5">
        <v>6046</v>
      </c>
      <c r="I1176" s="5">
        <v>1</v>
      </c>
      <c r="J1176" s="5">
        <v>2015</v>
      </c>
      <c r="K1176" t="s">
        <v>18</v>
      </c>
      <c r="L1176" t="s">
        <v>57</v>
      </c>
      <c r="M1176" t="s">
        <v>47</v>
      </c>
      <c r="N1176" t="s">
        <v>53</v>
      </c>
      <c r="O1176" t="s">
        <v>68</v>
      </c>
      <c r="P1176" t="s">
        <v>36</v>
      </c>
      <c r="Q1176">
        <f>Table1[[#This Row],[Course_Fee_AED]]-Table1[[#This Row],[Amount_Paid_AED]]</f>
        <v>4031</v>
      </c>
      <c r="R1176">
        <f>Table1[[#This Row],[Course_Fee_AED]]-Table1[[#This Row],[pending Revenue]]</f>
        <v>2015</v>
      </c>
    </row>
    <row r="1177" spans="1:18" x14ac:dyDescent="0.25">
      <c r="A1177" t="s">
        <v>1254</v>
      </c>
      <c r="B1177" s="2">
        <v>45533</v>
      </c>
      <c r="C1177" t="s">
        <v>15</v>
      </c>
      <c r="D1177" t="s">
        <v>16</v>
      </c>
      <c r="E1177" t="s">
        <v>26</v>
      </c>
      <c r="F1177" s="5">
        <v>3</v>
      </c>
      <c r="G1177" s="5">
        <v>1</v>
      </c>
      <c r="H1177" s="5">
        <v>4518</v>
      </c>
      <c r="I1177" s="5">
        <v>1</v>
      </c>
      <c r="J1177" s="5">
        <v>1506</v>
      </c>
      <c r="K1177" t="s">
        <v>18</v>
      </c>
      <c r="L1177" t="s">
        <v>40</v>
      </c>
      <c r="M1177" t="s">
        <v>27</v>
      </c>
      <c r="N1177" t="s">
        <v>116</v>
      </c>
      <c r="O1177" t="s">
        <v>58</v>
      </c>
      <c r="P1177" t="s">
        <v>36</v>
      </c>
      <c r="Q1177">
        <f>Table1[[#This Row],[Course_Fee_AED]]-Table1[[#This Row],[Amount_Paid_AED]]</f>
        <v>3012</v>
      </c>
      <c r="R1177">
        <f>Table1[[#This Row],[Course_Fee_AED]]-Table1[[#This Row],[pending Revenue]]</f>
        <v>1506</v>
      </c>
    </row>
    <row r="1178" spans="1:18" x14ac:dyDescent="0.25">
      <c r="A1178" t="s">
        <v>1255</v>
      </c>
      <c r="B1178" s="2">
        <v>45630</v>
      </c>
      <c r="C1178" t="s">
        <v>100</v>
      </c>
      <c r="D1178" t="s">
        <v>101</v>
      </c>
      <c r="E1178" t="s">
        <v>26</v>
      </c>
      <c r="F1178" s="5">
        <v>3</v>
      </c>
      <c r="G1178" s="5">
        <v>1</v>
      </c>
      <c r="H1178" s="5">
        <v>4801</v>
      </c>
      <c r="I1178" s="5">
        <v>1</v>
      </c>
      <c r="J1178" s="5">
        <v>1600</v>
      </c>
      <c r="K1178" t="s">
        <v>18</v>
      </c>
      <c r="L1178" t="s">
        <v>57</v>
      </c>
      <c r="M1178" t="s">
        <v>47</v>
      </c>
      <c r="N1178" t="s">
        <v>73</v>
      </c>
      <c r="O1178" t="s">
        <v>68</v>
      </c>
      <c r="P1178" t="s">
        <v>18</v>
      </c>
      <c r="Q1178">
        <f>Table1[[#This Row],[Course_Fee_AED]]-Table1[[#This Row],[Amount_Paid_AED]]</f>
        <v>3201</v>
      </c>
      <c r="R1178">
        <f>Table1[[#This Row],[Course_Fee_AED]]-Table1[[#This Row],[pending Revenue]]</f>
        <v>1600</v>
      </c>
    </row>
    <row r="1179" spans="1:18" x14ac:dyDescent="0.25">
      <c r="A1179" t="s">
        <v>1256</v>
      </c>
      <c r="B1179" s="2">
        <v>45403</v>
      </c>
      <c r="C1179" t="s">
        <v>51</v>
      </c>
      <c r="D1179" t="s">
        <v>52</v>
      </c>
      <c r="E1179" t="s">
        <v>17</v>
      </c>
      <c r="F1179" s="5">
        <v>6</v>
      </c>
      <c r="G1179" s="5">
        <v>1</v>
      </c>
      <c r="H1179" s="5">
        <v>5983</v>
      </c>
      <c r="I1179" s="5">
        <v>3</v>
      </c>
      <c r="J1179" s="5">
        <v>5982</v>
      </c>
      <c r="K1179" t="s">
        <v>18</v>
      </c>
      <c r="L1179" t="s">
        <v>40</v>
      </c>
      <c r="M1179" t="s">
        <v>20</v>
      </c>
      <c r="N1179" t="s">
        <v>42</v>
      </c>
      <c r="O1179" t="s">
        <v>71</v>
      </c>
      <c r="P1179" t="s">
        <v>18</v>
      </c>
      <c r="Q1179">
        <f>Table1[[#This Row],[Course_Fee_AED]]-Table1[[#This Row],[Amount_Paid_AED]]</f>
        <v>1</v>
      </c>
      <c r="R1179">
        <f>Table1[[#This Row],[Course_Fee_AED]]-Table1[[#This Row],[pending Revenue]]</f>
        <v>5982</v>
      </c>
    </row>
    <row r="1180" spans="1:18" x14ac:dyDescent="0.25">
      <c r="A1180" t="s">
        <v>1257</v>
      </c>
      <c r="B1180" s="2">
        <v>45425</v>
      </c>
      <c r="C1180" t="s">
        <v>45</v>
      </c>
      <c r="D1180" t="s">
        <v>46</v>
      </c>
      <c r="E1180" t="s">
        <v>26</v>
      </c>
      <c r="F1180" s="5">
        <v>3</v>
      </c>
      <c r="G1180" s="5">
        <v>1</v>
      </c>
      <c r="H1180" s="5">
        <v>4703</v>
      </c>
      <c r="I1180" s="5">
        <v>1</v>
      </c>
      <c r="J1180" s="5">
        <v>1567</v>
      </c>
      <c r="K1180" t="s">
        <v>18</v>
      </c>
      <c r="L1180" t="s">
        <v>57</v>
      </c>
      <c r="M1180" t="s">
        <v>41</v>
      </c>
      <c r="N1180" t="s">
        <v>48</v>
      </c>
      <c r="O1180" t="s">
        <v>35</v>
      </c>
      <c r="P1180" t="s">
        <v>36</v>
      </c>
      <c r="Q1180">
        <f>Table1[[#This Row],[Course_Fee_AED]]-Table1[[#This Row],[Amount_Paid_AED]]</f>
        <v>3136</v>
      </c>
      <c r="R1180">
        <f>Table1[[#This Row],[Course_Fee_AED]]-Table1[[#This Row],[pending Revenue]]</f>
        <v>1567</v>
      </c>
    </row>
    <row r="1181" spans="1:18" x14ac:dyDescent="0.25">
      <c r="A1181" t="s">
        <v>1258</v>
      </c>
      <c r="B1181" s="2">
        <v>45551</v>
      </c>
      <c r="C1181" t="s">
        <v>100</v>
      </c>
      <c r="D1181" t="s">
        <v>101</v>
      </c>
      <c r="E1181" t="s">
        <v>26</v>
      </c>
      <c r="F1181" s="5">
        <v>3</v>
      </c>
      <c r="G1181" s="5">
        <v>1</v>
      </c>
      <c r="H1181" s="5">
        <v>4943</v>
      </c>
      <c r="I1181" s="5">
        <v>1</v>
      </c>
      <c r="J1181" s="5">
        <v>1647</v>
      </c>
      <c r="K1181" t="s">
        <v>18</v>
      </c>
      <c r="L1181" t="s">
        <v>40</v>
      </c>
      <c r="M1181" t="s">
        <v>47</v>
      </c>
      <c r="N1181" t="s">
        <v>34</v>
      </c>
      <c r="O1181" t="s">
        <v>71</v>
      </c>
      <c r="P1181" t="s">
        <v>36</v>
      </c>
      <c r="Q1181">
        <f>Table1[[#This Row],[Course_Fee_AED]]-Table1[[#This Row],[Amount_Paid_AED]]</f>
        <v>3296</v>
      </c>
      <c r="R1181">
        <f>Table1[[#This Row],[Course_Fee_AED]]-Table1[[#This Row],[pending Revenue]]</f>
        <v>1647</v>
      </c>
    </row>
    <row r="1182" spans="1:18" x14ac:dyDescent="0.25">
      <c r="A1182" t="s">
        <v>1259</v>
      </c>
      <c r="B1182" s="2">
        <v>45646</v>
      </c>
      <c r="C1182" t="s">
        <v>100</v>
      </c>
      <c r="D1182" t="s">
        <v>101</v>
      </c>
      <c r="E1182" t="s">
        <v>17</v>
      </c>
      <c r="F1182" s="5">
        <v>6</v>
      </c>
      <c r="G1182" s="5">
        <v>1</v>
      </c>
      <c r="H1182" s="5">
        <v>3622</v>
      </c>
      <c r="I1182" s="5">
        <v>1</v>
      </c>
      <c r="J1182" s="5">
        <v>1207</v>
      </c>
      <c r="K1182" t="s">
        <v>18</v>
      </c>
      <c r="L1182" t="s">
        <v>19</v>
      </c>
      <c r="M1182" t="s">
        <v>47</v>
      </c>
      <c r="N1182" t="s">
        <v>21</v>
      </c>
      <c r="O1182" t="s">
        <v>22</v>
      </c>
      <c r="P1182" t="s">
        <v>36</v>
      </c>
      <c r="Q1182">
        <f>Table1[[#This Row],[Course_Fee_AED]]-Table1[[#This Row],[Amount_Paid_AED]]</f>
        <v>2415</v>
      </c>
      <c r="R1182">
        <f>Table1[[#This Row],[Course_Fee_AED]]-Table1[[#This Row],[pending Revenue]]</f>
        <v>1207</v>
      </c>
    </row>
    <row r="1183" spans="1:18" x14ac:dyDescent="0.25">
      <c r="A1183" t="s">
        <v>1260</v>
      </c>
      <c r="B1183" s="2">
        <v>45564</v>
      </c>
      <c r="C1183" t="s">
        <v>106</v>
      </c>
      <c r="D1183" t="s">
        <v>107</v>
      </c>
      <c r="E1183" t="s">
        <v>17</v>
      </c>
      <c r="F1183" s="5">
        <v>6</v>
      </c>
      <c r="G1183" s="5">
        <v>1</v>
      </c>
      <c r="H1183" s="5">
        <v>7928</v>
      </c>
      <c r="I1183" s="5">
        <v>1</v>
      </c>
      <c r="J1183" s="5">
        <v>2642</v>
      </c>
      <c r="K1183" t="s">
        <v>18</v>
      </c>
      <c r="L1183" t="s">
        <v>40</v>
      </c>
      <c r="M1183" t="s">
        <v>60</v>
      </c>
      <c r="N1183" t="s">
        <v>42</v>
      </c>
      <c r="O1183" t="s">
        <v>87</v>
      </c>
      <c r="P1183" t="s">
        <v>36</v>
      </c>
      <c r="Q1183">
        <f>Table1[[#This Row],[Course_Fee_AED]]-Table1[[#This Row],[Amount_Paid_AED]]</f>
        <v>5286</v>
      </c>
      <c r="R1183">
        <f>Table1[[#This Row],[Course_Fee_AED]]-Table1[[#This Row],[pending Revenue]]</f>
        <v>2642</v>
      </c>
    </row>
    <row r="1184" spans="1:18" x14ac:dyDescent="0.25">
      <c r="A1184" t="s">
        <v>1261</v>
      </c>
      <c r="B1184" s="2">
        <v>45581</v>
      </c>
      <c r="C1184" t="s">
        <v>45</v>
      </c>
      <c r="D1184" t="s">
        <v>46</v>
      </c>
      <c r="E1184" t="s">
        <v>17</v>
      </c>
      <c r="F1184" s="5">
        <v>6</v>
      </c>
      <c r="G1184" s="5">
        <v>1</v>
      </c>
      <c r="H1184" s="5">
        <v>4327</v>
      </c>
      <c r="I1184" s="5">
        <v>3</v>
      </c>
      <c r="J1184" s="5">
        <v>4326</v>
      </c>
      <c r="K1184" t="s">
        <v>18</v>
      </c>
      <c r="L1184" t="s">
        <v>19</v>
      </c>
      <c r="M1184" t="s">
        <v>47</v>
      </c>
      <c r="N1184" t="s">
        <v>21</v>
      </c>
      <c r="O1184" t="s">
        <v>64</v>
      </c>
      <c r="P1184" t="s">
        <v>36</v>
      </c>
      <c r="Q1184">
        <f>Table1[[#This Row],[Course_Fee_AED]]-Table1[[#This Row],[Amount_Paid_AED]]</f>
        <v>1</v>
      </c>
      <c r="R1184">
        <f>Table1[[#This Row],[Course_Fee_AED]]-Table1[[#This Row],[pending Revenue]]</f>
        <v>4326</v>
      </c>
    </row>
    <row r="1185" spans="1:18" x14ac:dyDescent="0.25">
      <c r="A1185" t="s">
        <v>1262</v>
      </c>
      <c r="B1185" s="2">
        <v>45463</v>
      </c>
      <c r="C1185" t="s">
        <v>31</v>
      </c>
      <c r="D1185" t="s">
        <v>32</v>
      </c>
      <c r="E1185" t="s">
        <v>26</v>
      </c>
      <c r="F1185" s="5">
        <v>3</v>
      </c>
      <c r="G1185" s="5">
        <v>1</v>
      </c>
      <c r="H1185" s="5">
        <v>6585</v>
      </c>
      <c r="I1185" s="5">
        <v>3</v>
      </c>
      <c r="J1185" s="5">
        <v>6585</v>
      </c>
      <c r="K1185" t="s">
        <v>33</v>
      </c>
      <c r="L1185" t="s">
        <v>19</v>
      </c>
      <c r="M1185" t="s">
        <v>27</v>
      </c>
      <c r="N1185" t="s">
        <v>48</v>
      </c>
      <c r="O1185" t="s">
        <v>49</v>
      </c>
      <c r="P1185" t="s">
        <v>36</v>
      </c>
      <c r="Q1185">
        <f>Table1[[#This Row],[Course_Fee_AED]]-Table1[[#This Row],[Amount_Paid_AED]]</f>
        <v>0</v>
      </c>
      <c r="R1185">
        <f>Table1[[#This Row],[Course_Fee_AED]]-Table1[[#This Row],[pending Revenue]]</f>
        <v>6585</v>
      </c>
    </row>
    <row r="1186" spans="1:18" x14ac:dyDescent="0.25">
      <c r="A1186" t="s">
        <v>1263</v>
      </c>
      <c r="B1186" s="2">
        <v>45637</v>
      </c>
      <c r="C1186" t="s">
        <v>92</v>
      </c>
      <c r="D1186" t="s">
        <v>93</v>
      </c>
      <c r="E1186" t="s">
        <v>26</v>
      </c>
      <c r="F1186" s="5">
        <v>3</v>
      </c>
      <c r="G1186" s="5">
        <v>1</v>
      </c>
      <c r="H1186" s="5">
        <v>5820</v>
      </c>
      <c r="I1186" s="5">
        <v>1</v>
      </c>
      <c r="J1186" s="5">
        <v>1940</v>
      </c>
      <c r="K1186" t="s">
        <v>18</v>
      </c>
      <c r="L1186" t="s">
        <v>57</v>
      </c>
      <c r="M1186" t="s">
        <v>27</v>
      </c>
      <c r="N1186" t="s">
        <v>95</v>
      </c>
      <c r="O1186" t="s">
        <v>49</v>
      </c>
      <c r="P1186" t="s">
        <v>18</v>
      </c>
      <c r="Q1186">
        <f>Table1[[#This Row],[Course_Fee_AED]]-Table1[[#This Row],[Amount_Paid_AED]]</f>
        <v>3880</v>
      </c>
      <c r="R1186">
        <f>Table1[[#This Row],[Course_Fee_AED]]-Table1[[#This Row],[pending Revenue]]</f>
        <v>1940</v>
      </c>
    </row>
    <row r="1187" spans="1:18" x14ac:dyDescent="0.25">
      <c r="A1187" t="s">
        <v>1264</v>
      </c>
      <c r="B1187" s="2">
        <v>45373</v>
      </c>
      <c r="C1187" t="s">
        <v>82</v>
      </c>
      <c r="D1187" t="s">
        <v>83</v>
      </c>
      <c r="E1187" t="s">
        <v>17</v>
      </c>
      <c r="F1187" s="5">
        <v>6</v>
      </c>
      <c r="G1187" s="5">
        <v>1</v>
      </c>
      <c r="H1187" s="5">
        <v>8827</v>
      </c>
      <c r="I1187" s="5">
        <v>2</v>
      </c>
      <c r="J1187" s="5">
        <v>5884</v>
      </c>
      <c r="K1187" t="s">
        <v>18</v>
      </c>
      <c r="L1187" t="s">
        <v>40</v>
      </c>
      <c r="M1187" t="s">
        <v>27</v>
      </c>
      <c r="N1187" t="s">
        <v>28</v>
      </c>
      <c r="O1187" t="s">
        <v>29</v>
      </c>
      <c r="P1187" t="s">
        <v>36</v>
      </c>
      <c r="Q1187">
        <f>Table1[[#This Row],[Course_Fee_AED]]-Table1[[#This Row],[Amount_Paid_AED]]</f>
        <v>2943</v>
      </c>
      <c r="R1187">
        <f>Table1[[#This Row],[Course_Fee_AED]]-Table1[[#This Row],[pending Revenue]]</f>
        <v>5884</v>
      </c>
    </row>
    <row r="1188" spans="1:18" x14ac:dyDescent="0.25">
      <c r="A1188" t="s">
        <v>1265</v>
      </c>
      <c r="B1188" s="2">
        <v>45520</v>
      </c>
      <c r="C1188" t="s">
        <v>24</v>
      </c>
      <c r="D1188" t="s">
        <v>25</v>
      </c>
      <c r="E1188" t="s">
        <v>26</v>
      </c>
      <c r="F1188" s="5">
        <v>3</v>
      </c>
      <c r="G1188" s="5">
        <v>1</v>
      </c>
      <c r="H1188" s="5">
        <v>6802</v>
      </c>
      <c r="I1188" s="5">
        <v>3</v>
      </c>
      <c r="J1188" s="5">
        <v>6801</v>
      </c>
      <c r="K1188" t="s">
        <v>18</v>
      </c>
      <c r="L1188" t="s">
        <v>19</v>
      </c>
      <c r="M1188" t="s">
        <v>20</v>
      </c>
      <c r="N1188" t="s">
        <v>86</v>
      </c>
      <c r="O1188" t="s">
        <v>71</v>
      </c>
      <c r="P1188" t="s">
        <v>36</v>
      </c>
      <c r="Q1188">
        <f>Table1[[#This Row],[Course_Fee_AED]]-Table1[[#This Row],[Amount_Paid_AED]]</f>
        <v>1</v>
      </c>
      <c r="R1188">
        <f>Table1[[#This Row],[Course_Fee_AED]]-Table1[[#This Row],[pending Revenue]]</f>
        <v>6801</v>
      </c>
    </row>
    <row r="1189" spans="1:18" x14ac:dyDescent="0.25">
      <c r="A1189" t="s">
        <v>1266</v>
      </c>
      <c r="B1189" s="2">
        <v>45486</v>
      </c>
      <c r="C1189" t="s">
        <v>51</v>
      </c>
      <c r="D1189" t="s">
        <v>52</v>
      </c>
      <c r="E1189" t="s">
        <v>17</v>
      </c>
      <c r="F1189" s="5">
        <v>6</v>
      </c>
      <c r="G1189" s="5">
        <v>1</v>
      </c>
      <c r="H1189" s="5">
        <v>4005</v>
      </c>
      <c r="I1189" s="5">
        <v>3</v>
      </c>
      <c r="J1189" s="5">
        <v>4005</v>
      </c>
      <c r="K1189" t="s">
        <v>33</v>
      </c>
      <c r="L1189" t="s">
        <v>40</v>
      </c>
      <c r="M1189" t="s">
        <v>41</v>
      </c>
      <c r="N1189" t="s">
        <v>154</v>
      </c>
      <c r="O1189" t="s">
        <v>64</v>
      </c>
      <c r="P1189" t="s">
        <v>36</v>
      </c>
      <c r="Q1189">
        <f>Table1[[#This Row],[Course_Fee_AED]]-Table1[[#This Row],[Amount_Paid_AED]]</f>
        <v>0</v>
      </c>
      <c r="R1189">
        <f>Table1[[#This Row],[Course_Fee_AED]]-Table1[[#This Row],[pending Revenue]]</f>
        <v>4005</v>
      </c>
    </row>
    <row r="1190" spans="1:18" x14ac:dyDescent="0.25">
      <c r="A1190" t="s">
        <v>1267</v>
      </c>
      <c r="B1190" s="2">
        <v>45654</v>
      </c>
      <c r="C1190" t="s">
        <v>82</v>
      </c>
      <c r="D1190" t="s">
        <v>83</v>
      </c>
      <c r="E1190" t="s">
        <v>26</v>
      </c>
      <c r="F1190" s="5">
        <v>3</v>
      </c>
      <c r="G1190" s="5">
        <v>1</v>
      </c>
      <c r="H1190" s="5">
        <v>11247</v>
      </c>
      <c r="I1190" s="5">
        <v>3</v>
      </c>
      <c r="J1190" s="5">
        <v>11247</v>
      </c>
      <c r="K1190" t="s">
        <v>33</v>
      </c>
      <c r="L1190" t="s">
        <v>19</v>
      </c>
      <c r="M1190" t="s">
        <v>47</v>
      </c>
      <c r="N1190" t="s">
        <v>42</v>
      </c>
      <c r="O1190" t="s">
        <v>64</v>
      </c>
      <c r="P1190" t="s">
        <v>18</v>
      </c>
      <c r="Q1190">
        <f>Table1[[#This Row],[Course_Fee_AED]]-Table1[[#This Row],[Amount_Paid_AED]]</f>
        <v>0</v>
      </c>
      <c r="R1190">
        <f>Table1[[#This Row],[Course_Fee_AED]]-Table1[[#This Row],[pending Revenue]]</f>
        <v>11247</v>
      </c>
    </row>
    <row r="1191" spans="1:18" x14ac:dyDescent="0.25">
      <c r="A1191" t="s">
        <v>1268</v>
      </c>
      <c r="B1191" s="2">
        <v>45499</v>
      </c>
      <c r="C1191" t="s">
        <v>113</v>
      </c>
      <c r="D1191" t="s">
        <v>93</v>
      </c>
      <c r="E1191" t="s">
        <v>17</v>
      </c>
      <c r="F1191" s="5">
        <v>6</v>
      </c>
      <c r="G1191" s="5">
        <v>1</v>
      </c>
      <c r="H1191" s="5">
        <v>4656</v>
      </c>
      <c r="I1191" s="5">
        <v>3</v>
      </c>
      <c r="J1191" s="5">
        <v>4656</v>
      </c>
      <c r="K1191" t="s">
        <v>33</v>
      </c>
      <c r="L1191" t="s">
        <v>57</v>
      </c>
      <c r="M1191" t="s">
        <v>60</v>
      </c>
      <c r="N1191" t="s">
        <v>90</v>
      </c>
      <c r="O1191" t="s">
        <v>35</v>
      </c>
      <c r="P1191" t="s">
        <v>18</v>
      </c>
      <c r="Q1191">
        <f>Table1[[#This Row],[Course_Fee_AED]]-Table1[[#This Row],[Amount_Paid_AED]]</f>
        <v>0</v>
      </c>
      <c r="R1191">
        <f>Table1[[#This Row],[Course_Fee_AED]]-Table1[[#This Row],[pending Revenue]]</f>
        <v>4656</v>
      </c>
    </row>
    <row r="1192" spans="1:18" x14ac:dyDescent="0.25">
      <c r="A1192" t="s">
        <v>1269</v>
      </c>
      <c r="B1192" s="2">
        <v>45304</v>
      </c>
      <c r="C1192" t="s">
        <v>113</v>
      </c>
      <c r="D1192" t="s">
        <v>93</v>
      </c>
      <c r="E1192" t="s">
        <v>26</v>
      </c>
      <c r="F1192" s="5">
        <v>3</v>
      </c>
      <c r="G1192" s="5">
        <v>1</v>
      </c>
      <c r="H1192" s="5">
        <v>4618</v>
      </c>
      <c r="I1192" s="5">
        <v>3</v>
      </c>
      <c r="J1192" s="5">
        <v>4617</v>
      </c>
      <c r="K1192" t="s">
        <v>18</v>
      </c>
      <c r="L1192" t="s">
        <v>40</v>
      </c>
      <c r="M1192" t="s">
        <v>27</v>
      </c>
      <c r="N1192" t="s">
        <v>42</v>
      </c>
      <c r="O1192" t="s">
        <v>43</v>
      </c>
      <c r="P1192" t="s">
        <v>18</v>
      </c>
      <c r="Q1192">
        <f>Table1[[#This Row],[Course_Fee_AED]]-Table1[[#This Row],[Amount_Paid_AED]]</f>
        <v>1</v>
      </c>
      <c r="R1192">
        <f>Table1[[#This Row],[Course_Fee_AED]]-Table1[[#This Row],[pending Revenue]]</f>
        <v>4617</v>
      </c>
    </row>
    <row r="1193" spans="1:18" x14ac:dyDescent="0.25">
      <c r="A1193" t="s">
        <v>1270</v>
      </c>
      <c r="B1193" s="2">
        <v>45649</v>
      </c>
      <c r="C1193" t="s">
        <v>55</v>
      </c>
      <c r="D1193" t="s">
        <v>56</v>
      </c>
      <c r="E1193" t="s">
        <v>26</v>
      </c>
      <c r="F1193" s="5">
        <v>3</v>
      </c>
      <c r="G1193" s="5">
        <v>1</v>
      </c>
      <c r="H1193" s="5">
        <v>9767</v>
      </c>
      <c r="I1193" s="5">
        <v>2</v>
      </c>
      <c r="J1193" s="5">
        <v>6510</v>
      </c>
      <c r="K1193" t="s">
        <v>18</v>
      </c>
      <c r="L1193" t="s">
        <v>40</v>
      </c>
      <c r="M1193" t="s">
        <v>20</v>
      </c>
      <c r="N1193" t="s">
        <v>48</v>
      </c>
      <c r="O1193" t="s">
        <v>35</v>
      </c>
      <c r="P1193" t="s">
        <v>36</v>
      </c>
      <c r="Q1193">
        <f>Table1[[#This Row],[Course_Fee_AED]]-Table1[[#This Row],[Amount_Paid_AED]]</f>
        <v>3257</v>
      </c>
      <c r="R1193">
        <f>Table1[[#This Row],[Course_Fee_AED]]-Table1[[#This Row],[pending Revenue]]</f>
        <v>6510</v>
      </c>
    </row>
    <row r="1194" spans="1:18" x14ac:dyDescent="0.25">
      <c r="A1194" t="s">
        <v>1271</v>
      </c>
      <c r="B1194" s="2">
        <v>45419</v>
      </c>
      <c r="C1194" t="s">
        <v>92</v>
      </c>
      <c r="D1194" t="s">
        <v>93</v>
      </c>
      <c r="E1194" t="s">
        <v>26</v>
      </c>
      <c r="F1194" s="5">
        <v>3</v>
      </c>
      <c r="G1194" s="5">
        <v>1</v>
      </c>
      <c r="H1194" s="5">
        <v>6464</v>
      </c>
      <c r="I1194" s="5">
        <v>2</v>
      </c>
      <c r="J1194" s="5">
        <v>4308</v>
      </c>
      <c r="K1194" t="s">
        <v>18</v>
      </c>
      <c r="L1194" t="s">
        <v>19</v>
      </c>
      <c r="M1194" t="s">
        <v>60</v>
      </c>
      <c r="N1194" t="s">
        <v>70</v>
      </c>
      <c r="O1194" t="s">
        <v>49</v>
      </c>
      <c r="P1194" t="s">
        <v>18</v>
      </c>
      <c r="Q1194">
        <f>Table1[[#This Row],[Course_Fee_AED]]-Table1[[#This Row],[Amount_Paid_AED]]</f>
        <v>2156</v>
      </c>
      <c r="R1194">
        <f>Table1[[#This Row],[Course_Fee_AED]]-Table1[[#This Row],[pending Revenue]]</f>
        <v>4308</v>
      </c>
    </row>
    <row r="1195" spans="1:18" x14ac:dyDescent="0.25">
      <c r="A1195" t="s">
        <v>1272</v>
      </c>
      <c r="B1195" s="2">
        <v>45597</v>
      </c>
      <c r="C1195" t="s">
        <v>38</v>
      </c>
      <c r="D1195" t="s">
        <v>39</v>
      </c>
      <c r="E1195" t="s">
        <v>26</v>
      </c>
      <c r="F1195" s="5">
        <v>3</v>
      </c>
      <c r="G1195" s="5">
        <v>1</v>
      </c>
      <c r="H1195" s="5">
        <v>5557</v>
      </c>
      <c r="I1195" s="5">
        <v>3</v>
      </c>
      <c r="J1195" s="5">
        <v>5556</v>
      </c>
      <c r="K1195" t="s">
        <v>18</v>
      </c>
      <c r="L1195" t="s">
        <v>19</v>
      </c>
      <c r="M1195" t="s">
        <v>63</v>
      </c>
      <c r="N1195" t="s">
        <v>21</v>
      </c>
      <c r="O1195" t="s">
        <v>49</v>
      </c>
      <c r="P1195" t="s">
        <v>36</v>
      </c>
      <c r="Q1195">
        <f>Table1[[#This Row],[Course_Fee_AED]]-Table1[[#This Row],[Amount_Paid_AED]]</f>
        <v>1</v>
      </c>
      <c r="R1195">
        <f>Table1[[#This Row],[Course_Fee_AED]]-Table1[[#This Row],[pending Revenue]]</f>
        <v>5556</v>
      </c>
    </row>
    <row r="1196" spans="1:18" x14ac:dyDescent="0.25">
      <c r="A1196" t="s">
        <v>1273</v>
      </c>
      <c r="B1196" s="2">
        <v>45580</v>
      </c>
      <c r="C1196" t="s">
        <v>24</v>
      </c>
      <c r="D1196" t="s">
        <v>25</v>
      </c>
      <c r="E1196" t="s">
        <v>17</v>
      </c>
      <c r="F1196" s="5">
        <v>6</v>
      </c>
      <c r="G1196" s="5">
        <v>1</v>
      </c>
      <c r="H1196" s="5">
        <v>5712</v>
      </c>
      <c r="I1196" s="5">
        <v>3</v>
      </c>
      <c r="J1196" s="5">
        <v>5712</v>
      </c>
      <c r="K1196" t="s">
        <v>33</v>
      </c>
      <c r="L1196" t="s">
        <v>19</v>
      </c>
      <c r="M1196" t="s">
        <v>20</v>
      </c>
      <c r="N1196" t="s">
        <v>116</v>
      </c>
      <c r="O1196" t="s">
        <v>58</v>
      </c>
      <c r="P1196" t="s">
        <v>18</v>
      </c>
      <c r="Q1196">
        <f>Table1[[#This Row],[Course_Fee_AED]]-Table1[[#This Row],[Amount_Paid_AED]]</f>
        <v>0</v>
      </c>
      <c r="R1196">
        <f>Table1[[#This Row],[Course_Fee_AED]]-Table1[[#This Row],[pending Revenue]]</f>
        <v>5712</v>
      </c>
    </row>
    <row r="1197" spans="1:18" x14ac:dyDescent="0.25">
      <c r="A1197" t="s">
        <v>1274</v>
      </c>
      <c r="B1197" s="2">
        <v>45648</v>
      </c>
      <c r="C1197" t="s">
        <v>100</v>
      </c>
      <c r="D1197" t="s">
        <v>101</v>
      </c>
      <c r="E1197" t="s">
        <v>26</v>
      </c>
      <c r="F1197" s="5">
        <v>3</v>
      </c>
      <c r="G1197" s="5">
        <v>1</v>
      </c>
      <c r="H1197" s="5">
        <v>5489</v>
      </c>
      <c r="I1197" s="5">
        <v>1</v>
      </c>
      <c r="J1197" s="5">
        <v>1829</v>
      </c>
      <c r="K1197" t="s">
        <v>18</v>
      </c>
      <c r="L1197" t="s">
        <v>57</v>
      </c>
      <c r="M1197" t="s">
        <v>47</v>
      </c>
      <c r="N1197" t="s">
        <v>79</v>
      </c>
      <c r="O1197" t="s">
        <v>58</v>
      </c>
      <c r="P1197" t="s">
        <v>18</v>
      </c>
      <c r="Q1197">
        <f>Table1[[#This Row],[Course_Fee_AED]]-Table1[[#This Row],[Amount_Paid_AED]]</f>
        <v>3660</v>
      </c>
      <c r="R1197">
        <f>Table1[[#This Row],[Course_Fee_AED]]-Table1[[#This Row],[pending Revenue]]</f>
        <v>1829</v>
      </c>
    </row>
    <row r="1198" spans="1:18" x14ac:dyDescent="0.25">
      <c r="A1198" t="s">
        <v>1275</v>
      </c>
      <c r="B1198" s="2">
        <v>45413</v>
      </c>
      <c r="C1198" t="s">
        <v>113</v>
      </c>
      <c r="D1198" t="s">
        <v>93</v>
      </c>
      <c r="E1198" t="s">
        <v>26</v>
      </c>
      <c r="F1198" s="5">
        <v>3</v>
      </c>
      <c r="G1198" s="5">
        <v>1</v>
      </c>
      <c r="H1198" s="5">
        <v>3006</v>
      </c>
      <c r="I1198" s="5">
        <v>1</v>
      </c>
      <c r="J1198" s="5">
        <v>1002</v>
      </c>
      <c r="K1198" t="s">
        <v>18</v>
      </c>
      <c r="L1198" t="s">
        <v>57</v>
      </c>
      <c r="M1198" t="s">
        <v>60</v>
      </c>
      <c r="N1198" t="s">
        <v>70</v>
      </c>
      <c r="O1198" t="s">
        <v>64</v>
      </c>
      <c r="P1198" t="s">
        <v>36</v>
      </c>
      <c r="Q1198">
        <f>Table1[[#This Row],[Course_Fee_AED]]-Table1[[#This Row],[Amount_Paid_AED]]</f>
        <v>2004</v>
      </c>
      <c r="R1198">
        <f>Table1[[#This Row],[Course_Fee_AED]]-Table1[[#This Row],[pending Revenue]]</f>
        <v>1002</v>
      </c>
    </row>
    <row r="1199" spans="1:18" x14ac:dyDescent="0.25">
      <c r="A1199" t="s">
        <v>1276</v>
      </c>
      <c r="B1199" s="2">
        <v>45370</v>
      </c>
      <c r="C1199" t="s">
        <v>113</v>
      </c>
      <c r="D1199" t="s">
        <v>93</v>
      </c>
      <c r="E1199" t="s">
        <v>26</v>
      </c>
      <c r="F1199" s="5">
        <v>3</v>
      </c>
      <c r="G1199" s="5">
        <v>1</v>
      </c>
      <c r="H1199" s="5">
        <v>4096</v>
      </c>
      <c r="I1199" s="5">
        <v>3</v>
      </c>
      <c r="J1199" s="5">
        <v>4095</v>
      </c>
      <c r="K1199" t="s">
        <v>18</v>
      </c>
      <c r="L1199" t="s">
        <v>19</v>
      </c>
      <c r="M1199" t="s">
        <v>47</v>
      </c>
      <c r="N1199" t="s">
        <v>48</v>
      </c>
      <c r="O1199" t="s">
        <v>22</v>
      </c>
      <c r="P1199" t="s">
        <v>36</v>
      </c>
      <c r="Q1199">
        <f>Table1[[#This Row],[Course_Fee_AED]]-Table1[[#This Row],[Amount_Paid_AED]]</f>
        <v>1</v>
      </c>
      <c r="R1199">
        <f>Table1[[#This Row],[Course_Fee_AED]]-Table1[[#This Row],[pending Revenue]]</f>
        <v>4095</v>
      </c>
    </row>
    <row r="1200" spans="1:18" x14ac:dyDescent="0.25">
      <c r="A1200" t="s">
        <v>1277</v>
      </c>
      <c r="B1200" s="2">
        <v>45531</v>
      </c>
      <c r="C1200" t="s">
        <v>66</v>
      </c>
      <c r="D1200" t="s">
        <v>56</v>
      </c>
      <c r="E1200" t="s">
        <v>17</v>
      </c>
      <c r="F1200" s="5">
        <v>6</v>
      </c>
      <c r="G1200" s="5">
        <v>1</v>
      </c>
      <c r="H1200" s="5">
        <v>7954</v>
      </c>
      <c r="I1200" s="5">
        <v>2</v>
      </c>
      <c r="J1200" s="5">
        <v>5302</v>
      </c>
      <c r="K1200" t="s">
        <v>18</v>
      </c>
      <c r="L1200" t="s">
        <v>57</v>
      </c>
      <c r="M1200" t="s">
        <v>20</v>
      </c>
      <c r="N1200" t="s">
        <v>154</v>
      </c>
      <c r="O1200" t="s">
        <v>68</v>
      </c>
      <c r="P1200" t="s">
        <v>18</v>
      </c>
      <c r="Q1200">
        <f>Table1[[#This Row],[Course_Fee_AED]]-Table1[[#This Row],[Amount_Paid_AED]]</f>
        <v>2652</v>
      </c>
      <c r="R1200">
        <f>Table1[[#This Row],[Course_Fee_AED]]-Table1[[#This Row],[pending Revenue]]</f>
        <v>5302</v>
      </c>
    </row>
    <row r="1201" spans="1:18" x14ac:dyDescent="0.25">
      <c r="A1201" t="s">
        <v>1278</v>
      </c>
      <c r="B1201" s="2">
        <v>45550</v>
      </c>
      <c r="C1201" t="s">
        <v>38</v>
      </c>
      <c r="D1201" t="s">
        <v>39</v>
      </c>
      <c r="E1201" t="s">
        <v>17</v>
      </c>
      <c r="F1201" s="5">
        <v>6</v>
      </c>
      <c r="G1201" s="5">
        <v>1</v>
      </c>
      <c r="H1201" s="5">
        <v>7410</v>
      </c>
      <c r="I1201" s="5">
        <v>2</v>
      </c>
      <c r="J1201" s="5">
        <v>4940</v>
      </c>
      <c r="K1201" t="s">
        <v>18</v>
      </c>
      <c r="L1201" t="s">
        <v>40</v>
      </c>
      <c r="M1201" t="s">
        <v>27</v>
      </c>
      <c r="N1201" t="s">
        <v>42</v>
      </c>
      <c r="O1201" t="s">
        <v>43</v>
      </c>
      <c r="P1201" t="s">
        <v>36</v>
      </c>
      <c r="Q1201">
        <f>Table1[[#This Row],[Course_Fee_AED]]-Table1[[#This Row],[Amount_Paid_AED]]</f>
        <v>2470</v>
      </c>
      <c r="R1201">
        <f>Table1[[#This Row],[Course_Fee_AED]]-Table1[[#This Row],[pending Revenue]]</f>
        <v>4940</v>
      </c>
    </row>
    <row r="1202" spans="1:18" x14ac:dyDescent="0.25">
      <c r="A1202" t="s">
        <v>1279</v>
      </c>
      <c r="B1202" s="2">
        <v>45559</v>
      </c>
      <c r="C1202" t="s">
        <v>38</v>
      </c>
      <c r="D1202" t="s">
        <v>39</v>
      </c>
      <c r="E1202" t="s">
        <v>26</v>
      </c>
      <c r="F1202" s="5">
        <v>3</v>
      </c>
      <c r="G1202" s="5">
        <v>1</v>
      </c>
      <c r="H1202" s="5">
        <v>6743</v>
      </c>
      <c r="I1202" s="5">
        <v>3</v>
      </c>
      <c r="J1202" s="5">
        <v>6741</v>
      </c>
      <c r="K1202" t="s">
        <v>18</v>
      </c>
      <c r="L1202" t="s">
        <v>40</v>
      </c>
      <c r="M1202" t="s">
        <v>63</v>
      </c>
      <c r="N1202" t="s">
        <v>28</v>
      </c>
      <c r="O1202" t="s">
        <v>58</v>
      </c>
      <c r="P1202" t="s">
        <v>36</v>
      </c>
      <c r="Q1202">
        <f>Table1[[#This Row],[Course_Fee_AED]]-Table1[[#This Row],[Amount_Paid_AED]]</f>
        <v>2</v>
      </c>
      <c r="R1202">
        <f>Table1[[#This Row],[Course_Fee_AED]]-Table1[[#This Row],[pending Revenue]]</f>
        <v>6741</v>
      </c>
    </row>
    <row r="1203" spans="1:18" x14ac:dyDescent="0.25">
      <c r="A1203" t="s">
        <v>1280</v>
      </c>
      <c r="B1203" s="2">
        <v>45527</v>
      </c>
      <c r="C1203" t="s">
        <v>55</v>
      </c>
      <c r="D1203" t="s">
        <v>56</v>
      </c>
      <c r="E1203" t="s">
        <v>17</v>
      </c>
      <c r="F1203" s="5">
        <v>6</v>
      </c>
      <c r="G1203" s="5">
        <v>1</v>
      </c>
      <c r="H1203" s="5">
        <v>8054</v>
      </c>
      <c r="I1203" s="5">
        <v>1</v>
      </c>
      <c r="J1203" s="5">
        <v>2684</v>
      </c>
      <c r="K1203" t="s">
        <v>18</v>
      </c>
      <c r="L1203" t="s">
        <v>57</v>
      </c>
      <c r="M1203" t="s">
        <v>63</v>
      </c>
      <c r="N1203" t="s">
        <v>154</v>
      </c>
      <c r="O1203" t="s">
        <v>71</v>
      </c>
      <c r="P1203" t="s">
        <v>36</v>
      </c>
      <c r="Q1203">
        <f>Table1[[#This Row],[Course_Fee_AED]]-Table1[[#This Row],[Amount_Paid_AED]]</f>
        <v>5370</v>
      </c>
      <c r="R1203">
        <f>Table1[[#This Row],[Course_Fee_AED]]-Table1[[#This Row],[pending Revenue]]</f>
        <v>2684</v>
      </c>
    </row>
    <row r="1204" spans="1:18" x14ac:dyDescent="0.25">
      <c r="A1204" t="s">
        <v>1281</v>
      </c>
      <c r="B1204" s="2">
        <v>45647</v>
      </c>
      <c r="C1204" t="s">
        <v>100</v>
      </c>
      <c r="D1204" t="s">
        <v>101</v>
      </c>
      <c r="E1204" t="s">
        <v>17</v>
      </c>
      <c r="F1204" s="5">
        <v>6</v>
      </c>
      <c r="G1204" s="5">
        <v>1</v>
      </c>
      <c r="H1204" s="5">
        <v>3635</v>
      </c>
      <c r="I1204" s="5">
        <v>1</v>
      </c>
      <c r="J1204" s="5">
        <v>1211</v>
      </c>
      <c r="K1204" t="s">
        <v>18</v>
      </c>
      <c r="L1204" t="s">
        <v>40</v>
      </c>
      <c r="M1204" t="s">
        <v>63</v>
      </c>
      <c r="N1204" t="s">
        <v>34</v>
      </c>
      <c r="O1204" t="s">
        <v>68</v>
      </c>
      <c r="P1204" t="s">
        <v>36</v>
      </c>
      <c r="Q1204">
        <f>Table1[[#This Row],[Course_Fee_AED]]-Table1[[#This Row],[Amount_Paid_AED]]</f>
        <v>2424</v>
      </c>
      <c r="R1204">
        <f>Table1[[#This Row],[Course_Fee_AED]]-Table1[[#This Row],[pending Revenue]]</f>
        <v>1211</v>
      </c>
    </row>
    <row r="1205" spans="1:18" x14ac:dyDescent="0.25">
      <c r="A1205" t="s">
        <v>1282</v>
      </c>
      <c r="B1205" s="2">
        <v>45428</v>
      </c>
      <c r="C1205" t="s">
        <v>82</v>
      </c>
      <c r="D1205" t="s">
        <v>83</v>
      </c>
      <c r="E1205" t="s">
        <v>26</v>
      </c>
      <c r="F1205" s="5">
        <v>3</v>
      </c>
      <c r="G1205" s="5">
        <v>1</v>
      </c>
      <c r="H1205" s="5">
        <v>9512</v>
      </c>
      <c r="I1205" s="5">
        <v>3</v>
      </c>
      <c r="J1205" s="5">
        <v>9510</v>
      </c>
      <c r="K1205" t="s">
        <v>18</v>
      </c>
      <c r="L1205" t="s">
        <v>19</v>
      </c>
      <c r="M1205" t="s">
        <v>41</v>
      </c>
      <c r="N1205" t="s">
        <v>61</v>
      </c>
      <c r="O1205" t="s">
        <v>71</v>
      </c>
      <c r="P1205" t="s">
        <v>36</v>
      </c>
      <c r="Q1205">
        <f>Table1[[#This Row],[Course_Fee_AED]]-Table1[[#This Row],[Amount_Paid_AED]]</f>
        <v>2</v>
      </c>
      <c r="R1205">
        <f>Table1[[#This Row],[Course_Fee_AED]]-Table1[[#This Row],[pending Revenue]]</f>
        <v>9510</v>
      </c>
    </row>
    <row r="1206" spans="1:18" x14ac:dyDescent="0.25">
      <c r="A1206" t="s">
        <v>1283</v>
      </c>
      <c r="B1206" s="2">
        <v>45466</v>
      </c>
      <c r="C1206" t="s">
        <v>51</v>
      </c>
      <c r="D1206" t="s">
        <v>52</v>
      </c>
      <c r="E1206" t="s">
        <v>26</v>
      </c>
      <c r="F1206" s="5">
        <v>3</v>
      </c>
      <c r="G1206" s="5">
        <v>1</v>
      </c>
      <c r="H1206" s="5">
        <v>3782</v>
      </c>
      <c r="I1206" s="5">
        <v>1</v>
      </c>
      <c r="J1206" s="5">
        <v>1260</v>
      </c>
      <c r="K1206" t="s">
        <v>18</v>
      </c>
      <c r="L1206" t="s">
        <v>57</v>
      </c>
      <c r="M1206" t="s">
        <v>27</v>
      </c>
      <c r="N1206" t="s">
        <v>70</v>
      </c>
      <c r="O1206" t="s">
        <v>58</v>
      </c>
      <c r="P1206" t="s">
        <v>18</v>
      </c>
      <c r="Q1206">
        <f>Table1[[#This Row],[Course_Fee_AED]]-Table1[[#This Row],[Amount_Paid_AED]]</f>
        <v>2522</v>
      </c>
      <c r="R1206">
        <f>Table1[[#This Row],[Course_Fee_AED]]-Table1[[#This Row],[pending Revenue]]</f>
        <v>1260</v>
      </c>
    </row>
    <row r="1207" spans="1:18" x14ac:dyDescent="0.25">
      <c r="A1207" t="s">
        <v>1284</v>
      </c>
      <c r="B1207" s="2">
        <v>45656</v>
      </c>
      <c r="C1207" t="s">
        <v>31</v>
      </c>
      <c r="D1207" t="s">
        <v>32</v>
      </c>
      <c r="E1207" t="s">
        <v>26</v>
      </c>
      <c r="F1207" s="5">
        <v>3</v>
      </c>
      <c r="G1207" s="5">
        <v>1</v>
      </c>
      <c r="H1207" s="5">
        <v>7299</v>
      </c>
      <c r="I1207" s="5">
        <v>1</v>
      </c>
      <c r="J1207" s="5">
        <v>2433</v>
      </c>
      <c r="K1207" t="s">
        <v>18</v>
      </c>
      <c r="L1207" t="s">
        <v>19</v>
      </c>
      <c r="M1207" t="s">
        <v>47</v>
      </c>
      <c r="N1207" t="s">
        <v>28</v>
      </c>
      <c r="O1207" t="s">
        <v>35</v>
      </c>
      <c r="P1207" t="s">
        <v>18</v>
      </c>
      <c r="Q1207">
        <f>Table1[[#This Row],[Course_Fee_AED]]-Table1[[#This Row],[Amount_Paid_AED]]</f>
        <v>4866</v>
      </c>
      <c r="R1207">
        <f>Table1[[#This Row],[Course_Fee_AED]]-Table1[[#This Row],[pending Revenue]]</f>
        <v>2433</v>
      </c>
    </row>
    <row r="1208" spans="1:18" x14ac:dyDescent="0.25">
      <c r="A1208" t="s">
        <v>1285</v>
      </c>
      <c r="B1208" s="2">
        <v>45347</v>
      </c>
      <c r="C1208" t="s">
        <v>66</v>
      </c>
      <c r="D1208" t="s">
        <v>56</v>
      </c>
      <c r="E1208" t="s">
        <v>17</v>
      </c>
      <c r="F1208" s="5">
        <v>6</v>
      </c>
      <c r="G1208" s="5">
        <v>1</v>
      </c>
      <c r="H1208" s="5">
        <v>11404</v>
      </c>
      <c r="I1208" s="5">
        <v>2</v>
      </c>
      <c r="J1208" s="5">
        <v>7602</v>
      </c>
      <c r="K1208" t="s">
        <v>18</v>
      </c>
      <c r="L1208" t="s">
        <v>57</v>
      </c>
      <c r="M1208" t="s">
        <v>60</v>
      </c>
      <c r="N1208" t="s">
        <v>86</v>
      </c>
      <c r="O1208" t="s">
        <v>87</v>
      </c>
      <c r="P1208" t="s">
        <v>36</v>
      </c>
      <c r="Q1208">
        <f>Table1[[#This Row],[Course_Fee_AED]]-Table1[[#This Row],[Amount_Paid_AED]]</f>
        <v>3802</v>
      </c>
      <c r="R1208">
        <f>Table1[[#This Row],[Course_Fee_AED]]-Table1[[#This Row],[pending Revenue]]</f>
        <v>7602</v>
      </c>
    </row>
    <row r="1209" spans="1:18" x14ac:dyDescent="0.25">
      <c r="A1209" t="s">
        <v>1286</v>
      </c>
      <c r="B1209" s="2">
        <v>45509</v>
      </c>
      <c r="C1209" t="s">
        <v>31</v>
      </c>
      <c r="D1209" t="s">
        <v>32</v>
      </c>
      <c r="E1209" t="s">
        <v>17</v>
      </c>
      <c r="F1209" s="5">
        <v>6</v>
      </c>
      <c r="G1209" s="5">
        <v>1</v>
      </c>
      <c r="H1209" s="5">
        <v>5841</v>
      </c>
      <c r="I1209" s="5">
        <v>2</v>
      </c>
      <c r="J1209" s="5">
        <v>3894</v>
      </c>
      <c r="K1209" t="s">
        <v>18</v>
      </c>
      <c r="L1209" t="s">
        <v>19</v>
      </c>
      <c r="M1209" t="s">
        <v>20</v>
      </c>
      <c r="N1209" t="s">
        <v>48</v>
      </c>
      <c r="O1209" t="s">
        <v>22</v>
      </c>
      <c r="P1209" t="s">
        <v>36</v>
      </c>
      <c r="Q1209">
        <f>Table1[[#This Row],[Course_Fee_AED]]-Table1[[#This Row],[Amount_Paid_AED]]</f>
        <v>1947</v>
      </c>
      <c r="R1209">
        <f>Table1[[#This Row],[Course_Fee_AED]]-Table1[[#This Row],[pending Revenue]]</f>
        <v>3894</v>
      </c>
    </row>
    <row r="1210" spans="1:18" x14ac:dyDescent="0.25">
      <c r="A1210" t="s">
        <v>1287</v>
      </c>
      <c r="B1210" s="2">
        <v>45479</v>
      </c>
      <c r="C1210" t="s">
        <v>92</v>
      </c>
      <c r="D1210" t="s">
        <v>93</v>
      </c>
      <c r="E1210" t="s">
        <v>17</v>
      </c>
      <c r="F1210" s="5">
        <v>6</v>
      </c>
      <c r="G1210" s="5">
        <v>1</v>
      </c>
      <c r="H1210" s="5">
        <v>6052</v>
      </c>
      <c r="I1210" s="5">
        <v>3</v>
      </c>
      <c r="J1210" s="5">
        <v>6051</v>
      </c>
      <c r="K1210" t="s">
        <v>18</v>
      </c>
      <c r="L1210" t="s">
        <v>57</v>
      </c>
      <c r="M1210" t="s">
        <v>47</v>
      </c>
      <c r="N1210" t="s">
        <v>73</v>
      </c>
      <c r="O1210" t="s">
        <v>68</v>
      </c>
      <c r="P1210" t="s">
        <v>36</v>
      </c>
      <c r="Q1210">
        <f>Table1[[#This Row],[Course_Fee_AED]]-Table1[[#This Row],[Amount_Paid_AED]]</f>
        <v>1</v>
      </c>
      <c r="R1210">
        <f>Table1[[#This Row],[Course_Fee_AED]]-Table1[[#This Row],[pending Revenue]]</f>
        <v>6051</v>
      </c>
    </row>
    <row r="1211" spans="1:18" x14ac:dyDescent="0.25">
      <c r="A1211" t="s">
        <v>1288</v>
      </c>
      <c r="B1211" s="2">
        <v>45377</v>
      </c>
      <c r="C1211" t="s">
        <v>15</v>
      </c>
      <c r="D1211" t="s">
        <v>16</v>
      </c>
      <c r="E1211" t="s">
        <v>26</v>
      </c>
      <c r="F1211" s="5">
        <v>3</v>
      </c>
      <c r="G1211" s="5">
        <v>1</v>
      </c>
      <c r="H1211" s="5">
        <v>6942</v>
      </c>
      <c r="I1211" s="5">
        <v>2</v>
      </c>
      <c r="J1211" s="5">
        <v>4628</v>
      </c>
      <c r="K1211" t="s">
        <v>18</v>
      </c>
      <c r="L1211" t="s">
        <v>57</v>
      </c>
      <c r="M1211" t="s">
        <v>47</v>
      </c>
      <c r="N1211" t="s">
        <v>61</v>
      </c>
      <c r="O1211" t="s">
        <v>29</v>
      </c>
      <c r="P1211" t="s">
        <v>18</v>
      </c>
      <c r="Q1211">
        <f>Table1[[#This Row],[Course_Fee_AED]]-Table1[[#This Row],[Amount_Paid_AED]]</f>
        <v>2314</v>
      </c>
      <c r="R1211">
        <f>Table1[[#This Row],[Course_Fee_AED]]-Table1[[#This Row],[pending Revenue]]</f>
        <v>4628</v>
      </c>
    </row>
    <row r="1212" spans="1:18" x14ac:dyDescent="0.25">
      <c r="A1212" t="s">
        <v>1289</v>
      </c>
      <c r="B1212" s="2">
        <v>45461</v>
      </c>
      <c r="C1212" t="s">
        <v>92</v>
      </c>
      <c r="D1212" t="s">
        <v>93</v>
      </c>
      <c r="E1212" t="s">
        <v>17</v>
      </c>
      <c r="F1212" s="5">
        <v>6</v>
      </c>
      <c r="G1212" s="5">
        <v>1</v>
      </c>
      <c r="H1212" s="5">
        <v>6011</v>
      </c>
      <c r="I1212" s="5">
        <v>1</v>
      </c>
      <c r="J1212" s="5">
        <v>2003</v>
      </c>
      <c r="K1212" t="s">
        <v>18</v>
      </c>
      <c r="L1212" t="s">
        <v>19</v>
      </c>
      <c r="M1212" t="s">
        <v>63</v>
      </c>
      <c r="N1212" t="s">
        <v>28</v>
      </c>
      <c r="O1212" t="s">
        <v>22</v>
      </c>
      <c r="P1212" t="s">
        <v>18</v>
      </c>
      <c r="Q1212">
        <f>Table1[[#This Row],[Course_Fee_AED]]-Table1[[#This Row],[Amount_Paid_AED]]</f>
        <v>4008</v>
      </c>
      <c r="R1212">
        <f>Table1[[#This Row],[Course_Fee_AED]]-Table1[[#This Row],[pending Revenue]]</f>
        <v>2003</v>
      </c>
    </row>
    <row r="1213" spans="1:18" x14ac:dyDescent="0.25">
      <c r="A1213" t="s">
        <v>1290</v>
      </c>
      <c r="B1213" s="2">
        <v>45628</v>
      </c>
      <c r="C1213" t="s">
        <v>15</v>
      </c>
      <c r="D1213" t="s">
        <v>16</v>
      </c>
      <c r="E1213" t="s">
        <v>17</v>
      </c>
      <c r="F1213" s="5">
        <v>6</v>
      </c>
      <c r="G1213" s="5">
        <v>1</v>
      </c>
      <c r="H1213" s="5">
        <v>7341</v>
      </c>
      <c r="I1213" s="5">
        <v>1</v>
      </c>
      <c r="J1213" s="5">
        <v>2447</v>
      </c>
      <c r="K1213" t="s">
        <v>18</v>
      </c>
      <c r="L1213" t="s">
        <v>19</v>
      </c>
      <c r="M1213" t="s">
        <v>20</v>
      </c>
      <c r="N1213" t="s">
        <v>28</v>
      </c>
      <c r="O1213" t="s">
        <v>35</v>
      </c>
      <c r="P1213" t="s">
        <v>18</v>
      </c>
      <c r="Q1213">
        <f>Table1[[#This Row],[Course_Fee_AED]]-Table1[[#This Row],[Amount_Paid_AED]]</f>
        <v>4894</v>
      </c>
      <c r="R1213">
        <f>Table1[[#This Row],[Course_Fee_AED]]-Table1[[#This Row],[pending Revenue]]</f>
        <v>2447</v>
      </c>
    </row>
    <row r="1214" spans="1:18" x14ac:dyDescent="0.25">
      <c r="A1214" t="s">
        <v>1291</v>
      </c>
      <c r="B1214" s="2">
        <v>45551</v>
      </c>
      <c r="C1214" t="s">
        <v>45</v>
      </c>
      <c r="D1214" t="s">
        <v>46</v>
      </c>
      <c r="E1214" t="s">
        <v>26</v>
      </c>
      <c r="F1214" s="5">
        <v>3</v>
      </c>
      <c r="G1214" s="5">
        <v>1</v>
      </c>
      <c r="H1214" s="5">
        <v>6345</v>
      </c>
      <c r="I1214" s="5">
        <v>2</v>
      </c>
      <c r="J1214" s="5">
        <v>4230</v>
      </c>
      <c r="K1214" t="s">
        <v>18</v>
      </c>
      <c r="L1214" t="s">
        <v>19</v>
      </c>
      <c r="M1214" t="s">
        <v>63</v>
      </c>
      <c r="N1214" t="s">
        <v>42</v>
      </c>
      <c r="O1214" t="s">
        <v>29</v>
      </c>
      <c r="P1214" t="s">
        <v>36</v>
      </c>
      <c r="Q1214">
        <f>Table1[[#This Row],[Course_Fee_AED]]-Table1[[#This Row],[Amount_Paid_AED]]</f>
        <v>2115</v>
      </c>
      <c r="R1214">
        <f>Table1[[#This Row],[Course_Fee_AED]]-Table1[[#This Row],[pending Revenue]]</f>
        <v>4230</v>
      </c>
    </row>
    <row r="1215" spans="1:18" x14ac:dyDescent="0.25">
      <c r="A1215" t="s">
        <v>1292</v>
      </c>
      <c r="B1215" s="2">
        <v>45322</v>
      </c>
      <c r="C1215" t="s">
        <v>55</v>
      </c>
      <c r="D1215" t="s">
        <v>56</v>
      </c>
      <c r="E1215" t="s">
        <v>17</v>
      </c>
      <c r="F1215" s="5">
        <v>6</v>
      </c>
      <c r="G1215" s="5">
        <v>1</v>
      </c>
      <c r="H1215" s="5">
        <v>10114</v>
      </c>
      <c r="I1215" s="5">
        <v>1</v>
      </c>
      <c r="J1215" s="5">
        <v>3371</v>
      </c>
      <c r="K1215" t="s">
        <v>18</v>
      </c>
      <c r="L1215" t="s">
        <v>19</v>
      </c>
      <c r="M1215" t="s">
        <v>60</v>
      </c>
      <c r="N1215" t="s">
        <v>86</v>
      </c>
      <c r="O1215" t="s">
        <v>58</v>
      </c>
      <c r="P1215" t="s">
        <v>18</v>
      </c>
      <c r="Q1215">
        <f>Table1[[#This Row],[Course_Fee_AED]]-Table1[[#This Row],[Amount_Paid_AED]]</f>
        <v>6743</v>
      </c>
      <c r="R1215">
        <f>Table1[[#This Row],[Course_Fee_AED]]-Table1[[#This Row],[pending Revenue]]</f>
        <v>3371</v>
      </c>
    </row>
    <row r="1216" spans="1:18" x14ac:dyDescent="0.25">
      <c r="A1216" t="s">
        <v>1293</v>
      </c>
      <c r="B1216" s="2">
        <v>45600</v>
      </c>
      <c r="C1216" t="s">
        <v>38</v>
      </c>
      <c r="D1216" t="s">
        <v>39</v>
      </c>
      <c r="E1216" t="s">
        <v>17</v>
      </c>
      <c r="F1216" s="5">
        <v>6</v>
      </c>
      <c r="G1216" s="5">
        <v>1</v>
      </c>
      <c r="H1216" s="5">
        <v>4909</v>
      </c>
      <c r="I1216" s="5">
        <v>1</v>
      </c>
      <c r="J1216" s="5">
        <v>1636</v>
      </c>
      <c r="K1216" t="s">
        <v>18</v>
      </c>
      <c r="L1216" t="s">
        <v>57</v>
      </c>
      <c r="M1216" t="s">
        <v>60</v>
      </c>
      <c r="N1216" t="s">
        <v>21</v>
      </c>
      <c r="O1216" t="s">
        <v>71</v>
      </c>
      <c r="P1216" t="s">
        <v>36</v>
      </c>
      <c r="Q1216">
        <f>Table1[[#This Row],[Course_Fee_AED]]-Table1[[#This Row],[Amount_Paid_AED]]</f>
        <v>3273</v>
      </c>
      <c r="R1216">
        <f>Table1[[#This Row],[Course_Fee_AED]]-Table1[[#This Row],[pending Revenue]]</f>
        <v>1636</v>
      </c>
    </row>
    <row r="1217" spans="1:18" x14ac:dyDescent="0.25">
      <c r="A1217" t="s">
        <v>1294</v>
      </c>
      <c r="B1217" s="2">
        <v>45649</v>
      </c>
      <c r="C1217" t="s">
        <v>92</v>
      </c>
      <c r="D1217" t="s">
        <v>93</v>
      </c>
      <c r="E1217" t="s">
        <v>26</v>
      </c>
      <c r="F1217" s="5">
        <v>3</v>
      </c>
      <c r="G1217" s="5">
        <v>1</v>
      </c>
      <c r="H1217" s="5">
        <v>7859</v>
      </c>
      <c r="I1217" s="5">
        <v>1</v>
      </c>
      <c r="J1217" s="5">
        <v>2619</v>
      </c>
      <c r="K1217" t="s">
        <v>18</v>
      </c>
      <c r="L1217" t="s">
        <v>40</v>
      </c>
      <c r="M1217" t="s">
        <v>27</v>
      </c>
      <c r="N1217" t="s">
        <v>86</v>
      </c>
      <c r="O1217" t="s">
        <v>68</v>
      </c>
      <c r="P1217" t="s">
        <v>36</v>
      </c>
      <c r="Q1217">
        <f>Table1[[#This Row],[Course_Fee_AED]]-Table1[[#This Row],[Amount_Paid_AED]]</f>
        <v>5240</v>
      </c>
      <c r="R1217">
        <f>Table1[[#This Row],[Course_Fee_AED]]-Table1[[#This Row],[pending Revenue]]</f>
        <v>2619</v>
      </c>
    </row>
    <row r="1218" spans="1:18" x14ac:dyDescent="0.25">
      <c r="A1218" t="s">
        <v>1295</v>
      </c>
      <c r="B1218" s="2">
        <v>45474</v>
      </c>
      <c r="C1218" t="s">
        <v>15</v>
      </c>
      <c r="D1218" t="s">
        <v>16</v>
      </c>
      <c r="E1218" t="s">
        <v>26</v>
      </c>
      <c r="F1218" s="5">
        <v>3</v>
      </c>
      <c r="G1218" s="5">
        <v>1</v>
      </c>
      <c r="H1218" s="5">
        <v>6612</v>
      </c>
      <c r="I1218" s="5">
        <v>3</v>
      </c>
      <c r="J1218" s="5">
        <v>6612</v>
      </c>
      <c r="K1218" t="s">
        <v>33</v>
      </c>
      <c r="L1218" t="s">
        <v>19</v>
      </c>
      <c r="M1218" t="s">
        <v>47</v>
      </c>
      <c r="N1218" t="s">
        <v>90</v>
      </c>
      <c r="O1218" t="s">
        <v>71</v>
      </c>
      <c r="P1218" t="s">
        <v>18</v>
      </c>
      <c r="Q1218">
        <f>Table1[[#This Row],[Course_Fee_AED]]-Table1[[#This Row],[Amount_Paid_AED]]</f>
        <v>0</v>
      </c>
      <c r="R1218">
        <f>Table1[[#This Row],[Course_Fee_AED]]-Table1[[#This Row],[pending Revenue]]</f>
        <v>6612</v>
      </c>
    </row>
    <row r="1219" spans="1:18" x14ac:dyDescent="0.25">
      <c r="A1219" t="s">
        <v>1296</v>
      </c>
      <c r="B1219" s="2">
        <v>45541</v>
      </c>
      <c r="C1219" t="s">
        <v>75</v>
      </c>
      <c r="D1219" t="s">
        <v>76</v>
      </c>
      <c r="E1219" t="s">
        <v>26</v>
      </c>
      <c r="F1219" s="5">
        <v>3</v>
      </c>
      <c r="G1219" s="5">
        <v>1</v>
      </c>
      <c r="H1219" s="5">
        <v>14837</v>
      </c>
      <c r="I1219" s="5">
        <v>1</v>
      </c>
      <c r="J1219" s="5">
        <v>4945</v>
      </c>
      <c r="K1219" t="s">
        <v>18</v>
      </c>
      <c r="L1219" t="s">
        <v>19</v>
      </c>
      <c r="M1219" t="s">
        <v>60</v>
      </c>
      <c r="N1219" t="s">
        <v>116</v>
      </c>
      <c r="O1219" t="s">
        <v>49</v>
      </c>
      <c r="P1219" t="s">
        <v>18</v>
      </c>
      <c r="Q1219">
        <f>Table1[[#This Row],[Course_Fee_AED]]-Table1[[#This Row],[Amount_Paid_AED]]</f>
        <v>9892</v>
      </c>
      <c r="R1219">
        <f>Table1[[#This Row],[Course_Fee_AED]]-Table1[[#This Row],[pending Revenue]]</f>
        <v>4945</v>
      </c>
    </row>
    <row r="1220" spans="1:18" x14ac:dyDescent="0.25">
      <c r="A1220" t="s">
        <v>1297</v>
      </c>
      <c r="B1220" s="2">
        <v>45376</v>
      </c>
      <c r="C1220" t="s">
        <v>51</v>
      </c>
      <c r="D1220" t="s">
        <v>52</v>
      </c>
      <c r="E1220" t="s">
        <v>26</v>
      </c>
      <c r="F1220" s="5">
        <v>3</v>
      </c>
      <c r="G1220" s="5">
        <v>1</v>
      </c>
      <c r="H1220" s="5">
        <v>3767</v>
      </c>
      <c r="I1220" s="5">
        <v>2</v>
      </c>
      <c r="J1220" s="5">
        <v>2510</v>
      </c>
      <c r="K1220" t="s">
        <v>18</v>
      </c>
      <c r="L1220" t="s">
        <v>57</v>
      </c>
      <c r="M1220" t="s">
        <v>20</v>
      </c>
      <c r="N1220" t="s">
        <v>42</v>
      </c>
      <c r="O1220" t="s">
        <v>43</v>
      </c>
      <c r="P1220" t="s">
        <v>18</v>
      </c>
      <c r="Q1220">
        <f>Table1[[#This Row],[Course_Fee_AED]]-Table1[[#This Row],[Amount_Paid_AED]]</f>
        <v>1257</v>
      </c>
      <c r="R1220">
        <f>Table1[[#This Row],[Course_Fee_AED]]-Table1[[#This Row],[pending Revenue]]</f>
        <v>2510</v>
      </c>
    </row>
    <row r="1221" spans="1:18" x14ac:dyDescent="0.25">
      <c r="A1221" t="s">
        <v>1298</v>
      </c>
      <c r="B1221" s="2">
        <v>45426</v>
      </c>
      <c r="C1221" t="s">
        <v>100</v>
      </c>
      <c r="D1221" t="s">
        <v>101</v>
      </c>
      <c r="E1221" t="s">
        <v>17</v>
      </c>
      <c r="F1221" s="5">
        <v>6</v>
      </c>
      <c r="G1221" s="5">
        <v>1</v>
      </c>
      <c r="H1221" s="5">
        <v>3829</v>
      </c>
      <c r="I1221" s="5">
        <v>1</v>
      </c>
      <c r="J1221" s="5">
        <v>1276</v>
      </c>
      <c r="K1221" t="s">
        <v>18</v>
      </c>
      <c r="L1221" t="s">
        <v>40</v>
      </c>
      <c r="M1221" t="s">
        <v>20</v>
      </c>
      <c r="N1221" t="s">
        <v>61</v>
      </c>
      <c r="O1221" t="s">
        <v>22</v>
      </c>
      <c r="P1221" t="s">
        <v>36</v>
      </c>
      <c r="Q1221">
        <f>Table1[[#This Row],[Course_Fee_AED]]-Table1[[#This Row],[Amount_Paid_AED]]</f>
        <v>2553</v>
      </c>
      <c r="R1221">
        <f>Table1[[#This Row],[Course_Fee_AED]]-Table1[[#This Row],[pending Revenue]]</f>
        <v>1276</v>
      </c>
    </row>
    <row r="1222" spans="1:18" x14ac:dyDescent="0.25">
      <c r="A1222" t="s">
        <v>1299</v>
      </c>
      <c r="B1222" s="2">
        <v>45518</v>
      </c>
      <c r="C1222" t="s">
        <v>45</v>
      </c>
      <c r="D1222" t="s">
        <v>46</v>
      </c>
      <c r="E1222" t="s">
        <v>26</v>
      </c>
      <c r="F1222" s="5">
        <v>3</v>
      </c>
      <c r="G1222" s="5">
        <v>1</v>
      </c>
      <c r="H1222" s="5">
        <v>5821</v>
      </c>
      <c r="I1222" s="5">
        <v>1</v>
      </c>
      <c r="J1222" s="5">
        <v>1940</v>
      </c>
      <c r="K1222" t="s">
        <v>18</v>
      </c>
      <c r="L1222" t="s">
        <v>57</v>
      </c>
      <c r="M1222" t="s">
        <v>41</v>
      </c>
      <c r="N1222" t="s">
        <v>154</v>
      </c>
      <c r="O1222" t="s">
        <v>68</v>
      </c>
      <c r="P1222" t="s">
        <v>18</v>
      </c>
      <c r="Q1222">
        <f>Table1[[#This Row],[Course_Fee_AED]]-Table1[[#This Row],[Amount_Paid_AED]]</f>
        <v>3881</v>
      </c>
      <c r="R1222">
        <f>Table1[[#This Row],[Course_Fee_AED]]-Table1[[#This Row],[pending Revenue]]</f>
        <v>1940</v>
      </c>
    </row>
    <row r="1223" spans="1:18" x14ac:dyDescent="0.25">
      <c r="A1223" t="s">
        <v>1300</v>
      </c>
      <c r="B1223" s="2">
        <v>45635</v>
      </c>
      <c r="C1223" t="s">
        <v>75</v>
      </c>
      <c r="D1223" t="s">
        <v>76</v>
      </c>
      <c r="E1223" t="s">
        <v>26</v>
      </c>
      <c r="F1223" s="5">
        <v>3</v>
      </c>
      <c r="G1223" s="5">
        <v>1</v>
      </c>
      <c r="H1223" s="5">
        <v>10862</v>
      </c>
      <c r="I1223" s="5">
        <v>2</v>
      </c>
      <c r="J1223" s="5">
        <v>7240</v>
      </c>
      <c r="K1223" t="s">
        <v>18</v>
      </c>
      <c r="L1223" t="s">
        <v>40</v>
      </c>
      <c r="M1223" t="s">
        <v>20</v>
      </c>
      <c r="N1223" t="s">
        <v>86</v>
      </c>
      <c r="O1223" t="s">
        <v>58</v>
      </c>
      <c r="P1223" t="s">
        <v>36</v>
      </c>
      <c r="Q1223">
        <f>Table1[[#This Row],[Course_Fee_AED]]-Table1[[#This Row],[Amount_Paid_AED]]</f>
        <v>3622</v>
      </c>
      <c r="R1223">
        <f>Table1[[#This Row],[Course_Fee_AED]]-Table1[[#This Row],[pending Revenue]]</f>
        <v>7240</v>
      </c>
    </row>
    <row r="1224" spans="1:18" x14ac:dyDescent="0.25">
      <c r="A1224" t="s">
        <v>1301</v>
      </c>
      <c r="B1224" s="2">
        <v>45401</v>
      </c>
      <c r="C1224" t="s">
        <v>100</v>
      </c>
      <c r="D1224" t="s">
        <v>101</v>
      </c>
      <c r="E1224" t="s">
        <v>26</v>
      </c>
      <c r="F1224" s="5">
        <v>3</v>
      </c>
      <c r="G1224" s="5">
        <v>1</v>
      </c>
      <c r="H1224" s="5">
        <v>4342</v>
      </c>
      <c r="I1224" s="5">
        <v>3</v>
      </c>
      <c r="J1224" s="5">
        <v>4341</v>
      </c>
      <c r="K1224" t="s">
        <v>18</v>
      </c>
      <c r="L1224" t="s">
        <v>40</v>
      </c>
      <c r="M1224" t="s">
        <v>27</v>
      </c>
      <c r="N1224" t="s">
        <v>42</v>
      </c>
      <c r="O1224" t="s">
        <v>71</v>
      </c>
      <c r="P1224" t="s">
        <v>18</v>
      </c>
      <c r="Q1224">
        <f>Table1[[#This Row],[Course_Fee_AED]]-Table1[[#This Row],[Amount_Paid_AED]]</f>
        <v>1</v>
      </c>
      <c r="R1224">
        <f>Table1[[#This Row],[Course_Fee_AED]]-Table1[[#This Row],[pending Revenue]]</f>
        <v>4341</v>
      </c>
    </row>
    <row r="1225" spans="1:18" x14ac:dyDescent="0.25">
      <c r="A1225" t="s">
        <v>1302</v>
      </c>
      <c r="B1225" s="2">
        <v>45367</v>
      </c>
      <c r="C1225" t="s">
        <v>66</v>
      </c>
      <c r="D1225" t="s">
        <v>56</v>
      </c>
      <c r="E1225" t="s">
        <v>26</v>
      </c>
      <c r="F1225" s="5">
        <v>3</v>
      </c>
      <c r="G1225" s="5">
        <v>1</v>
      </c>
      <c r="H1225" s="5">
        <v>9766</v>
      </c>
      <c r="I1225" s="5">
        <v>2</v>
      </c>
      <c r="J1225" s="5">
        <v>6510</v>
      </c>
      <c r="K1225" t="s">
        <v>18</v>
      </c>
      <c r="L1225" t="s">
        <v>19</v>
      </c>
      <c r="M1225" t="s">
        <v>47</v>
      </c>
      <c r="N1225" t="s">
        <v>79</v>
      </c>
      <c r="O1225" t="s">
        <v>43</v>
      </c>
      <c r="P1225" t="s">
        <v>18</v>
      </c>
      <c r="Q1225">
        <f>Table1[[#This Row],[Course_Fee_AED]]-Table1[[#This Row],[Amount_Paid_AED]]</f>
        <v>3256</v>
      </c>
      <c r="R1225">
        <f>Table1[[#This Row],[Course_Fee_AED]]-Table1[[#This Row],[pending Revenue]]</f>
        <v>6510</v>
      </c>
    </row>
    <row r="1226" spans="1:18" x14ac:dyDescent="0.25">
      <c r="A1226" t="s">
        <v>1303</v>
      </c>
      <c r="B1226" s="2">
        <v>45364</v>
      </c>
      <c r="C1226" t="s">
        <v>82</v>
      </c>
      <c r="D1226" t="s">
        <v>83</v>
      </c>
      <c r="E1226" t="s">
        <v>17</v>
      </c>
      <c r="F1226" s="5">
        <v>6</v>
      </c>
      <c r="G1226" s="5">
        <v>1</v>
      </c>
      <c r="H1226" s="5">
        <v>11179</v>
      </c>
      <c r="I1226" s="5">
        <v>1</v>
      </c>
      <c r="J1226" s="5">
        <v>3726</v>
      </c>
      <c r="K1226" t="s">
        <v>18</v>
      </c>
      <c r="L1226" t="s">
        <v>19</v>
      </c>
      <c r="M1226" t="s">
        <v>27</v>
      </c>
      <c r="N1226" t="s">
        <v>90</v>
      </c>
      <c r="O1226" t="s">
        <v>43</v>
      </c>
      <c r="P1226" t="s">
        <v>18</v>
      </c>
      <c r="Q1226">
        <f>Table1[[#This Row],[Course_Fee_AED]]-Table1[[#This Row],[Amount_Paid_AED]]</f>
        <v>7453</v>
      </c>
      <c r="R1226">
        <f>Table1[[#This Row],[Course_Fee_AED]]-Table1[[#This Row],[pending Revenue]]</f>
        <v>3726</v>
      </c>
    </row>
    <row r="1227" spans="1:18" x14ac:dyDescent="0.25">
      <c r="A1227" t="s">
        <v>1304</v>
      </c>
      <c r="B1227" s="2">
        <v>45623</v>
      </c>
      <c r="C1227" t="s">
        <v>24</v>
      </c>
      <c r="D1227" t="s">
        <v>25</v>
      </c>
      <c r="E1227" t="s">
        <v>17</v>
      </c>
      <c r="F1227" s="5">
        <v>6</v>
      </c>
      <c r="G1227" s="5">
        <v>1</v>
      </c>
      <c r="H1227" s="5">
        <v>4711</v>
      </c>
      <c r="I1227" s="5">
        <v>1</v>
      </c>
      <c r="J1227" s="5">
        <v>1570</v>
      </c>
      <c r="K1227" t="s">
        <v>18</v>
      </c>
      <c r="L1227" t="s">
        <v>40</v>
      </c>
      <c r="M1227" t="s">
        <v>20</v>
      </c>
      <c r="N1227" t="s">
        <v>21</v>
      </c>
      <c r="O1227" t="s">
        <v>64</v>
      </c>
      <c r="P1227" t="s">
        <v>18</v>
      </c>
      <c r="Q1227">
        <f>Table1[[#This Row],[Course_Fee_AED]]-Table1[[#This Row],[Amount_Paid_AED]]</f>
        <v>3141</v>
      </c>
      <c r="R1227">
        <f>Table1[[#This Row],[Course_Fee_AED]]-Table1[[#This Row],[pending Revenue]]</f>
        <v>1570</v>
      </c>
    </row>
    <row r="1228" spans="1:18" x14ac:dyDescent="0.25">
      <c r="A1228" t="s">
        <v>1305</v>
      </c>
      <c r="B1228" s="2">
        <v>45627</v>
      </c>
      <c r="C1228" t="s">
        <v>45</v>
      </c>
      <c r="D1228" t="s">
        <v>46</v>
      </c>
      <c r="E1228" t="s">
        <v>17</v>
      </c>
      <c r="F1228" s="5">
        <v>6</v>
      </c>
      <c r="G1228" s="5">
        <v>1</v>
      </c>
      <c r="H1228" s="5">
        <v>5678</v>
      </c>
      <c r="I1228" s="5">
        <v>3</v>
      </c>
      <c r="J1228" s="5">
        <v>5676</v>
      </c>
      <c r="K1228" t="s">
        <v>18</v>
      </c>
      <c r="L1228" t="s">
        <v>19</v>
      </c>
      <c r="M1228" t="s">
        <v>60</v>
      </c>
      <c r="N1228" t="s">
        <v>42</v>
      </c>
      <c r="O1228" t="s">
        <v>71</v>
      </c>
      <c r="P1228" t="s">
        <v>18</v>
      </c>
      <c r="Q1228">
        <f>Table1[[#This Row],[Course_Fee_AED]]-Table1[[#This Row],[Amount_Paid_AED]]</f>
        <v>2</v>
      </c>
      <c r="R1228">
        <f>Table1[[#This Row],[Course_Fee_AED]]-Table1[[#This Row],[pending Revenue]]</f>
        <v>5676</v>
      </c>
    </row>
    <row r="1229" spans="1:18" x14ac:dyDescent="0.25">
      <c r="A1229" t="s">
        <v>1306</v>
      </c>
      <c r="B1229" s="2">
        <v>45619</v>
      </c>
      <c r="C1229" t="s">
        <v>113</v>
      </c>
      <c r="D1229" t="s">
        <v>93</v>
      </c>
      <c r="E1229" t="s">
        <v>26</v>
      </c>
      <c r="F1229" s="5">
        <v>3</v>
      </c>
      <c r="G1229" s="5">
        <v>1</v>
      </c>
      <c r="H1229" s="5">
        <v>4247</v>
      </c>
      <c r="I1229" s="5">
        <v>3</v>
      </c>
      <c r="J1229" s="5">
        <v>4245</v>
      </c>
      <c r="K1229" t="s">
        <v>18</v>
      </c>
      <c r="L1229" t="s">
        <v>57</v>
      </c>
      <c r="M1229" t="s">
        <v>20</v>
      </c>
      <c r="N1229" t="s">
        <v>21</v>
      </c>
      <c r="O1229" t="s">
        <v>29</v>
      </c>
      <c r="P1229" t="s">
        <v>18</v>
      </c>
      <c r="Q1229">
        <f>Table1[[#This Row],[Course_Fee_AED]]-Table1[[#This Row],[Amount_Paid_AED]]</f>
        <v>2</v>
      </c>
      <c r="R1229">
        <f>Table1[[#This Row],[Course_Fee_AED]]-Table1[[#This Row],[pending Revenue]]</f>
        <v>4245</v>
      </c>
    </row>
    <row r="1230" spans="1:18" x14ac:dyDescent="0.25">
      <c r="A1230" t="s">
        <v>1307</v>
      </c>
      <c r="B1230" s="2">
        <v>45586</v>
      </c>
      <c r="C1230" t="s">
        <v>55</v>
      </c>
      <c r="D1230" t="s">
        <v>56</v>
      </c>
      <c r="E1230" t="s">
        <v>17</v>
      </c>
      <c r="F1230" s="5">
        <v>6</v>
      </c>
      <c r="G1230" s="5">
        <v>1</v>
      </c>
      <c r="H1230" s="5">
        <v>10016</v>
      </c>
      <c r="I1230" s="5">
        <v>1</v>
      </c>
      <c r="J1230" s="5">
        <v>3338</v>
      </c>
      <c r="K1230" t="s">
        <v>18</v>
      </c>
      <c r="L1230" t="s">
        <v>57</v>
      </c>
      <c r="M1230" t="s">
        <v>60</v>
      </c>
      <c r="N1230" t="s">
        <v>73</v>
      </c>
      <c r="O1230" t="s">
        <v>87</v>
      </c>
      <c r="P1230" t="s">
        <v>36</v>
      </c>
      <c r="Q1230">
        <f>Table1[[#This Row],[Course_Fee_AED]]-Table1[[#This Row],[Amount_Paid_AED]]</f>
        <v>6678</v>
      </c>
      <c r="R1230">
        <f>Table1[[#This Row],[Course_Fee_AED]]-Table1[[#This Row],[pending Revenue]]</f>
        <v>3338</v>
      </c>
    </row>
    <row r="1231" spans="1:18" x14ac:dyDescent="0.25">
      <c r="A1231" t="s">
        <v>1308</v>
      </c>
      <c r="B1231" s="2">
        <v>45564</v>
      </c>
      <c r="C1231" t="s">
        <v>75</v>
      </c>
      <c r="D1231" t="s">
        <v>76</v>
      </c>
      <c r="E1231" t="s">
        <v>17</v>
      </c>
      <c r="F1231" s="5">
        <v>6</v>
      </c>
      <c r="G1231" s="5">
        <v>1</v>
      </c>
      <c r="H1231" s="5">
        <v>12232</v>
      </c>
      <c r="I1231" s="5">
        <v>1</v>
      </c>
      <c r="J1231" s="5">
        <v>4077</v>
      </c>
      <c r="K1231" t="s">
        <v>18</v>
      </c>
      <c r="L1231" t="s">
        <v>40</v>
      </c>
      <c r="M1231" t="s">
        <v>27</v>
      </c>
      <c r="N1231" t="s">
        <v>116</v>
      </c>
      <c r="O1231" t="s">
        <v>71</v>
      </c>
      <c r="P1231" t="s">
        <v>36</v>
      </c>
      <c r="Q1231">
        <f>Table1[[#This Row],[Course_Fee_AED]]-Table1[[#This Row],[Amount_Paid_AED]]</f>
        <v>8155</v>
      </c>
      <c r="R1231">
        <f>Table1[[#This Row],[Course_Fee_AED]]-Table1[[#This Row],[pending Revenue]]</f>
        <v>4077</v>
      </c>
    </row>
    <row r="1232" spans="1:18" x14ac:dyDescent="0.25">
      <c r="A1232" t="s">
        <v>1309</v>
      </c>
      <c r="B1232" s="2">
        <v>45358</v>
      </c>
      <c r="C1232" t="s">
        <v>31</v>
      </c>
      <c r="D1232" t="s">
        <v>32</v>
      </c>
      <c r="E1232" t="s">
        <v>17</v>
      </c>
      <c r="F1232" s="5">
        <v>6</v>
      </c>
      <c r="G1232" s="5">
        <v>1</v>
      </c>
      <c r="H1232" s="5">
        <v>6487</v>
      </c>
      <c r="I1232" s="5">
        <v>2</v>
      </c>
      <c r="J1232" s="5">
        <v>4324</v>
      </c>
      <c r="K1232" t="s">
        <v>18</v>
      </c>
      <c r="L1232" t="s">
        <v>19</v>
      </c>
      <c r="M1232" t="s">
        <v>47</v>
      </c>
      <c r="N1232" t="s">
        <v>48</v>
      </c>
      <c r="O1232" t="s">
        <v>35</v>
      </c>
      <c r="P1232" t="s">
        <v>36</v>
      </c>
      <c r="Q1232">
        <f>Table1[[#This Row],[Course_Fee_AED]]-Table1[[#This Row],[Amount_Paid_AED]]</f>
        <v>2163</v>
      </c>
      <c r="R1232">
        <f>Table1[[#This Row],[Course_Fee_AED]]-Table1[[#This Row],[pending Revenue]]</f>
        <v>4324</v>
      </c>
    </row>
    <row r="1233" spans="1:18" x14ac:dyDescent="0.25">
      <c r="A1233" t="s">
        <v>1310</v>
      </c>
      <c r="B1233" s="2">
        <v>45489</v>
      </c>
      <c r="C1233" t="s">
        <v>100</v>
      </c>
      <c r="D1233" t="s">
        <v>101</v>
      </c>
      <c r="E1233" t="s">
        <v>17</v>
      </c>
      <c r="F1233" s="5">
        <v>6</v>
      </c>
      <c r="G1233" s="5">
        <v>1</v>
      </c>
      <c r="H1233" s="5">
        <v>5147</v>
      </c>
      <c r="I1233" s="5">
        <v>1</v>
      </c>
      <c r="J1233" s="5">
        <v>1715</v>
      </c>
      <c r="K1233" t="s">
        <v>18</v>
      </c>
      <c r="L1233" t="s">
        <v>40</v>
      </c>
      <c r="M1233" t="s">
        <v>41</v>
      </c>
      <c r="N1233" t="s">
        <v>154</v>
      </c>
      <c r="O1233" t="s">
        <v>87</v>
      </c>
      <c r="P1233" t="s">
        <v>36</v>
      </c>
      <c r="Q1233">
        <f>Table1[[#This Row],[Course_Fee_AED]]-Table1[[#This Row],[Amount_Paid_AED]]</f>
        <v>3432</v>
      </c>
      <c r="R1233">
        <f>Table1[[#This Row],[Course_Fee_AED]]-Table1[[#This Row],[pending Revenue]]</f>
        <v>1715</v>
      </c>
    </row>
    <row r="1234" spans="1:18" x14ac:dyDescent="0.25">
      <c r="A1234" t="s">
        <v>1311</v>
      </c>
      <c r="B1234" s="2">
        <v>45350</v>
      </c>
      <c r="C1234" t="s">
        <v>31</v>
      </c>
      <c r="D1234" t="s">
        <v>32</v>
      </c>
      <c r="E1234" t="s">
        <v>26</v>
      </c>
      <c r="F1234" s="5">
        <v>3</v>
      </c>
      <c r="G1234" s="5">
        <v>1</v>
      </c>
      <c r="H1234" s="5">
        <v>4751</v>
      </c>
      <c r="I1234" s="5">
        <v>2</v>
      </c>
      <c r="J1234" s="5">
        <v>3166</v>
      </c>
      <c r="K1234" t="s">
        <v>18</v>
      </c>
      <c r="L1234" t="s">
        <v>57</v>
      </c>
      <c r="M1234" t="s">
        <v>41</v>
      </c>
      <c r="N1234" t="s">
        <v>34</v>
      </c>
      <c r="O1234" t="s">
        <v>58</v>
      </c>
      <c r="P1234" t="s">
        <v>18</v>
      </c>
      <c r="Q1234">
        <f>Table1[[#This Row],[Course_Fee_AED]]-Table1[[#This Row],[Amount_Paid_AED]]</f>
        <v>1585</v>
      </c>
      <c r="R1234">
        <f>Table1[[#This Row],[Course_Fee_AED]]-Table1[[#This Row],[pending Revenue]]</f>
        <v>3166</v>
      </c>
    </row>
    <row r="1235" spans="1:18" x14ac:dyDescent="0.25">
      <c r="A1235" t="s">
        <v>1312</v>
      </c>
      <c r="B1235" s="2">
        <v>45318</v>
      </c>
      <c r="C1235" t="s">
        <v>31</v>
      </c>
      <c r="D1235" t="s">
        <v>32</v>
      </c>
      <c r="E1235" t="s">
        <v>17</v>
      </c>
      <c r="F1235" s="5">
        <v>6</v>
      </c>
      <c r="G1235" s="5">
        <v>1</v>
      </c>
      <c r="H1235" s="5">
        <v>4701</v>
      </c>
      <c r="I1235" s="5">
        <v>3</v>
      </c>
      <c r="J1235" s="5">
        <v>4701</v>
      </c>
      <c r="K1235" t="s">
        <v>33</v>
      </c>
      <c r="L1235" t="s">
        <v>57</v>
      </c>
      <c r="M1235" t="s">
        <v>27</v>
      </c>
      <c r="N1235" t="s">
        <v>73</v>
      </c>
      <c r="O1235" t="s">
        <v>22</v>
      </c>
      <c r="P1235" t="s">
        <v>18</v>
      </c>
      <c r="Q1235">
        <f>Table1[[#This Row],[Course_Fee_AED]]-Table1[[#This Row],[Amount_Paid_AED]]</f>
        <v>0</v>
      </c>
      <c r="R1235">
        <f>Table1[[#This Row],[Course_Fee_AED]]-Table1[[#This Row],[pending Revenue]]</f>
        <v>4701</v>
      </c>
    </row>
    <row r="1236" spans="1:18" x14ac:dyDescent="0.25">
      <c r="A1236" t="s">
        <v>1313</v>
      </c>
      <c r="B1236" s="2">
        <v>45373</v>
      </c>
      <c r="C1236" t="s">
        <v>82</v>
      </c>
      <c r="D1236" t="s">
        <v>83</v>
      </c>
      <c r="E1236" t="s">
        <v>26</v>
      </c>
      <c r="F1236" s="5">
        <v>3</v>
      </c>
      <c r="G1236" s="5">
        <v>1</v>
      </c>
      <c r="H1236" s="5">
        <v>8684</v>
      </c>
      <c r="I1236" s="5">
        <v>2</v>
      </c>
      <c r="J1236" s="5">
        <v>5788</v>
      </c>
      <c r="K1236" t="s">
        <v>18</v>
      </c>
      <c r="L1236" t="s">
        <v>57</v>
      </c>
      <c r="M1236" t="s">
        <v>20</v>
      </c>
      <c r="N1236" t="s">
        <v>79</v>
      </c>
      <c r="O1236" t="s">
        <v>71</v>
      </c>
      <c r="P1236" t="s">
        <v>18</v>
      </c>
      <c r="Q1236">
        <f>Table1[[#This Row],[Course_Fee_AED]]-Table1[[#This Row],[Amount_Paid_AED]]</f>
        <v>2896</v>
      </c>
      <c r="R1236">
        <f>Table1[[#This Row],[Course_Fee_AED]]-Table1[[#This Row],[pending Revenue]]</f>
        <v>5788</v>
      </c>
    </row>
    <row r="1237" spans="1:18" x14ac:dyDescent="0.25">
      <c r="A1237" t="s">
        <v>1314</v>
      </c>
      <c r="B1237" s="2">
        <v>45312</v>
      </c>
      <c r="C1237" t="s">
        <v>55</v>
      </c>
      <c r="D1237" t="s">
        <v>56</v>
      </c>
      <c r="E1237" t="s">
        <v>26</v>
      </c>
      <c r="F1237" s="5">
        <v>3</v>
      </c>
      <c r="G1237" s="5">
        <v>1</v>
      </c>
      <c r="H1237" s="5">
        <v>11769</v>
      </c>
      <c r="I1237" s="5">
        <v>1</v>
      </c>
      <c r="J1237" s="5">
        <v>3923</v>
      </c>
      <c r="K1237" t="s">
        <v>18</v>
      </c>
      <c r="L1237" t="s">
        <v>40</v>
      </c>
      <c r="M1237" t="s">
        <v>47</v>
      </c>
      <c r="N1237" t="s">
        <v>116</v>
      </c>
      <c r="O1237" t="s">
        <v>29</v>
      </c>
      <c r="P1237" t="s">
        <v>36</v>
      </c>
      <c r="Q1237">
        <f>Table1[[#This Row],[Course_Fee_AED]]-Table1[[#This Row],[Amount_Paid_AED]]</f>
        <v>7846</v>
      </c>
      <c r="R1237">
        <f>Table1[[#This Row],[Course_Fee_AED]]-Table1[[#This Row],[pending Revenue]]</f>
        <v>3923</v>
      </c>
    </row>
    <row r="1238" spans="1:18" x14ac:dyDescent="0.25">
      <c r="A1238" t="s">
        <v>1315</v>
      </c>
      <c r="B1238" s="2">
        <v>45292</v>
      </c>
      <c r="C1238" t="s">
        <v>75</v>
      </c>
      <c r="D1238" t="s">
        <v>76</v>
      </c>
      <c r="E1238" t="s">
        <v>26</v>
      </c>
      <c r="F1238" s="5">
        <v>3</v>
      </c>
      <c r="G1238" s="5">
        <v>1</v>
      </c>
      <c r="H1238" s="5">
        <v>13348</v>
      </c>
      <c r="I1238" s="5">
        <v>2</v>
      </c>
      <c r="J1238" s="5">
        <v>8898</v>
      </c>
      <c r="K1238" t="s">
        <v>18</v>
      </c>
      <c r="L1238" t="s">
        <v>40</v>
      </c>
      <c r="M1238" t="s">
        <v>20</v>
      </c>
      <c r="N1238" t="s">
        <v>21</v>
      </c>
      <c r="O1238" t="s">
        <v>35</v>
      </c>
      <c r="P1238" t="s">
        <v>36</v>
      </c>
      <c r="Q1238">
        <f>Table1[[#This Row],[Course_Fee_AED]]-Table1[[#This Row],[Amount_Paid_AED]]</f>
        <v>4450</v>
      </c>
      <c r="R1238">
        <f>Table1[[#This Row],[Course_Fee_AED]]-Table1[[#This Row],[pending Revenue]]</f>
        <v>8898</v>
      </c>
    </row>
    <row r="1239" spans="1:18" x14ac:dyDescent="0.25">
      <c r="A1239" t="s">
        <v>1316</v>
      </c>
      <c r="B1239" s="2">
        <v>45360</v>
      </c>
      <c r="C1239" t="s">
        <v>51</v>
      </c>
      <c r="D1239" t="s">
        <v>52</v>
      </c>
      <c r="E1239" t="s">
        <v>26</v>
      </c>
      <c r="F1239" s="5">
        <v>3</v>
      </c>
      <c r="G1239" s="5">
        <v>1</v>
      </c>
      <c r="H1239" s="5">
        <v>5601</v>
      </c>
      <c r="I1239" s="5">
        <v>1</v>
      </c>
      <c r="J1239" s="5">
        <v>1867</v>
      </c>
      <c r="K1239" t="s">
        <v>18</v>
      </c>
      <c r="L1239" t="s">
        <v>57</v>
      </c>
      <c r="M1239" t="s">
        <v>47</v>
      </c>
      <c r="N1239" t="s">
        <v>90</v>
      </c>
      <c r="O1239" t="s">
        <v>22</v>
      </c>
      <c r="P1239" t="s">
        <v>18</v>
      </c>
      <c r="Q1239">
        <f>Table1[[#This Row],[Course_Fee_AED]]-Table1[[#This Row],[Amount_Paid_AED]]</f>
        <v>3734</v>
      </c>
      <c r="R1239">
        <f>Table1[[#This Row],[Course_Fee_AED]]-Table1[[#This Row],[pending Revenue]]</f>
        <v>1867</v>
      </c>
    </row>
    <row r="1240" spans="1:18" x14ac:dyDescent="0.25">
      <c r="A1240" t="s">
        <v>1317</v>
      </c>
      <c r="B1240" s="2">
        <v>45571</v>
      </c>
      <c r="C1240" t="s">
        <v>75</v>
      </c>
      <c r="D1240" t="s">
        <v>76</v>
      </c>
      <c r="E1240" t="s">
        <v>17</v>
      </c>
      <c r="F1240" s="5">
        <v>6</v>
      </c>
      <c r="G1240" s="5">
        <v>1</v>
      </c>
      <c r="H1240" s="5">
        <v>13001</v>
      </c>
      <c r="I1240" s="5">
        <v>3</v>
      </c>
      <c r="J1240" s="5">
        <v>12999</v>
      </c>
      <c r="K1240" t="s">
        <v>18</v>
      </c>
      <c r="L1240" t="s">
        <v>57</v>
      </c>
      <c r="M1240" t="s">
        <v>47</v>
      </c>
      <c r="N1240" t="s">
        <v>70</v>
      </c>
      <c r="O1240" t="s">
        <v>87</v>
      </c>
      <c r="P1240" t="s">
        <v>18</v>
      </c>
      <c r="Q1240">
        <f>Table1[[#This Row],[Course_Fee_AED]]-Table1[[#This Row],[Amount_Paid_AED]]</f>
        <v>2</v>
      </c>
      <c r="R1240">
        <f>Table1[[#This Row],[Course_Fee_AED]]-Table1[[#This Row],[pending Revenue]]</f>
        <v>12999</v>
      </c>
    </row>
    <row r="1241" spans="1:18" x14ac:dyDescent="0.25">
      <c r="A1241" t="s">
        <v>1318</v>
      </c>
      <c r="B1241" s="2">
        <v>45358</v>
      </c>
      <c r="C1241" t="s">
        <v>38</v>
      </c>
      <c r="D1241" t="s">
        <v>39</v>
      </c>
      <c r="E1241" t="s">
        <v>26</v>
      </c>
      <c r="F1241" s="5">
        <v>3</v>
      </c>
      <c r="G1241" s="5">
        <v>1</v>
      </c>
      <c r="H1241" s="5">
        <v>5482</v>
      </c>
      <c r="I1241" s="5">
        <v>1</v>
      </c>
      <c r="J1241" s="5">
        <v>1827</v>
      </c>
      <c r="K1241" t="s">
        <v>18</v>
      </c>
      <c r="L1241" t="s">
        <v>40</v>
      </c>
      <c r="M1241" t="s">
        <v>27</v>
      </c>
      <c r="N1241" t="s">
        <v>154</v>
      </c>
      <c r="O1241" t="s">
        <v>71</v>
      </c>
      <c r="P1241" t="s">
        <v>18</v>
      </c>
      <c r="Q1241">
        <f>Table1[[#This Row],[Course_Fee_AED]]-Table1[[#This Row],[Amount_Paid_AED]]</f>
        <v>3655</v>
      </c>
      <c r="R1241">
        <f>Table1[[#This Row],[Course_Fee_AED]]-Table1[[#This Row],[pending Revenue]]</f>
        <v>1827</v>
      </c>
    </row>
    <row r="1242" spans="1:18" x14ac:dyDescent="0.25">
      <c r="A1242" t="s">
        <v>1319</v>
      </c>
      <c r="B1242" s="2">
        <v>45304</v>
      </c>
      <c r="C1242" t="s">
        <v>38</v>
      </c>
      <c r="D1242" t="s">
        <v>39</v>
      </c>
      <c r="E1242" t="s">
        <v>26</v>
      </c>
      <c r="F1242" s="5">
        <v>3</v>
      </c>
      <c r="G1242" s="5">
        <v>1</v>
      </c>
      <c r="H1242" s="5">
        <v>4019</v>
      </c>
      <c r="I1242" s="5">
        <v>3</v>
      </c>
      <c r="J1242" s="5">
        <v>4017</v>
      </c>
      <c r="K1242" t="s">
        <v>18</v>
      </c>
      <c r="L1242" t="s">
        <v>57</v>
      </c>
      <c r="M1242" t="s">
        <v>27</v>
      </c>
      <c r="N1242" t="s">
        <v>73</v>
      </c>
      <c r="O1242" t="s">
        <v>68</v>
      </c>
      <c r="P1242" t="s">
        <v>36</v>
      </c>
      <c r="Q1242">
        <f>Table1[[#This Row],[Course_Fee_AED]]-Table1[[#This Row],[Amount_Paid_AED]]</f>
        <v>2</v>
      </c>
      <c r="R1242">
        <f>Table1[[#This Row],[Course_Fee_AED]]-Table1[[#This Row],[pending Revenue]]</f>
        <v>4017</v>
      </c>
    </row>
    <row r="1243" spans="1:18" x14ac:dyDescent="0.25">
      <c r="A1243" t="s">
        <v>1320</v>
      </c>
      <c r="B1243" s="2">
        <v>45557</v>
      </c>
      <c r="C1243" t="s">
        <v>100</v>
      </c>
      <c r="D1243" t="s">
        <v>101</v>
      </c>
      <c r="E1243" t="s">
        <v>17</v>
      </c>
      <c r="F1243" s="5">
        <v>6</v>
      </c>
      <c r="G1243" s="5">
        <v>1</v>
      </c>
      <c r="H1243" s="5">
        <v>5984</v>
      </c>
      <c r="I1243" s="5">
        <v>2</v>
      </c>
      <c r="J1243" s="5">
        <v>3988</v>
      </c>
      <c r="K1243" t="s">
        <v>18</v>
      </c>
      <c r="L1243" t="s">
        <v>40</v>
      </c>
      <c r="M1243" t="s">
        <v>27</v>
      </c>
      <c r="N1243" t="s">
        <v>34</v>
      </c>
      <c r="O1243" t="s">
        <v>68</v>
      </c>
      <c r="P1243" t="s">
        <v>36</v>
      </c>
      <c r="Q1243">
        <f>Table1[[#This Row],[Course_Fee_AED]]-Table1[[#This Row],[Amount_Paid_AED]]</f>
        <v>1996</v>
      </c>
      <c r="R1243">
        <f>Table1[[#This Row],[Course_Fee_AED]]-Table1[[#This Row],[pending Revenue]]</f>
        <v>3988</v>
      </c>
    </row>
    <row r="1244" spans="1:18" x14ac:dyDescent="0.25">
      <c r="A1244" t="s">
        <v>1321</v>
      </c>
      <c r="B1244" s="2">
        <v>45467</v>
      </c>
      <c r="C1244" t="s">
        <v>24</v>
      </c>
      <c r="D1244" t="s">
        <v>25</v>
      </c>
      <c r="E1244" t="s">
        <v>17</v>
      </c>
      <c r="F1244" s="5">
        <v>6</v>
      </c>
      <c r="G1244" s="5">
        <v>1</v>
      </c>
      <c r="H1244" s="5">
        <v>6324</v>
      </c>
      <c r="I1244" s="5">
        <v>1</v>
      </c>
      <c r="J1244" s="5">
        <v>2108</v>
      </c>
      <c r="K1244" t="s">
        <v>18</v>
      </c>
      <c r="L1244" t="s">
        <v>19</v>
      </c>
      <c r="M1244" t="s">
        <v>41</v>
      </c>
      <c r="N1244" t="s">
        <v>34</v>
      </c>
      <c r="O1244" t="s">
        <v>64</v>
      </c>
      <c r="P1244" t="s">
        <v>36</v>
      </c>
      <c r="Q1244">
        <f>Table1[[#This Row],[Course_Fee_AED]]-Table1[[#This Row],[Amount_Paid_AED]]</f>
        <v>4216</v>
      </c>
      <c r="R1244">
        <f>Table1[[#This Row],[Course_Fee_AED]]-Table1[[#This Row],[pending Revenue]]</f>
        <v>2108</v>
      </c>
    </row>
    <row r="1245" spans="1:18" x14ac:dyDescent="0.25">
      <c r="A1245" t="s">
        <v>1322</v>
      </c>
      <c r="B1245" s="2">
        <v>45298</v>
      </c>
      <c r="C1245" t="s">
        <v>92</v>
      </c>
      <c r="D1245" t="s">
        <v>93</v>
      </c>
      <c r="E1245" t="s">
        <v>26</v>
      </c>
      <c r="F1245" s="5">
        <v>3</v>
      </c>
      <c r="G1245" s="5">
        <v>1</v>
      </c>
      <c r="H1245" s="5">
        <v>7023</v>
      </c>
      <c r="I1245" s="5">
        <v>3</v>
      </c>
      <c r="J1245" s="5">
        <v>7023</v>
      </c>
      <c r="K1245" t="s">
        <v>33</v>
      </c>
      <c r="L1245" t="s">
        <v>19</v>
      </c>
      <c r="M1245" t="s">
        <v>27</v>
      </c>
      <c r="N1245" t="s">
        <v>73</v>
      </c>
      <c r="O1245" t="s">
        <v>35</v>
      </c>
      <c r="P1245" t="s">
        <v>36</v>
      </c>
      <c r="Q1245">
        <f>Table1[[#This Row],[Course_Fee_AED]]-Table1[[#This Row],[Amount_Paid_AED]]</f>
        <v>0</v>
      </c>
      <c r="R1245">
        <f>Table1[[#This Row],[Course_Fee_AED]]-Table1[[#This Row],[pending Revenue]]</f>
        <v>7023</v>
      </c>
    </row>
    <row r="1246" spans="1:18" x14ac:dyDescent="0.25">
      <c r="A1246" t="s">
        <v>1323</v>
      </c>
      <c r="B1246" s="2">
        <v>45464</v>
      </c>
      <c r="C1246" t="s">
        <v>38</v>
      </c>
      <c r="D1246" t="s">
        <v>39</v>
      </c>
      <c r="E1246" t="s">
        <v>17</v>
      </c>
      <c r="F1246" s="5">
        <v>6</v>
      </c>
      <c r="G1246" s="5">
        <v>1</v>
      </c>
      <c r="H1246" s="5">
        <v>4736</v>
      </c>
      <c r="I1246" s="5">
        <v>1</v>
      </c>
      <c r="J1246" s="5">
        <v>1578</v>
      </c>
      <c r="K1246" t="s">
        <v>18</v>
      </c>
      <c r="L1246" t="s">
        <v>57</v>
      </c>
      <c r="M1246" t="s">
        <v>63</v>
      </c>
      <c r="N1246" t="s">
        <v>21</v>
      </c>
      <c r="O1246" t="s">
        <v>43</v>
      </c>
      <c r="P1246" t="s">
        <v>18</v>
      </c>
      <c r="Q1246">
        <f>Table1[[#This Row],[Course_Fee_AED]]-Table1[[#This Row],[Amount_Paid_AED]]</f>
        <v>3158</v>
      </c>
      <c r="R1246">
        <f>Table1[[#This Row],[Course_Fee_AED]]-Table1[[#This Row],[pending Revenue]]</f>
        <v>1578</v>
      </c>
    </row>
    <row r="1247" spans="1:18" x14ac:dyDescent="0.25">
      <c r="A1247" t="s">
        <v>1324</v>
      </c>
      <c r="B1247" s="2">
        <v>45577</v>
      </c>
      <c r="C1247" t="s">
        <v>100</v>
      </c>
      <c r="D1247" t="s">
        <v>101</v>
      </c>
      <c r="E1247" t="s">
        <v>17</v>
      </c>
      <c r="F1247" s="5">
        <v>6</v>
      </c>
      <c r="G1247" s="5">
        <v>1</v>
      </c>
      <c r="H1247" s="5">
        <v>4996</v>
      </c>
      <c r="I1247" s="5">
        <v>1</v>
      </c>
      <c r="J1247" s="5">
        <v>1665</v>
      </c>
      <c r="K1247" t="s">
        <v>18</v>
      </c>
      <c r="L1247" t="s">
        <v>40</v>
      </c>
      <c r="M1247" t="s">
        <v>47</v>
      </c>
      <c r="N1247" t="s">
        <v>42</v>
      </c>
      <c r="O1247" t="s">
        <v>35</v>
      </c>
      <c r="P1247" t="s">
        <v>36</v>
      </c>
      <c r="Q1247">
        <f>Table1[[#This Row],[Course_Fee_AED]]-Table1[[#This Row],[Amount_Paid_AED]]</f>
        <v>3331</v>
      </c>
      <c r="R1247">
        <f>Table1[[#This Row],[Course_Fee_AED]]-Table1[[#This Row],[pending Revenue]]</f>
        <v>1665</v>
      </c>
    </row>
    <row r="1248" spans="1:18" x14ac:dyDescent="0.25">
      <c r="A1248" t="s">
        <v>1325</v>
      </c>
      <c r="B1248" s="2">
        <v>45337</v>
      </c>
      <c r="C1248" t="s">
        <v>100</v>
      </c>
      <c r="D1248" t="s">
        <v>101</v>
      </c>
      <c r="E1248" t="s">
        <v>26</v>
      </c>
      <c r="F1248" s="5">
        <v>3</v>
      </c>
      <c r="G1248" s="5">
        <v>1</v>
      </c>
      <c r="H1248" s="5">
        <v>5354</v>
      </c>
      <c r="I1248" s="5">
        <v>3</v>
      </c>
      <c r="J1248" s="5">
        <v>5352</v>
      </c>
      <c r="K1248" t="s">
        <v>18</v>
      </c>
      <c r="L1248" t="s">
        <v>19</v>
      </c>
      <c r="M1248" t="s">
        <v>20</v>
      </c>
      <c r="N1248" t="s">
        <v>48</v>
      </c>
      <c r="O1248" t="s">
        <v>29</v>
      </c>
      <c r="P1248" t="s">
        <v>18</v>
      </c>
      <c r="Q1248">
        <f>Table1[[#This Row],[Course_Fee_AED]]-Table1[[#This Row],[Amount_Paid_AED]]</f>
        <v>2</v>
      </c>
      <c r="R1248">
        <f>Table1[[#This Row],[Course_Fee_AED]]-Table1[[#This Row],[pending Revenue]]</f>
        <v>5352</v>
      </c>
    </row>
    <row r="1249" spans="1:18" x14ac:dyDescent="0.25">
      <c r="A1249" t="s">
        <v>1326</v>
      </c>
      <c r="B1249" s="2">
        <v>45463</v>
      </c>
      <c r="C1249" t="s">
        <v>38</v>
      </c>
      <c r="D1249" t="s">
        <v>39</v>
      </c>
      <c r="E1249" t="s">
        <v>17</v>
      </c>
      <c r="F1249" s="5">
        <v>6</v>
      </c>
      <c r="G1249" s="5">
        <v>1</v>
      </c>
      <c r="H1249" s="5">
        <v>6439</v>
      </c>
      <c r="I1249" s="5">
        <v>2</v>
      </c>
      <c r="J1249" s="5">
        <v>4292</v>
      </c>
      <c r="K1249" t="s">
        <v>18</v>
      </c>
      <c r="L1249" t="s">
        <v>57</v>
      </c>
      <c r="M1249" t="s">
        <v>41</v>
      </c>
      <c r="N1249" t="s">
        <v>48</v>
      </c>
      <c r="O1249" t="s">
        <v>35</v>
      </c>
      <c r="P1249" t="s">
        <v>36</v>
      </c>
      <c r="Q1249">
        <f>Table1[[#This Row],[Course_Fee_AED]]-Table1[[#This Row],[Amount_Paid_AED]]</f>
        <v>2147</v>
      </c>
      <c r="R1249">
        <f>Table1[[#This Row],[Course_Fee_AED]]-Table1[[#This Row],[pending Revenue]]</f>
        <v>4292</v>
      </c>
    </row>
    <row r="1250" spans="1:18" x14ac:dyDescent="0.25">
      <c r="A1250" t="s">
        <v>1327</v>
      </c>
      <c r="B1250" s="2">
        <v>45349</v>
      </c>
      <c r="C1250" t="s">
        <v>82</v>
      </c>
      <c r="D1250" t="s">
        <v>83</v>
      </c>
      <c r="E1250" t="s">
        <v>17</v>
      </c>
      <c r="F1250" s="5">
        <v>6</v>
      </c>
      <c r="G1250" s="5">
        <v>1</v>
      </c>
      <c r="H1250" s="5">
        <v>13830</v>
      </c>
      <c r="I1250" s="5">
        <v>2</v>
      </c>
      <c r="J1250" s="5">
        <v>9220</v>
      </c>
      <c r="K1250" t="s">
        <v>18</v>
      </c>
      <c r="L1250" t="s">
        <v>19</v>
      </c>
      <c r="M1250" t="s">
        <v>63</v>
      </c>
      <c r="N1250" t="s">
        <v>86</v>
      </c>
      <c r="O1250" t="s">
        <v>87</v>
      </c>
      <c r="P1250" t="s">
        <v>36</v>
      </c>
      <c r="Q1250">
        <f>Table1[[#This Row],[Course_Fee_AED]]-Table1[[#This Row],[Amount_Paid_AED]]</f>
        <v>4610</v>
      </c>
      <c r="R1250">
        <f>Table1[[#This Row],[Course_Fee_AED]]-Table1[[#This Row],[pending Revenue]]</f>
        <v>9220</v>
      </c>
    </row>
    <row r="1251" spans="1:18" x14ac:dyDescent="0.25">
      <c r="A1251" t="s">
        <v>1328</v>
      </c>
      <c r="B1251" s="2">
        <v>45646</v>
      </c>
      <c r="C1251" t="s">
        <v>75</v>
      </c>
      <c r="D1251" t="s">
        <v>76</v>
      </c>
      <c r="E1251" t="s">
        <v>26</v>
      </c>
      <c r="F1251" s="5">
        <v>3</v>
      </c>
      <c r="G1251" s="5">
        <v>1</v>
      </c>
      <c r="H1251" s="5">
        <v>13265</v>
      </c>
      <c r="I1251" s="5">
        <v>3</v>
      </c>
      <c r="J1251" s="5">
        <v>13263</v>
      </c>
      <c r="K1251" t="s">
        <v>18</v>
      </c>
      <c r="L1251" t="s">
        <v>57</v>
      </c>
      <c r="M1251" t="s">
        <v>27</v>
      </c>
      <c r="N1251" t="s">
        <v>79</v>
      </c>
      <c r="O1251" t="s">
        <v>58</v>
      </c>
      <c r="P1251" t="s">
        <v>18</v>
      </c>
      <c r="Q1251">
        <f>Table1[[#This Row],[Course_Fee_AED]]-Table1[[#This Row],[Amount_Paid_AED]]</f>
        <v>2</v>
      </c>
      <c r="R1251">
        <f>Table1[[#This Row],[Course_Fee_AED]]-Table1[[#This Row],[pending Revenue]]</f>
        <v>13263</v>
      </c>
    </row>
    <row r="1252" spans="1:18" x14ac:dyDescent="0.25">
      <c r="A1252" t="s">
        <v>1329</v>
      </c>
      <c r="B1252" s="2">
        <v>45454</v>
      </c>
      <c r="C1252" t="s">
        <v>15</v>
      </c>
      <c r="D1252" t="s">
        <v>16</v>
      </c>
      <c r="E1252" t="s">
        <v>26</v>
      </c>
      <c r="F1252" s="5">
        <v>3</v>
      </c>
      <c r="G1252" s="5">
        <v>1</v>
      </c>
      <c r="H1252" s="5">
        <v>5891</v>
      </c>
      <c r="I1252" s="5">
        <v>2</v>
      </c>
      <c r="J1252" s="5">
        <v>3926</v>
      </c>
      <c r="K1252" t="s">
        <v>18</v>
      </c>
      <c r="L1252" t="s">
        <v>40</v>
      </c>
      <c r="M1252" t="s">
        <v>63</v>
      </c>
      <c r="N1252" t="s">
        <v>28</v>
      </c>
      <c r="O1252" t="s">
        <v>68</v>
      </c>
      <c r="P1252" t="s">
        <v>36</v>
      </c>
      <c r="Q1252">
        <f>Table1[[#This Row],[Course_Fee_AED]]-Table1[[#This Row],[Amount_Paid_AED]]</f>
        <v>1965</v>
      </c>
      <c r="R1252">
        <f>Table1[[#This Row],[Course_Fee_AED]]-Table1[[#This Row],[pending Revenue]]</f>
        <v>3926</v>
      </c>
    </row>
    <row r="1253" spans="1:18" x14ac:dyDescent="0.25">
      <c r="A1253" t="s">
        <v>1330</v>
      </c>
      <c r="B1253" s="2">
        <v>45501</v>
      </c>
      <c r="C1253" t="s">
        <v>45</v>
      </c>
      <c r="D1253" t="s">
        <v>46</v>
      </c>
      <c r="E1253" t="s">
        <v>17</v>
      </c>
      <c r="F1253" s="5">
        <v>6</v>
      </c>
      <c r="G1253" s="5">
        <v>1</v>
      </c>
      <c r="H1253" s="5">
        <v>5398</v>
      </c>
      <c r="I1253" s="5">
        <v>3</v>
      </c>
      <c r="J1253" s="5">
        <v>5397</v>
      </c>
      <c r="K1253" t="s">
        <v>18</v>
      </c>
      <c r="L1253" t="s">
        <v>40</v>
      </c>
      <c r="M1253" t="s">
        <v>27</v>
      </c>
      <c r="N1253" t="s">
        <v>154</v>
      </c>
      <c r="O1253" t="s">
        <v>35</v>
      </c>
      <c r="P1253" t="s">
        <v>36</v>
      </c>
      <c r="Q1253">
        <f>Table1[[#This Row],[Course_Fee_AED]]-Table1[[#This Row],[Amount_Paid_AED]]</f>
        <v>1</v>
      </c>
      <c r="R1253">
        <f>Table1[[#This Row],[Course_Fee_AED]]-Table1[[#This Row],[pending Revenue]]</f>
        <v>5397</v>
      </c>
    </row>
    <row r="1254" spans="1:18" x14ac:dyDescent="0.25">
      <c r="A1254" t="s">
        <v>1331</v>
      </c>
      <c r="B1254" s="2">
        <v>45392</v>
      </c>
      <c r="C1254" t="s">
        <v>45</v>
      </c>
      <c r="D1254" t="s">
        <v>46</v>
      </c>
      <c r="E1254" t="s">
        <v>26</v>
      </c>
      <c r="F1254" s="5">
        <v>3</v>
      </c>
      <c r="G1254" s="5">
        <v>1</v>
      </c>
      <c r="H1254" s="5">
        <v>6122</v>
      </c>
      <c r="I1254" s="5">
        <v>3</v>
      </c>
      <c r="J1254" s="5">
        <v>6120</v>
      </c>
      <c r="K1254" t="s">
        <v>18</v>
      </c>
      <c r="L1254" t="s">
        <v>57</v>
      </c>
      <c r="M1254" t="s">
        <v>60</v>
      </c>
      <c r="N1254" t="s">
        <v>95</v>
      </c>
      <c r="O1254" t="s">
        <v>71</v>
      </c>
      <c r="P1254" t="s">
        <v>36</v>
      </c>
      <c r="Q1254">
        <f>Table1[[#This Row],[Course_Fee_AED]]-Table1[[#This Row],[Amount_Paid_AED]]</f>
        <v>2</v>
      </c>
      <c r="R1254">
        <f>Table1[[#This Row],[Course_Fee_AED]]-Table1[[#This Row],[pending Revenue]]</f>
        <v>6120</v>
      </c>
    </row>
    <row r="1255" spans="1:18" x14ac:dyDescent="0.25">
      <c r="A1255" t="s">
        <v>1332</v>
      </c>
      <c r="B1255" s="2">
        <v>45323</v>
      </c>
      <c r="C1255" t="s">
        <v>100</v>
      </c>
      <c r="D1255" t="s">
        <v>101</v>
      </c>
      <c r="E1255" t="s">
        <v>17</v>
      </c>
      <c r="F1255" s="5">
        <v>6</v>
      </c>
      <c r="G1255" s="5">
        <v>1</v>
      </c>
      <c r="H1255" s="5">
        <v>4273</v>
      </c>
      <c r="I1255" s="5">
        <v>1</v>
      </c>
      <c r="J1255" s="5">
        <v>1424</v>
      </c>
      <c r="K1255" t="s">
        <v>18</v>
      </c>
      <c r="L1255" t="s">
        <v>40</v>
      </c>
      <c r="M1255" t="s">
        <v>20</v>
      </c>
      <c r="N1255" t="s">
        <v>95</v>
      </c>
      <c r="O1255" t="s">
        <v>49</v>
      </c>
      <c r="P1255" t="s">
        <v>18</v>
      </c>
      <c r="Q1255">
        <f>Table1[[#This Row],[Course_Fee_AED]]-Table1[[#This Row],[Amount_Paid_AED]]</f>
        <v>2849</v>
      </c>
      <c r="R1255">
        <f>Table1[[#This Row],[Course_Fee_AED]]-Table1[[#This Row],[pending Revenue]]</f>
        <v>1424</v>
      </c>
    </row>
    <row r="1256" spans="1:18" x14ac:dyDescent="0.25">
      <c r="A1256" t="s">
        <v>1333</v>
      </c>
      <c r="B1256" s="2">
        <v>45462</v>
      </c>
      <c r="C1256" t="s">
        <v>24</v>
      </c>
      <c r="D1256" t="s">
        <v>25</v>
      </c>
      <c r="E1256" t="s">
        <v>17</v>
      </c>
      <c r="F1256" s="5">
        <v>6</v>
      </c>
      <c r="G1256" s="5">
        <v>1</v>
      </c>
      <c r="H1256" s="5">
        <v>4752</v>
      </c>
      <c r="I1256" s="5">
        <v>3</v>
      </c>
      <c r="J1256" s="5">
        <v>4752</v>
      </c>
      <c r="K1256" t="s">
        <v>33</v>
      </c>
      <c r="L1256" t="s">
        <v>40</v>
      </c>
      <c r="M1256" t="s">
        <v>41</v>
      </c>
      <c r="N1256" t="s">
        <v>73</v>
      </c>
      <c r="O1256" t="s">
        <v>43</v>
      </c>
      <c r="P1256" t="s">
        <v>36</v>
      </c>
      <c r="Q1256">
        <f>Table1[[#This Row],[Course_Fee_AED]]-Table1[[#This Row],[Amount_Paid_AED]]</f>
        <v>0</v>
      </c>
      <c r="R1256">
        <f>Table1[[#This Row],[Course_Fee_AED]]-Table1[[#This Row],[pending Revenue]]</f>
        <v>4752</v>
      </c>
    </row>
    <row r="1257" spans="1:18" x14ac:dyDescent="0.25">
      <c r="A1257" t="s">
        <v>1334</v>
      </c>
      <c r="B1257" s="2">
        <v>45346</v>
      </c>
      <c r="C1257" t="s">
        <v>15</v>
      </c>
      <c r="D1257" t="s">
        <v>16</v>
      </c>
      <c r="E1257" t="s">
        <v>17</v>
      </c>
      <c r="F1257" s="5">
        <v>6</v>
      </c>
      <c r="G1257" s="5">
        <v>1</v>
      </c>
      <c r="H1257" s="5">
        <v>6301</v>
      </c>
      <c r="I1257" s="5">
        <v>3</v>
      </c>
      <c r="J1257" s="5">
        <v>6300</v>
      </c>
      <c r="K1257" t="s">
        <v>18</v>
      </c>
      <c r="L1257" t="s">
        <v>19</v>
      </c>
      <c r="M1257" t="s">
        <v>47</v>
      </c>
      <c r="N1257" t="s">
        <v>90</v>
      </c>
      <c r="O1257" t="s">
        <v>71</v>
      </c>
      <c r="P1257" t="s">
        <v>36</v>
      </c>
      <c r="Q1257">
        <f>Table1[[#This Row],[Course_Fee_AED]]-Table1[[#This Row],[Amount_Paid_AED]]</f>
        <v>1</v>
      </c>
      <c r="R1257">
        <f>Table1[[#This Row],[Course_Fee_AED]]-Table1[[#This Row],[pending Revenue]]</f>
        <v>6300</v>
      </c>
    </row>
    <row r="1258" spans="1:18" x14ac:dyDescent="0.25">
      <c r="A1258" t="s">
        <v>1335</v>
      </c>
      <c r="B1258" s="2">
        <v>45564</v>
      </c>
      <c r="C1258" t="s">
        <v>51</v>
      </c>
      <c r="D1258" t="s">
        <v>52</v>
      </c>
      <c r="E1258" t="s">
        <v>17</v>
      </c>
      <c r="F1258" s="5">
        <v>6</v>
      </c>
      <c r="G1258" s="5">
        <v>1</v>
      </c>
      <c r="H1258" s="5">
        <v>4337</v>
      </c>
      <c r="I1258" s="5">
        <v>3</v>
      </c>
      <c r="J1258" s="5">
        <v>4335</v>
      </c>
      <c r="K1258" t="s">
        <v>18</v>
      </c>
      <c r="L1258" t="s">
        <v>40</v>
      </c>
      <c r="M1258" t="s">
        <v>20</v>
      </c>
      <c r="N1258" t="s">
        <v>73</v>
      </c>
      <c r="O1258" t="s">
        <v>22</v>
      </c>
      <c r="P1258" t="s">
        <v>18</v>
      </c>
      <c r="Q1258">
        <f>Table1[[#This Row],[Course_Fee_AED]]-Table1[[#This Row],[Amount_Paid_AED]]</f>
        <v>2</v>
      </c>
      <c r="R1258">
        <f>Table1[[#This Row],[Course_Fee_AED]]-Table1[[#This Row],[pending Revenue]]</f>
        <v>4335</v>
      </c>
    </row>
    <row r="1259" spans="1:18" x14ac:dyDescent="0.25">
      <c r="A1259" t="s">
        <v>1336</v>
      </c>
      <c r="B1259" s="2">
        <v>45574</v>
      </c>
      <c r="C1259" t="s">
        <v>24</v>
      </c>
      <c r="D1259" t="s">
        <v>25</v>
      </c>
      <c r="E1259" t="s">
        <v>17</v>
      </c>
      <c r="F1259" s="5">
        <v>6</v>
      </c>
      <c r="G1259" s="5">
        <v>1</v>
      </c>
      <c r="H1259" s="5">
        <v>5166</v>
      </c>
      <c r="I1259" s="5">
        <v>1</v>
      </c>
      <c r="J1259" s="5">
        <v>1722</v>
      </c>
      <c r="K1259" t="s">
        <v>18</v>
      </c>
      <c r="L1259" t="s">
        <v>40</v>
      </c>
      <c r="M1259" t="s">
        <v>27</v>
      </c>
      <c r="N1259" t="s">
        <v>21</v>
      </c>
      <c r="O1259" t="s">
        <v>64</v>
      </c>
      <c r="P1259" t="s">
        <v>36</v>
      </c>
      <c r="Q1259">
        <f>Table1[[#This Row],[Course_Fee_AED]]-Table1[[#This Row],[Amount_Paid_AED]]</f>
        <v>3444</v>
      </c>
      <c r="R1259">
        <f>Table1[[#This Row],[Course_Fee_AED]]-Table1[[#This Row],[pending Revenue]]</f>
        <v>1722</v>
      </c>
    </row>
    <row r="1260" spans="1:18" x14ac:dyDescent="0.25">
      <c r="A1260" t="s">
        <v>1337</v>
      </c>
      <c r="B1260" s="2">
        <v>45562</v>
      </c>
      <c r="C1260" t="s">
        <v>75</v>
      </c>
      <c r="D1260" t="s">
        <v>76</v>
      </c>
      <c r="E1260" t="s">
        <v>26</v>
      </c>
      <c r="F1260" s="5">
        <v>3</v>
      </c>
      <c r="G1260" s="5">
        <v>1</v>
      </c>
      <c r="H1260" s="5">
        <v>14021</v>
      </c>
      <c r="I1260" s="5">
        <v>1</v>
      </c>
      <c r="J1260" s="5">
        <v>4673</v>
      </c>
      <c r="K1260" t="s">
        <v>18</v>
      </c>
      <c r="L1260" t="s">
        <v>19</v>
      </c>
      <c r="M1260" t="s">
        <v>41</v>
      </c>
      <c r="N1260" t="s">
        <v>154</v>
      </c>
      <c r="O1260" t="s">
        <v>87</v>
      </c>
      <c r="P1260" t="s">
        <v>36</v>
      </c>
      <c r="Q1260">
        <f>Table1[[#This Row],[Course_Fee_AED]]-Table1[[#This Row],[Amount_Paid_AED]]</f>
        <v>9348</v>
      </c>
      <c r="R1260">
        <f>Table1[[#This Row],[Course_Fee_AED]]-Table1[[#This Row],[pending Revenue]]</f>
        <v>4673</v>
      </c>
    </row>
    <row r="1261" spans="1:18" x14ac:dyDescent="0.25">
      <c r="A1261" t="s">
        <v>1338</v>
      </c>
      <c r="B1261" s="2">
        <v>45496</v>
      </c>
      <c r="C1261" t="s">
        <v>45</v>
      </c>
      <c r="D1261" t="s">
        <v>46</v>
      </c>
      <c r="E1261" t="s">
        <v>17</v>
      </c>
      <c r="F1261" s="5">
        <v>6</v>
      </c>
      <c r="G1261" s="5">
        <v>1</v>
      </c>
      <c r="H1261" s="5">
        <v>5906</v>
      </c>
      <c r="I1261" s="5">
        <v>2</v>
      </c>
      <c r="J1261" s="5">
        <v>3936</v>
      </c>
      <c r="K1261" t="s">
        <v>18</v>
      </c>
      <c r="L1261" t="s">
        <v>40</v>
      </c>
      <c r="M1261" t="s">
        <v>20</v>
      </c>
      <c r="N1261" t="s">
        <v>21</v>
      </c>
      <c r="O1261" t="s">
        <v>87</v>
      </c>
      <c r="P1261" t="s">
        <v>36</v>
      </c>
      <c r="Q1261">
        <f>Table1[[#This Row],[Course_Fee_AED]]-Table1[[#This Row],[Amount_Paid_AED]]</f>
        <v>1970</v>
      </c>
      <c r="R1261">
        <f>Table1[[#This Row],[Course_Fee_AED]]-Table1[[#This Row],[pending Revenue]]</f>
        <v>3936</v>
      </c>
    </row>
    <row r="1262" spans="1:18" x14ac:dyDescent="0.25">
      <c r="A1262" t="s">
        <v>1339</v>
      </c>
      <c r="B1262" s="2">
        <v>45416</v>
      </c>
      <c r="C1262" t="s">
        <v>75</v>
      </c>
      <c r="D1262" t="s">
        <v>76</v>
      </c>
      <c r="E1262" t="s">
        <v>26</v>
      </c>
      <c r="F1262" s="5">
        <v>3</v>
      </c>
      <c r="G1262" s="5">
        <v>1</v>
      </c>
      <c r="H1262" s="5">
        <v>8228</v>
      </c>
      <c r="I1262" s="5">
        <v>1</v>
      </c>
      <c r="J1262" s="5">
        <v>2742</v>
      </c>
      <c r="K1262" t="s">
        <v>18</v>
      </c>
      <c r="L1262" t="s">
        <v>40</v>
      </c>
      <c r="M1262" t="s">
        <v>60</v>
      </c>
      <c r="N1262" t="s">
        <v>79</v>
      </c>
      <c r="O1262" t="s">
        <v>68</v>
      </c>
      <c r="P1262" t="s">
        <v>18</v>
      </c>
      <c r="Q1262">
        <f>Table1[[#This Row],[Course_Fee_AED]]-Table1[[#This Row],[Amount_Paid_AED]]</f>
        <v>5486</v>
      </c>
      <c r="R1262">
        <f>Table1[[#This Row],[Course_Fee_AED]]-Table1[[#This Row],[pending Revenue]]</f>
        <v>2742</v>
      </c>
    </row>
    <row r="1263" spans="1:18" x14ac:dyDescent="0.25">
      <c r="A1263" t="s">
        <v>1340</v>
      </c>
      <c r="B1263" s="2">
        <v>45338</v>
      </c>
      <c r="C1263" t="s">
        <v>66</v>
      </c>
      <c r="D1263" t="s">
        <v>56</v>
      </c>
      <c r="E1263" t="s">
        <v>26</v>
      </c>
      <c r="F1263" s="5">
        <v>3</v>
      </c>
      <c r="G1263" s="5">
        <v>1</v>
      </c>
      <c r="H1263" s="5">
        <v>8907</v>
      </c>
      <c r="I1263" s="5">
        <v>2</v>
      </c>
      <c r="J1263" s="5">
        <v>5938</v>
      </c>
      <c r="K1263" t="s">
        <v>18</v>
      </c>
      <c r="L1263" t="s">
        <v>57</v>
      </c>
      <c r="M1263" t="s">
        <v>27</v>
      </c>
      <c r="N1263" t="s">
        <v>61</v>
      </c>
      <c r="O1263" t="s">
        <v>49</v>
      </c>
      <c r="P1263" t="s">
        <v>18</v>
      </c>
      <c r="Q1263">
        <f>Table1[[#This Row],[Course_Fee_AED]]-Table1[[#This Row],[Amount_Paid_AED]]</f>
        <v>2969</v>
      </c>
      <c r="R1263">
        <f>Table1[[#This Row],[Course_Fee_AED]]-Table1[[#This Row],[pending Revenue]]</f>
        <v>5938</v>
      </c>
    </row>
    <row r="1264" spans="1:18" x14ac:dyDescent="0.25">
      <c r="A1264" t="s">
        <v>1341</v>
      </c>
      <c r="B1264" s="2">
        <v>45636</v>
      </c>
      <c r="C1264" t="s">
        <v>15</v>
      </c>
      <c r="D1264" t="s">
        <v>16</v>
      </c>
      <c r="E1264" t="s">
        <v>26</v>
      </c>
      <c r="F1264" s="5">
        <v>3</v>
      </c>
      <c r="G1264" s="5">
        <v>1</v>
      </c>
      <c r="H1264" s="5">
        <v>5090</v>
      </c>
      <c r="I1264" s="5">
        <v>1</v>
      </c>
      <c r="J1264" s="5">
        <v>1696</v>
      </c>
      <c r="K1264" t="s">
        <v>18</v>
      </c>
      <c r="L1264" t="s">
        <v>57</v>
      </c>
      <c r="M1264" t="s">
        <v>47</v>
      </c>
      <c r="N1264" t="s">
        <v>61</v>
      </c>
      <c r="O1264" t="s">
        <v>49</v>
      </c>
      <c r="P1264" t="s">
        <v>36</v>
      </c>
      <c r="Q1264">
        <f>Table1[[#This Row],[Course_Fee_AED]]-Table1[[#This Row],[Amount_Paid_AED]]</f>
        <v>3394</v>
      </c>
      <c r="R1264">
        <f>Table1[[#This Row],[Course_Fee_AED]]-Table1[[#This Row],[pending Revenue]]</f>
        <v>1696</v>
      </c>
    </row>
    <row r="1265" spans="1:18" x14ac:dyDescent="0.25">
      <c r="A1265" t="s">
        <v>1342</v>
      </c>
      <c r="B1265" s="2">
        <v>45646</v>
      </c>
      <c r="C1265" t="s">
        <v>106</v>
      </c>
      <c r="D1265" t="s">
        <v>107</v>
      </c>
      <c r="E1265" t="s">
        <v>17</v>
      </c>
      <c r="F1265" s="5">
        <v>6</v>
      </c>
      <c r="G1265" s="5">
        <v>1</v>
      </c>
      <c r="H1265" s="5">
        <v>5635</v>
      </c>
      <c r="I1265" s="5">
        <v>1</v>
      </c>
      <c r="J1265" s="5">
        <v>1878</v>
      </c>
      <c r="K1265" t="s">
        <v>18</v>
      </c>
      <c r="L1265" t="s">
        <v>57</v>
      </c>
      <c r="M1265" t="s">
        <v>60</v>
      </c>
      <c r="N1265" t="s">
        <v>86</v>
      </c>
      <c r="O1265" t="s">
        <v>68</v>
      </c>
      <c r="P1265" t="s">
        <v>18</v>
      </c>
      <c r="Q1265">
        <f>Table1[[#This Row],[Course_Fee_AED]]-Table1[[#This Row],[Amount_Paid_AED]]</f>
        <v>3757</v>
      </c>
      <c r="R1265">
        <f>Table1[[#This Row],[Course_Fee_AED]]-Table1[[#This Row],[pending Revenue]]</f>
        <v>1878</v>
      </c>
    </row>
    <row r="1266" spans="1:18" x14ac:dyDescent="0.25">
      <c r="A1266" t="s">
        <v>1343</v>
      </c>
      <c r="B1266" s="2">
        <v>45530</v>
      </c>
      <c r="C1266" t="s">
        <v>45</v>
      </c>
      <c r="D1266" t="s">
        <v>46</v>
      </c>
      <c r="E1266" t="s">
        <v>26</v>
      </c>
      <c r="F1266" s="5">
        <v>3</v>
      </c>
      <c r="G1266" s="5">
        <v>1</v>
      </c>
      <c r="H1266" s="5">
        <v>4053</v>
      </c>
      <c r="I1266" s="5">
        <v>3</v>
      </c>
      <c r="J1266" s="5">
        <v>4053</v>
      </c>
      <c r="K1266" t="s">
        <v>33</v>
      </c>
      <c r="L1266" t="s">
        <v>19</v>
      </c>
      <c r="M1266" t="s">
        <v>27</v>
      </c>
      <c r="N1266" t="s">
        <v>154</v>
      </c>
      <c r="O1266" t="s">
        <v>43</v>
      </c>
      <c r="P1266" t="s">
        <v>18</v>
      </c>
      <c r="Q1266">
        <f>Table1[[#This Row],[Course_Fee_AED]]-Table1[[#This Row],[Amount_Paid_AED]]</f>
        <v>0</v>
      </c>
      <c r="R1266">
        <f>Table1[[#This Row],[Course_Fee_AED]]-Table1[[#This Row],[pending Revenue]]</f>
        <v>4053</v>
      </c>
    </row>
    <row r="1267" spans="1:18" x14ac:dyDescent="0.25">
      <c r="A1267" t="s">
        <v>1344</v>
      </c>
      <c r="B1267" s="2">
        <v>45587</v>
      </c>
      <c r="C1267" t="s">
        <v>24</v>
      </c>
      <c r="D1267" t="s">
        <v>25</v>
      </c>
      <c r="E1267" t="s">
        <v>26</v>
      </c>
      <c r="F1267" s="5">
        <v>3</v>
      </c>
      <c r="G1267" s="5">
        <v>1</v>
      </c>
      <c r="H1267" s="5">
        <v>4925</v>
      </c>
      <c r="I1267" s="5">
        <v>3</v>
      </c>
      <c r="J1267" s="5">
        <v>4923</v>
      </c>
      <c r="K1267" t="s">
        <v>18</v>
      </c>
      <c r="L1267" t="s">
        <v>19</v>
      </c>
      <c r="M1267" t="s">
        <v>27</v>
      </c>
      <c r="N1267" t="s">
        <v>42</v>
      </c>
      <c r="O1267" t="s">
        <v>22</v>
      </c>
      <c r="P1267" t="s">
        <v>18</v>
      </c>
      <c r="Q1267">
        <f>Table1[[#This Row],[Course_Fee_AED]]-Table1[[#This Row],[Amount_Paid_AED]]</f>
        <v>2</v>
      </c>
      <c r="R1267">
        <f>Table1[[#This Row],[Course_Fee_AED]]-Table1[[#This Row],[pending Revenue]]</f>
        <v>4923</v>
      </c>
    </row>
    <row r="1268" spans="1:18" x14ac:dyDescent="0.25">
      <c r="A1268" t="s">
        <v>1345</v>
      </c>
      <c r="B1268" s="2">
        <v>45588</v>
      </c>
      <c r="C1268" t="s">
        <v>31</v>
      </c>
      <c r="D1268" t="s">
        <v>32</v>
      </c>
      <c r="E1268" t="s">
        <v>26</v>
      </c>
      <c r="F1268" s="5">
        <v>3</v>
      </c>
      <c r="G1268" s="5">
        <v>1</v>
      </c>
      <c r="H1268" s="5">
        <v>6865</v>
      </c>
      <c r="I1268" s="5">
        <v>2</v>
      </c>
      <c r="J1268" s="5">
        <v>4576</v>
      </c>
      <c r="K1268" t="s">
        <v>18</v>
      </c>
      <c r="L1268" t="s">
        <v>40</v>
      </c>
      <c r="M1268" t="s">
        <v>20</v>
      </c>
      <c r="N1268" t="s">
        <v>73</v>
      </c>
      <c r="O1268" t="s">
        <v>35</v>
      </c>
      <c r="P1268" t="s">
        <v>18</v>
      </c>
      <c r="Q1268">
        <f>Table1[[#This Row],[Course_Fee_AED]]-Table1[[#This Row],[Amount_Paid_AED]]</f>
        <v>2289</v>
      </c>
      <c r="R1268">
        <f>Table1[[#This Row],[Course_Fee_AED]]-Table1[[#This Row],[pending Revenue]]</f>
        <v>4576</v>
      </c>
    </row>
    <row r="1269" spans="1:18" x14ac:dyDescent="0.25">
      <c r="A1269" t="s">
        <v>1346</v>
      </c>
      <c r="B1269" s="2">
        <v>45610</v>
      </c>
      <c r="C1269" t="s">
        <v>82</v>
      </c>
      <c r="D1269" t="s">
        <v>83</v>
      </c>
      <c r="E1269" t="s">
        <v>26</v>
      </c>
      <c r="F1269" s="5">
        <v>3</v>
      </c>
      <c r="G1269" s="5">
        <v>1</v>
      </c>
      <c r="H1269" s="5">
        <v>13940</v>
      </c>
      <c r="I1269" s="5">
        <v>1</v>
      </c>
      <c r="J1269" s="5">
        <v>4646</v>
      </c>
      <c r="K1269" t="s">
        <v>18</v>
      </c>
      <c r="L1269" t="s">
        <v>40</v>
      </c>
      <c r="M1269" t="s">
        <v>27</v>
      </c>
      <c r="N1269" t="s">
        <v>42</v>
      </c>
      <c r="O1269" t="s">
        <v>71</v>
      </c>
      <c r="P1269" t="s">
        <v>18</v>
      </c>
      <c r="Q1269">
        <f>Table1[[#This Row],[Course_Fee_AED]]-Table1[[#This Row],[Amount_Paid_AED]]</f>
        <v>9294</v>
      </c>
      <c r="R1269">
        <f>Table1[[#This Row],[Course_Fee_AED]]-Table1[[#This Row],[pending Revenue]]</f>
        <v>4646</v>
      </c>
    </row>
    <row r="1270" spans="1:18" x14ac:dyDescent="0.25">
      <c r="A1270" t="s">
        <v>1347</v>
      </c>
      <c r="B1270" s="2">
        <v>45512</v>
      </c>
      <c r="C1270" t="s">
        <v>51</v>
      </c>
      <c r="D1270" t="s">
        <v>52</v>
      </c>
      <c r="E1270" t="s">
        <v>26</v>
      </c>
      <c r="F1270" s="5">
        <v>3</v>
      </c>
      <c r="G1270" s="5">
        <v>1</v>
      </c>
      <c r="H1270" s="5">
        <v>3559</v>
      </c>
      <c r="I1270" s="5">
        <v>2</v>
      </c>
      <c r="J1270" s="5">
        <v>2372</v>
      </c>
      <c r="K1270" t="s">
        <v>18</v>
      </c>
      <c r="L1270" t="s">
        <v>19</v>
      </c>
      <c r="M1270" t="s">
        <v>27</v>
      </c>
      <c r="N1270" t="s">
        <v>116</v>
      </c>
      <c r="O1270" t="s">
        <v>49</v>
      </c>
      <c r="P1270" t="s">
        <v>18</v>
      </c>
      <c r="Q1270">
        <f>Table1[[#This Row],[Course_Fee_AED]]-Table1[[#This Row],[Amount_Paid_AED]]</f>
        <v>1187</v>
      </c>
      <c r="R1270">
        <f>Table1[[#This Row],[Course_Fee_AED]]-Table1[[#This Row],[pending Revenue]]</f>
        <v>2372</v>
      </c>
    </row>
    <row r="1271" spans="1:18" x14ac:dyDescent="0.25">
      <c r="A1271" t="s">
        <v>1348</v>
      </c>
      <c r="B1271" s="2">
        <v>45652</v>
      </c>
      <c r="C1271" t="s">
        <v>82</v>
      </c>
      <c r="D1271" t="s">
        <v>83</v>
      </c>
      <c r="E1271" t="s">
        <v>17</v>
      </c>
      <c r="F1271" s="5">
        <v>6</v>
      </c>
      <c r="G1271" s="5">
        <v>1</v>
      </c>
      <c r="H1271" s="5">
        <v>13800</v>
      </c>
      <c r="I1271" s="5">
        <v>1</v>
      </c>
      <c r="J1271" s="5">
        <v>4600</v>
      </c>
      <c r="K1271" t="s">
        <v>18</v>
      </c>
      <c r="L1271" t="s">
        <v>19</v>
      </c>
      <c r="M1271" t="s">
        <v>60</v>
      </c>
      <c r="N1271" t="s">
        <v>116</v>
      </c>
      <c r="O1271" t="s">
        <v>87</v>
      </c>
      <c r="P1271" t="s">
        <v>36</v>
      </c>
      <c r="Q1271">
        <f>Table1[[#This Row],[Course_Fee_AED]]-Table1[[#This Row],[Amount_Paid_AED]]</f>
        <v>9200</v>
      </c>
      <c r="R1271">
        <f>Table1[[#This Row],[Course_Fee_AED]]-Table1[[#This Row],[pending Revenue]]</f>
        <v>4600</v>
      </c>
    </row>
    <row r="1272" spans="1:18" x14ac:dyDescent="0.25">
      <c r="A1272" t="s">
        <v>1349</v>
      </c>
      <c r="B1272" s="2">
        <v>45507</v>
      </c>
      <c r="C1272" t="s">
        <v>31</v>
      </c>
      <c r="D1272" t="s">
        <v>32</v>
      </c>
      <c r="E1272" t="s">
        <v>26</v>
      </c>
      <c r="F1272" s="5">
        <v>3</v>
      </c>
      <c r="G1272" s="5">
        <v>1</v>
      </c>
      <c r="H1272" s="5">
        <v>5158</v>
      </c>
      <c r="I1272" s="5">
        <v>3</v>
      </c>
      <c r="J1272" s="5">
        <v>5157</v>
      </c>
      <c r="K1272" t="s">
        <v>18</v>
      </c>
      <c r="L1272" t="s">
        <v>19</v>
      </c>
      <c r="M1272" t="s">
        <v>41</v>
      </c>
      <c r="N1272" t="s">
        <v>48</v>
      </c>
      <c r="O1272" t="s">
        <v>49</v>
      </c>
      <c r="P1272" t="s">
        <v>18</v>
      </c>
      <c r="Q1272">
        <f>Table1[[#This Row],[Course_Fee_AED]]-Table1[[#This Row],[Amount_Paid_AED]]</f>
        <v>1</v>
      </c>
      <c r="R1272">
        <f>Table1[[#This Row],[Course_Fee_AED]]-Table1[[#This Row],[pending Revenue]]</f>
        <v>5157</v>
      </c>
    </row>
    <row r="1273" spans="1:18" x14ac:dyDescent="0.25">
      <c r="A1273" t="s">
        <v>1350</v>
      </c>
      <c r="B1273" s="2">
        <v>45592</v>
      </c>
      <c r="C1273" t="s">
        <v>113</v>
      </c>
      <c r="D1273" t="s">
        <v>93</v>
      </c>
      <c r="E1273" t="s">
        <v>26</v>
      </c>
      <c r="F1273" s="5">
        <v>3</v>
      </c>
      <c r="G1273" s="5">
        <v>1</v>
      </c>
      <c r="H1273" s="5">
        <v>3588</v>
      </c>
      <c r="I1273" s="5">
        <v>1</v>
      </c>
      <c r="J1273" s="5">
        <v>1196</v>
      </c>
      <c r="K1273" t="s">
        <v>18</v>
      </c>
      <c r="L1273" t="s">
        <v>40</v>
      </c>
      <c r="M1273" t="s">
        <v>63</v>
      </c>
      <c r="N1273" t="s">
        <v>154</v>
      </c>
      <c r="O1273" t="s">
        <v>43</v>
      </c>
      <c r="P1273" t="s">
        <v>36</v>
      </c>
      <c r="Q1273">
        <f>Table1[[#This Row],[Course_Fee_AED]]-Table1[[#This Row],[Amount_Paid_AED]]</f>
        <v>2392</v>
      </c>
      <c r="R1273">
        <f>Table1[[#This Row],[Course_Fee_AED]]-Table1[[#This Row],[pending Revenue]]</f>
        <v>1196</v>
      </c>
    </row>
    <row r="1274" spans="1:18" x14ac:dyDescent="0.25">
      <c r="A1274" t="s">
        <v>1351</v>
      </c>
      <c r="B1274" s="2">
        <v>45317</v>
      </c>
      <c r="C1274" t="s">
        <v>92</v>
      </c>
      <c r="D1274" t="s">
        <v>93</v>
      </c>
      <c r="E1274" t="s">
        <v>26</v>
      </c>
      <c r="F1274" s="5">
        <v>3</v>
      </c>
      <c r="G1274" s="5">
        <v>1</v>
      </c>
      <c r="H1274" s="5">
        <v>7390</v>
      </c>
      <c r="I1274" s="5">
        <v>1</v>
      </c>
      <c r="J1274" s="5">
        <v>2463</v>
      </c>
      <c r="K1274" t="s">
        <v>18</v>
      </c>
      <c r="L1274" t="s">
        <v>40</v>
      </c>
      <c r="M1274" t="s">
        <v>41</v>
      </c>
      <c r="N1274" t="s">
        <v>73</v>
      </c>
      <c r="O1274" t="s">
        <v>35</v>
      </c>
      <c r="P1274" t="s">
        <v>18</v>
      </c>
      <c r="Q1274">
        <f>Table1[[#This Row],[Course_Fee_AED]]-Table1[[#This Row],[Amount_Paid_AED]]</f>
        <v>4927</v>
      </c>
      <c r="R1274">
        <f>Table1[[#This Row],[Course_Fee_AED]]-Table1[[#This Row],[pending Revenue]]</f>
        <v>2463</v>
      </c>
    </row>
    <row r="1275" spans="1:18" x14ac:dyDescent="0.25">
      <c r="A1275" t="s">
        <v>1352</v>
      </c>
      <c r="B1275" s="2">
        <v>45480</v>
      </c>
      <c r="C1275" t="s">
        <v>82</v>
      </c>
      <c r="D1275" t="s">
        <v>83</v>
      </c>
      <c r="E1275" t="s">
        <v>26</v>
      </c>
      <c r="F1275" s="5">
        <v>3</v>
      </c>
      <c r="G1275" s="5">
        <v>1</v>
      </c>
      <c r="H1275" s="5">
        <v>13050</v>
      </c>
      <c r="I1275" s="5">
        <v>3</v>
      </c>
      <c r="J1275" s="5">
        <v>13050</v>
      </c>
      <c r="K1275" t="s">
        <v>33</v>
      </c>
      <c r="L1275" t="s">
        <v>19</v>
      </c>
      <c r="M1275" t="s">
        <v>47</v>
      </c>
      <c r="N1275" t="s">
        <v>86</v>
      </c>
      <c r="O1275" t="s">
        <v>35</v>
      </c>
      <c r="P1275" t="s">
        <v>18</v>
      </c>
      <c r="Q1275">
        <f>Table1[[#This Row],[Course_Fee_AED]]-Table1[[#This Row],[Amount_Paid_AED]]</f>
        <v>0</v>
      </c>
      <c r="R1275">
        <f>Table1[[#This Row],[Course_Fee_AED]]-Table1[[#This Row],[pending Revenue]]</f>
        <v>13050</v>
      </c>
    </row>
    <row r="1276" spans="1:18" x14ac:dyDescent="0.25">
      <c r="A1276" t="s">
        <v>1353</v>
      </c>
      <c r="B1276" s="2">
        <v>45446</v>
      </c>
      <c r="C1276" t="s">
        <v>100</v>
      </c>
      <c r="D1276" t="s">
        <v>101</v>
      </c>
      <c r="E1276" t="s">
        <v>26</v>
      </c>
      <c r="F1276" s="5">
        <v>3</v>
      </c>
      <c r="G1276" s="5">
        <v>1</v>
      </c>
      <c r="H1276" s="5">
        <v>4116</v>
      </c>
      <c r="I1276" s="5">
        <v>3</v>
      </c>
      <c r="J1276" s="5">
        <v>4116</v>
      </c>
      <c r="K1276" t="s">
        <v>33</v>
      </c>
      <c r="L1276" t="s">
        <v>40</v>
      </c>
      <c r="M1276" t="s">
        <v>27</v>
      </c>
      <c r="N1276" t="s">
        <v>73</v>
      </c>
      <c r="O1276" t="s">
        <v>64</v>
      </c>
      <c r="P1276" t="s">
        <v>36</v>
      </c>
      <c r="Q1276">
        <f>Table1[[#This Row],[Course_Fee_AED]]-Table1[[#This Row],[Amount_Paid_AED]]</f>
        <v>0</v>
      </c>
      <c r="R1276">
        <f>Table1[[#This Row],[Course_Fee_AED]]-Table1[[#This Row],[pending Revenue]]</f>
        <v>4116</v>
      </c>
    </row>
    <row r="1277" spans="1:18" x14ac:dyDescent="0.25">
      <c r="A1277" t="s">
        <v>1354</v>
      </c>
      <c r="B1277" s="2">
        <v>45351</v>
      </c>
      <c r="C1277" t="s">
        <v>38</v>
      </c>
      <c r="D1277" t="s">
        <v>39</v>
      </c>
      <c r="E1277" t="s">
        <v>17</v>
      </c>
      <c r="F1277" s="5">
        <v>6</v>
      </c>
      <c r="G1277" s="5">
        <v>1</v>
      </c>
      <c r="H1277" s="5">
        <v>5476</v>
      </c>
      <c r="I1277" s="5">
        <v>1</v>
      </c>
      <c r="J1277" s="5">
        <v>1825</v>
      </c>
      <c r="K1277" t="s">
        <v>18</v>
      </c>
      <c r="L1277" t="s">
        <v>19</v>
      </c>
      <c r="M1277" t="s">
        <v>27</v>
      </c>
      <c r="N1277" t="s">
        <v>61</v>
      </c>
      <c r="O1277" t="s">
        <v>22</v>
      </c>
      <c r="P1277" t="s">
        <v>36</v>
      </c>
      <c r="Q1277">
        <f>Table1[[#This Row],[Course_Fee_AED]]-Table1[[#This Row],[Amount_Paid_AED]]</f>
        <v>3651</v>
      </c>
      <c r="R1277">
        <f>Table1[[#This Row],[Course_Fee_AED]]-Table1[[#This Row],[pending Revenue]]</f>
        <v>1825</v>
      </c>
    </row>
    <row r="1278" spans="1:18" x14ac:dyDescent="0.25">
      <c r="A1278" t="s">
        <v>1355</v>
      </c>
      <c r="B1278" s="2">
        <v>45621</v>
      </c>
      <c r="C1278" t="s">
        <v>15</v>
      </c>
      <c r="D1278" t="s">
        <v>16</v>
      </c>
      <c r="E1278" t="s">
        <v>26</v>
      </c>
      <c r="F1278" s="5">
        <v>3</v>
      </c>
      <c r="G1278" s="5">
        <v>1</v>
      </c>
      <c r="H1278" s="5">
        <v>4731</v>
      </c>
      <c r="I1278" s="5">
        <v>3</v>
      </c>
      <c r="J1278" s="5">
        <v>4731</v>
      </c>
      <c r="K1278" t="s">
        <v>33</v>
      </c>
      <c r="L1278" t="s">
        <v>19</v>
      </c>
      <c r="M1278" t="s">
        <v>63</v>
      </c>
      <c r="N1278" t="s">
        <v>21</v>
      </c>
      <c r="O1278" t="s">
        <v>64</v>
      </c>
      <c r="P1278" t="s">
        <v>18</v>
      </c>
      <c r="Q1278">
        <f>Table1[[#This Row],[Course_Fee_AED]]-Table1[[#This Row],[Amount_Paid_AED]]</f>
        <v>0</v>
      </c>
      <c r="R1278">
        <f>Table1[[#This Row],[Course_Fee_AED]]-Table1[[#This Row],[pending Revenue]]</f>
        <v>4731</v>
      </c>
    </row>
    <row r="1279" spans="1:18" x14ac:dyDescent="0.25">
      <c r="A1279" t="s">
        <v>1356</v>
      </c>
      <c r="B1279" s="2">
        <v>45452</v>
      </c>
      <c r="C1279" t="s">
        <v>15</v>
      </c>
      <c r="D1279" t="s">
        <v>16</v>
      </c>
      <c r="E1279" t="s">
        <v>26</v>
      </c>
      <c r="F1279" s="5">
        <v>3</v>
      </c>
      <c r="G1279" s="5">
        <v>1</v>
      </c>
      <c r="H1279" s="5">
        <v>4634</v>
      </c>
      <c r="I1279" s="5">
        <v>3</v>
      </c>
      <c r="J1279" s="5">
        <v>4632</v>
      </c>
      <c r="K1279" t="s">
        <v>18</v>
      </c>
      <c r="L1279" t="s">
        <v>40</v>
      </c>
      <c r="M1279" t="s">
        <v>63</v>
      </c>
      <c r="N1279" t="s">
        <v>90</v>
      </c>
      <c r="O1279" t="s">
        <v>22</v>
      </c>
      <c r="P1279" t="s">
        <v>36</v>
      </c>
      <c r="Q1279">
        <f>Table1[[#This Row],[Course_Fee_AED]]-Table1[[#This Row],[Amount_Paid_AED]]</f>
        <v>2</v>
      </c>
      <c r="R1279">
        <f>Table1[[#This Row],[Course_Fee_AED]]-Table1[[#This Row],[pending Revenue]]</f>
        <v>4632</v>
      </c>
    </row>
    <row r="1280" spans="1:18" x14ac:dyDescent="0.25">
      <c r="A1280" t="s">
        <v>1357</v>
      </c>
      <c r="B1280" s="2">
        <v>45292</v>
      </c>
      <c r="C1280" t="s">
        <v>100</v>
      </c>
      <c r="D1280" t="s">
        <v>101</v>
      </c>
      <c r="E1280" t="s">
        <v>26</v>
      </c>
      <c r="F1280" s="5">
        <v>3</v>
      </c>
      <c r="G1280" s="5">
        <v>1</v>
      </c>
      <c r="H1280" s="5">
        <v>5597</v>
      </c>
      <c r="I1280" s="5">
        <v>2</v>
      </c>
      <c r="J1280" s="5">
        <v>3730</v>
      </c>
      <c r="K1280" t="s">
        <v>18</v>
      </c>
      <c r="L1280" t="s">
        <v>19</v>
      </c>
      <c r="M1280" t="s">
        <v>47</v>
      </c>
      <c r="N1280" t="s">
        <v>116</v>
      </c>
      <c r="O1280" t="s">
        <v>35</v>
      </c>
      <c r="P1280" t="s">
        <v>36</v>
      </c>
      <c r="Q1280">
        <f>Table1[[#This Row],[Course_Fee_AED]]-Table1[[#This Row],[Amount_Paid_AED]]</f>
        <v>1867</v>
      </c>
      <c r="R1280">
        <f>Table1[[#This Row],[Course_Fee_AED]]-Table1[[#This Row],[pending Revenue]]</f>
        <v>3730</v>
      </c>
    </row>
    <row r="1281" spans="1:18" x14ac:dyDescent="0.25">
      <c r="A1281" t="s">
        <v>1358</v>
      </c>
      <c r="B1281" s="2">
        <v>45613</v>
      </c>
      <c r="C1281" t="s">
        <v>31</v>
      </c>
      <c r="D1281" t="s">
        <v>32</v>
      </c>
      <c r="E1281" t="s">
        <v>17</v>
      </c>
      <c r="F1281" s="5">
        <v>6</v>
      </c>
      <c r="G1281" s="5">
        <v>1</v>
      </c>
      <c r="H1281" s="5">
        <v>7381</v>
      </c>
      <c r="I1281" s="5">
        <v>3</v>
      </c>
      <c r="J1281" s="5">
        <v>7380</v>
      </c>
      <c r="K1281" t="s">
        <v>18</v>
      </c>
      <c r="L1281" t="s">
        <v>40</v>
      </c>
      <c r="M1281" t="s">
        <v>47</v>
      </c>
      <c r="N1281" t="s">
        <v>61</v>
      </c>
      <c r="O1281" t="s">
        <v>22</v>
      </c>
      <c r="P1281" t="s">
        <v>36</v>
      </c>
      <c r="Q1281">
        <f>Table1[[#This Row],[Course_Fee_AED]]-Table1[[#This Row],[Amount_Paid_AED]]</f>
        <v>1</v>
      </c>
      <c r="R1281">
        <f>Table1[[#This Row],[Course_Fee_AED]]-Table1[[#This Row],[pending Revenue]]</f>
        <v>7380</v>
      </c>
    </row>
    <row r="1282" spans="1:18" x14ac:dyDescent="0.25">
      <c r="A1282" t="s">
        <v>1359</v>
      </c>
      <c r="B1282" s="2">
        <v>45559</v>
      </c>
      <c r="C1282" t="s">
        <v>82</v>
      </c>
      <c r="D1282" t="s">
        <v>83</v>
      </c>
      <c r="E1282" t="s">
        <v>17</v>
      </c>
      <c r="F1282" s="5">
        <v>6</v>
      </c>
      <c r="G1282" s="5">
        <v>1</v>
      </c>
      <c r="H1282" s="5">
        <v>11178</v>
      </c>
      <c r="I1282" s="5">
        <v>1</v>
      </c>
      <c r="J1282" s="5">
        <v>3726</v>
      </c>
      <c r="K1282" t="s">
        <v>18</v>
      </c>
      <c r="L1282" t="s">
        <v>40</v>
      </c>
      <c r="M1282" t="s">
        <v>60</v>
      </c>
      <c r="N1282" t="s">
        <v>95</v>
      </c>
      <c r="O1282" t="s">
        <v>29</v>
      </c>
      <c r="P1282" t="s">
        <v>36</v>
      </c>
      <c r="Q1282">
        <f>Table1[[#This Row],[Course_Fee_AED]]-Table1[[#This Row],[Amount_Paid_AED]]</f>
        <v>7452</v>
      </c>
      <c r="R1282">
        <f>Table1[[#This Row],[Course_Fee_AED]]-Table1[[#This Row],[pending Revenue]]</f>
        <v>3726</v>
      </c>
    </row>
    <row r="1283" spans="1:18" x14ac:dyDescent="0.25">
      <c r="A1283" t="s">
        <v>1360</v>
      </c>
      <c r="B1283" s="2">
        <v>45316</v>
      </c>
      <c r="C1283" t="s">
        <v>31</v>
      </c>
      <c r="D1283" t="s">
        <v>32</v>
      </c>
      <c r="E1283" t="s">
        <v>26</v>
      </c>
      <c r="F1283" s="5">
        <v>3</v>
      </c>
      <c r="G1283" s="5">
        <v>1</v>
      </c>
      <c r="H1283" s="5">
        <v>7124</v>
      </c>
      <c r="I1283" s="5">
        <v>2</v>
      </c>
      <c r="J1283" s="5">
        <v>4748</v>
      </c>
      <c r="K1283" t="s">
        <v>18</v>
      </c>
      <c r="L1283" t="s">
        <v>57</v>
      </c>
      <c r="M1283" t="s">
        <v>47</v>
      </c>
      <c r="N1283" t="s">
        <v>42</v>
      </c>
      <c r="O1283" t="s">
        <v>58</v>
      </c>
      <c r="P1283" t="s">
        <v>18</v>
      </c>
      <c r="Q1283">
        <f>Table1[[#This Row],[Course_Fee_AED]]-Table1[[#This Row],[Amount_Paid_AED]]</f>
        <v>2376</v>
      </c>
      <c r="R1283">
        <f>Table1[[#This Row],[Course_Fee_AED]]-Table1[[#This Row],[pending Revenue]]</f>
        <v>4748</v>
      </c>
    </row>
    <row r="1284" spans="1:18" x14ac:dyDescent="0.25">
      <c r="A1284" t="s">
        <v>1361</v>
      </c>
      <c r="B1284" s="2">
        <v>45576</v>
      </c>
      <c r="C1284" t="s">
        <v>82</v>
      </c>
      <c r="D1284" t="s">
        <v>83</v>
      </c>
      <c r="E1284" t="s">
        <v>26</v>
      </c>
      <c r="F1284" s="5">
        <v>3</v>
      </c>
      <c r="G1284" s="5">
        <v>1</v>
      </c>
      <c r="H1284" s="5">
        <v>11741</v>
      </c>
      <c r="I1284" s="5">
        <v>3</v>
      </c>
      <c r="J1284" s="5">
        <v>11739</v>
      </c>
      <c r="K1284" t="s">
        <v>18</v>
      </c>
      <c r="L1284" t="s">
        <v>19</v>
      </c>
      <c r="M1284" t="s">
        <v>27</v>
      </c>
      <c r="N1284" t="s">
        <v>79</v>
      </c>
      <c r="O1284" t="s">
        <v>87</v>
      </c>
      <c r="P1284" t="s">
        <v>18</v>
      </c>
      <c r="Q1284">
        <f>Table1[[#This Row],[Course_Fee_AED]]-Table1[[#This Row],[Amount_Paid_AED]]</f>
        <v>2</v>
      </c>
      <c r="R1284">
        <f>Table1[[#This Row],[Course_Fee_AED]]-Table1[[#This Row],[pending Revenue]]</f>
        <v>11739</v>
      </c>
    </row>
    <row r="1285" spans="1:18" x14ac:dyDescent="0.25">
      <c r="A1285" t="s">
        <v>1362</v>
      </c>
      <c r="B1285" s="2">
        <v>45577</v>
      </c>
      <c r="C1285" t="s">
        <v>82</v>
      </c>
      <c r="D1285" t="s">
        <v>83</v>
      </c>
      <c r="E1285" t="s">
        <v>17</v>
      </c>
      <c r="F1285" s="5">
        <v>6</v>
      </c>
      <c r="G1285" s="5">
        <v>1</v>
      </c>
      <c r="H1285" s="5">
        <v>9471</v>
      </c>
      <c r="I1285" s="5">
        <v>1</v>
      </c>
      <c r="J1285" s="5">
        <v>3157</v>
      </c>
      <c r="K1285" t="s">
        <v>18</v>
      </c>
      <c r="L1285" t="s">
        <v>57</v>
      </c>
      <c r="M1285" t="s">
        <v>60</v>
      </c>
      <c r="N1285" t="s">
        <v>116</v>
      </c>
      <c r="O1285" t="s">
        <v>43</v>
      </c>
      <c r="P1285" t="s">
        <v>18</v>
      </c>
      <c r="Q1285">
        <f>Table1[[#This Row],[Course_Fee_AED]]-Table1[[#This Row],[Amount_Paid_AED]]</f>
        <v>6314</v>
      </c>
      <c r="R1285">
        <f>Table1[[#This Row],[Course_Fee_AED]]-Table1[[#This Row],[pending Revenue]]</f>
        <v>3157</v>
      </c>
    </row>
    <row r="1286" spans="1:18" x14ac:dyDescent="0.25">
      <c r="A1286" t="s">
        <v>1363</v>
      </c>
      <c r="B1286" s="2">
        <v>45391</v>
      </c>
      <c r="C1286" t="s">
        <v>31</v>
      </c>
      <c r="D1286" t="s">
        <v>32</v>
      </c>
      <c r="E1286" t="s">
        <v>17</v>
      </c>
      <c r="F1286" s="5">
        <v>6</v>
      </c>
      <c r="G1286" s="5">
        <v>1</v>
      </c>
      <c r="H1286" s="5">
        <v>5805</v>
      </c>
      <c r="I1286" s="5">
        <v>1</v>
      </c>
      <c r="J1286" s="5">
        <v>1935</v>
      </c>
      <c r="K1286" t="s">
        <v>18</v>
      </c>
      <c r="L1286" t="s">
        <v>19</v>
      </c>
      <c r="M1286" t="s">
        <v>20</v>
      </c>
      <c r="N1286" t="s">
        <v>73</v>
      </c>
      <c r="O1286" t="s">
        <v>35</v>
      </c>
      <c r="P1286" t="s">
        <v>36</v>
      </c>
      <c r="Q1286">
        <f>Table1[[#This Row],[Course_Fee_AED]]-Table1[[#This Row],[Amount_Paid_AED]]</f>
        <v>3870</v>
      </c>
      <c r="R1286">
        <f>Table1[[#This Row],[Course_Fee_AED]]-Table1[[#This Row],[pending Revenue]]</f>
        <v>1935</v>
      </c>
    </row>
    <row r="1287" spans="1:18" x14ac:dyDescent="0.25">
      <c r="A1287" t="s">
        <v>1364</v>
      </c>
      <c r="B1287" s="2">
        <v>45509</v>
      </c>
      <c r="C1287" t="s">
        <v>55</v>
      </c>
      <c r="D1287" t="s">
        <v>56</v>
      </c>
      <c r="E1287" t="s">
        <v>17</v>
      </c>
      <c r="F1287" s="5">
        <v>6</v>
      </c>
      <c r="G1287" s="5">
        <v>1</v>
      </c>
      <c r="H1287" s="5">
        <v>8242</v>
      </c>
      <c r="I1287" s="5">
        <v>1</v>
      </c>
      <c r="J1287" s="5">
        <v>2747</v>
      </c>
      <c r="K1287" t="s">
        <v>18</v>
      </c>
      <c r="L1287" t="s">
        <v>40</v>
      </c>
      <c r="M1287" t="s">
        <v>41</v>
      </c>
      <c r="N1287" t="s">
        <v>42</v>
      </c>
      <c r="O1287" t="s">
        <v>29</v>
      </c>
      <c r="P1287" t="s">
        <v>18</v>
      </c>
      <c r="Q1287">
        <f>Table1[[#This Row],[Course_Fee_AED]]-Table1[[#This Row],[Amount_Paid_AED]]</f>
        <v>5495</v>
      </c>
      <c r="R1287">
        <f>Table1[[#This Row],[Course_Fee_AED]]-Table1[[#This Row],[pending Revenue]]</f>
        <v>2747</v>
      </c>
    </row>
    <row r="1288" spans="1:18" x14ac:dyDescent="0.25">
      <c r="A1288" t="s">
        <v>1365</v>
      </c>
      <c r="B1288" s="2">
        <v>45536</v>
      </c>
      <c r="C1288" t="s">
        <v>31</v>
      </c>
      <c r="D1288" t="s">
        <v>32</v>
      </c>
      <c r="E1288" t="s">
        <v>26</v>
      </c>
      <c r="F1288" s="5">
        <v>3</v>
      </c>
      <c r="G1288" s="5">
        <v>1</v>
      </c>
      <c r="H1288" s="5">
        <v>7246</v>
      </c>
      <c r="I1288" s="5">
        <v>1</v>
      </c>
      <c r="J1288" s="5">
        <v>2415</v>
      </c>
      <c r="K1288" t="s">
        <v>18</v>
      </c>
      <c r="L1288" t="s">
        <v>19</v>
      </c>
      <c r="M1288" t="s">
        <v>20</v>
      </c>
      <c r="N1288" t="s">
        <v>70</v>
      </c>
      <c r="O1288" t="s">
        <v>49</v>
      </c>
      <c r="P1288" t="s">
        <v>36</v>
      </c>
      <c r="Q1288">
        <f>Table1[[#This Row],[Course_Fee_AED]]-Table1[[#This Row],[Amount_Paid_AED]]</f>
        <v>4831</v>
      </c>
      <c r="R1288">
        <f>Table1[[#This Row],[Course_Fee_AED]]-Table1[[#This Row],[pending Revenue]]</f>
        <v>2415</v>
      </c>
    </row>
    <row r="1289" spans="1:18" x14ac:dyDescent="0.25">
      <c r="A1289" t="s">
        <v>1366</v>
      </c>
      <c r="B1289" s="2">
        <v>45589</v>
      </c>
      <c r="C1289" t="s">
        <v>51</v>
      </c>
      <c r="D1289" t="s">
        <v>52</v>
      </c>
      <c r="E1289" t="s">
        <v>26</v>
      </c>
      <c r="F1289" s="5">
        <v>3</v>
      </c>
      <c r="G1289" s="5">
        <v>1</v>
      </c>
      <c r="H1289" s="5">
        <v>4902</v>
      </c>
      <c r="I1289" s="5">
        <v>3</v>
      </c>
      <c r="J1289" s="5">
        <v>4902</v>
      </c>
      <c r="K1289" t="s">
        <v>33</v>
      </c>
      <c r="L1289" t="s">
        <v>57</v>
      </c>
      <c r="M1289" t="s">
        <v>63</v>
      </c>
      <c r="N1289" t="s">
        <v>95</v>
      </c>
      <c r="O1289" t="s">
        <v>71</v>
      </c>
      <c r="P1289" t="s">
        <v>36</v>
      </c>
      <c r="Q1289">
        <f>Table1[[#This Row],[Course_Fee_AED]]-Table1[[#This Row],[Amount_Paid_AED]]</f>
        <v>0</v>
      </c>
      <c r="R1289">
        <f>Table1[[#This Row],[Course_Fee_AED]]-Table1[[#This Row],[pending Revenue]]</f>
        <v>4902</v>
      </c>
    </row>
    <row r="1290" spans="1:18" x14ac:dyDescent="0.25">
      <c r="A1290" t="s">
        <v>1367</v>
      </c>
      <c r="B1290" s="2">
        <v>45524</v>
      </c>
      <c r="C1290" t="s">
        <v>24</v>
      </c>
      <c r="D1290" t="s">
        <v>25</v>
      </c>
      <c r="E1290" t="s">
        <v>26</v>
      </c>
      <c r="F1290" s="5">
        <v>3</v>
      </c>
      <c r="G1290" s="5">
        <v>1</v>
      </c>
      <c r="H1290" s="5">
        <v>5630</v>
      </c>
      <c r="I1290" s="5">
        <v>1</v>
      </c>
      <c r="J1290" s="5">
        <v>1876</v>
      </c>
      <c r="K1290" t="s">
        <v>18</v>
      </c>
      <c r="L1290" t="s">
        <v>57</v>
      </c>
      <c r="M1290" t="s">
        <v>60</v>
      </c>
      <c r="N1290" t="s">
        <v>34</v>
      </c>
      <c r="O1290" t="s">
        <v>87</v>
      </c>
      <c r="P1290" t="s">
        <v>18</v>
      </c>
      <c r="Q1290">
        <f>Table1[[#This Row],[Course_Fee_AED]]-Table1[[#This Row],[Amount_Paid_AED]]</f>
        <v>3754</v>
      </c>
      <c r="R1290">
        <f>Table1[[#This Row],[Course_Fee_AED]]-Table1[[#This Row],[pending Revenue]]</f>
        <v>1876</v>
      </c>
    </row>
    <row r="1291" spans="1:18" x14ac:dyDescent="0.25">
      <c r="A1291" t="s">
        <v>1368</v>
      </c>
      <c r="B1291" s="2">
        <v>45479</v>
      </c>
      <c r="C1291" t="s">
        <v>38</v>
      </c>
      <c r="D1291" t="s">
        <v>39</v>
      </c>
      <c r="E1291" t="s">
        <v>17</v>
      </c>
      <c r="F1291" s="5">
        <v>6</v>
      </c>
      <c r="G1291" s="5">
        <v>1</v>
      </c>
      <c r="H1291" s="5">
        <v>6551</v>
      </c>
      <c r="I1291" s="5">
        <v>2</v>
      </c>
      <c r="J1291" s="5">
        <v>4366</v>
      </c>
      <c r="K1291" t="s">
        <v>18</v>
      </c>
      <c r="L1291" t="s">
        <v>19</v>
      </c>
      <c r="M1291" t="s">
        <v>47</v>
      </c>
      <c r="N1291" t="s">
        <v>95</v>
      </c>
      <c r="O1291" t="s">
        <v>49</v>
      </c>
      <c r="P1291" t="s">
        <v>18</v>
      </c>
      <c r="Q1291">
        <f>Table1[[#This Row],[Course_Fee_AED]]-Table1[[#This Row],[Amount_Paid_AED]]</f>
        <v>2185</v>
      </c>
      <c r="R1291">
        <f>Table1[[#This Row],[Course_Fee_AED]]-Table1[[#This Row],[pending Revenue]]</f>
        <v>4366</v>
      </c>
    </row>
    <row r="1292" spans="1:18" x14ac:dyDescent="0.25">
      <c r="A1292" t="s">
        <v>1369</v>
      </c>
      <c r="B1292" s="2">
        <v>45531</v>
      </c>
      <c r="C1292" t="s">
        <v>75</v>
      </c>
      <c r="D1292" t="s">
        <v>76</v>
      </c>
      <c r="E1292" t="s">
        <v>26</v>
      </c>
      <c r="F1292" s="5">
        <v>3</v>
      </c>
      <c r="G1292" s="5">
        <v>1</v>
      </c>
      <c r="H1292" s="5">
        <v>9973</v>
      </c>
      <c r="I1292" s="5">
        <v>2</v>
      </c>
      <c r="J1292" s="5">
        <v>6648</v>
      </c>
      <c r="K1292" t="s">
        <v>18</v>
      </c>
      <c r="L1292" t="s">
        <v>57</v>
      </c>
      <c r="M1292" t="s">
        <v>27</v>
      </c>
      <c r="N1292" t="s">
        <v>34</v>
      </c>
      <c r="O1292" t="s">
        <v>58</v>
      </c>
      <c r="P1292" t="s">
        <v>36</v>
      </c>
      <c r="Q1292">
        <f>Table1[[#This Row],[Course_Fee_AED]]-Table1[[#This Row],[Amount_Paid_AED]]</f>
        <v>3325</v>
      </c>
      <c r="R1292">
        <f>Table1[[#This Row],[Course_Fee_AED]]-Table1[[#This Row],[pending Revenue]]</f>
        <v>6648</v>
      </c>
    </row>
    <row r="1293" spans="1:18" x14ac:dyDescent="0.25">
      <c r="A1293" t="s">
        <v>1370</v>
      </c>
      <c r="B1293" s="2">
        <v>45340</v>
      </c>
      <c r="C1293" t="s">
        <v>92</v>
      </c>
      <c r="D1293" t="s">
        <v>93</v>
      </c>
      <c r="E1293" t="s">
        <v>26</v>
      </c>
      <c r="F1293" s="5">
        <v>3</v>
      </c>
      <c r="G1293" s="5">
        <v>1</v>
      </c>
      <c r="H1293" s="5">
        <v>6718</v>
      </c>
      <c r="I1293" s="5">
        <v>2</v>
      </c>
      <c r="J1293" s="5">
        <v>4478</v>
      </c>
      <c r="K1293" t="s">
        <v>18</v>
      </c>
      <c r="L1293" t="s">
        <v>57</v>
      </c>
      <c r="M1293" t="s">
        <v>41</v>
      </c>
      <c r="N1293" t="s">
        <v>42</v>
      </c>
      <c r="O1293" t="s">
        <v>49</v>
      </c>
      <c r="P1293" t="s">
        <v>18</v>
      </c>
      <c r="Q1293">
        <f>Table1[[#This Row],[Course_Fee_AED]]-Table1[[#This Row],[Amount_Paid_AED]]</f>
        <v>2240</v>
      </c>
      <c r="R1293">
        <f>Table1[[#This Row],[Course_Fee_AED]]-Table1[[#This Row],[pending Revenue]]</f>
        <v>4478</v>
      </c>
    </row>
    <row r="1294" spans="1:18" x14ac:dyDescent="0.25">
      <c r="A1294" t="s">
        <v>1371</v>
      </c>
      <c r="B1294" s="2">
        <v>45458</v>
      </c>
      <c r="C1294" t="s">
        <v>51</v>
      </c>
      <c r="D1294" t="s">
        <v>52</v>
      </c>
      <c r="E1294" t="s">
        <v>26</v>
      </c>
      <c r="F1294" s="5">
        <v>3</v>
      </c>
      <c r="G1294" s="5">
        <v>1</v>
      </c>
      <c r="H1294" s="5">
        <v>4591</v>
      </c>
      <c r="I1294" s="5">
        <v>2</v>
      </c>
      <c r="J1294" s="5">
        <v>3060</v>
      </c>
      <c r="K1294" t="s">
        <v>18</v>
      </c>
      <c r="L1294" t="s">
        <v>19</v>
      </c>
      <c r="M1294" t="s">
        <v>41</v>
      </c>
      <c r="N1294" t="s">
        <v>90</v>
      </c>
      <c r="O1294" t="s">
        <v>35</v>
      </c>
      <c r="P1294" t="s">
        <v>36</v>
      </c>
      <c r="Q1294">
        <f>Table1[[#This Row],[Course_Fee_AED]]-Table1[[#This Row],[Amount_Paid_AED]]</f>
        <v>1531</v>
      </c>
      <c r="R1294">
        <f>Table1[[#This Row],[Course_Fee_AED]]-Table1[[#This Row],[pending Revenue]]</f>
        <v>3060</v>
      </c>
    </row>
    <row r="1295" spans="1:18" x14ac:dyDescent="0.25">
      <c r="A1295" t="s">
        <v>1372</v>
      </c>
      <c r="B1295" s="2">
        <v>45632</v>
      </c>
      <c r="C1295" t="s">
        <v>92</v>
      </c>
      <c r="D1295" t="s">
        <v>93</v>
      </c>
      <c r="E1295" t="s">
        <v>17</v>
      </c>
      <c r="F1295" s="5">
        <v>6</v>
      </c>
      <c r="G1295" s="5">
        <v>1</v>
      </c>
      <c r="H1295" s="5">
        <v>5304</v>
      </c>
      <c r="I1295" s="5">
        <v>1</v>
      </c>
      <c r="J1295" s="5">
        <v>1768</v>
      </c>
      <c r="K1295" t="s">
        <v>18</v>
      </c>
      <c r="L1295" t="s">
        <v>57</v>
      </c>
      <c r="M1295" t="s">
        <v>60</v>
      </c>
      <c r="N1295" t="s">
        <v>90</v>
      </c>
      <c r="O1295" t="s">
        <v>29</v>
      </c>
      <c r="P1295" t="s">
        <v>36</v>
      </c>
      <c r="Q1295">
        <f>Table1[[#This Row],[Course_Fee_AED]]-Table1[[#This Row],[Amount_Paid_AED]]</f>
        <v>3536</v>
      </c>
      <c r="R1295">
        <f>Table1[[#This Row],[Course_Fee_AED]]-Table1[[#This Row],[pending Revenue]]</f>
        <v>1768</v>
      </c>
    </row>
    <row r="1296" spans="1:18" x14ac:dyDescent="0.25">
      <c r="A1296" t="s">
        <v>1373</v>
      </c>
      <c r="B1296" s="2">
        <v>45452</v>
      </c>
      <c r="C1296" t="s">
        <v>82</v>
      </c>
      <c r="D1296" t="s">
        <v>83</v>
      </c>
      <c r="E1296" t="s">
        <v>26</v>
      </c>
      <c r="F1296" s="5">
        <v>3</v>
      </c>
      <c r="G1296" s="5">
        <v>1</v>
      </c>
      <c r="H1296" s="5">
        <v>12778</v>
      </c>
      <c r="I1296" s="5">
        <v>2</v>
      </c>
      <c r="J1296" s="5">
        <v>8518</v>
      </c>
      <c r="K1296" t="s">
        <v>18</v>
      </c>
      <c r="L1296" t="s">
        <v>40</v>
      </c>
      <c r="M1296" t="s">
        <v>60</v>
      </c>
      <c r="N1296" t="s">
        <v>86</v>
      </c>
      <c r="O1296" t="s">
        <v>68</v>
      </c>
      <c r="P1296" t="s">
        <v>36</v>
      </c>
      <c r="Q1296">
        <f>Table1[[#This Row],[Course_Fee_AED]]-Table1[[#This Row],[Amount_Paid_AED]]</f>
        <v>4260</v>
      </c>
      <c r="R1296">
        <f>Table1[[#This Row],[Course_Fee_AED]]-Table1[[#This Row],[pending Revenue]]</f>
        <v>8518</v>
      </c>
    </row>
    <row r="1297" spans="1:18" x14ac:dyDescent="0.25">
      <c r="A1297" t="s">
        <v>1374</v>
      </c>
      <c r="B1297" s="2">
        <v>45317</v>
      </c>
      <c r="C1297" t="s">
        <v>82</v>
      </c>
      <c r="D1297" t="s">
        <v>83</v>
      </c>
      <c r="E1297" t="s">
        <v>26</v>
      </c>
      <c r="F1297" s="5">
        <v>3</v>
      </c>
      <c r="G1297" s="5">
        <v>1</v>
      </c>
      <c r="H1297" s="5">
        <v>14482</v>
      </c>
      <c r="I1297" s="5">
        <v>2</v>
      </c>
      <c r="J1297" s="5">
        <v>9654</v>
      </c>
      <c r="K1297" t="s">
        <v>18</v>
      </c>
      <c r="L1297" t="s">
        <v>19</v>
      </c>
      <c r="M1297" t="s">
        <v>60</v>
      </c>
      <c r="N1297" t="s">
        <v>61</v>
      </c>
      <c r="O1297" t="s">
        <v>58</v>
      </c>
      <c r="P1297" t="s">
        <v>18</v>
      </c>
      <c r="Q1297">
        <f>Table1[[#This Row],[Course_Fee_AED]]-Table1[[#This Row],[Amount_Paid_AED]]</f>
        <v>4828</v>
      </c>
      <c r="R1297">
        <f>Table1[[#This Row],[Course_Fee_AED]]-Table1[[#This Row],[pending Revenue]]</f>
        <v>9654</v>
      </c>
    </row>
    <row r="1298" spans="1:18" x14ac:dyDescent="0.25">
      <c r="A1298" t="s">
        <v>1375</v>
      </c>
      <c r="B1298" s="2">
        <v>45619</v>
      </c>
      <c r="C1298" t="s">
        <v>82</v>
      </c>
      <c r="D1298" t="s">
        <v>83</v>
      </c>
      <c r="E1298" t="s">
        <v>26</v>
      </c>
      <c r="F1298" s="5">
        <v>3</v>
      </c>
      <c r="G1298" s="5">
        <v>1</v>
      </c>
      <c r="H1298" s="5">
        <v>9444</v>
      </c>
      <c r="I1298" s="5">
        <v>3</v>
      </c>
      <c r="J1298" s="5">
        <v>9444</v>
      </c>
      <c r="K1298" t="s">
        <v>33</v>
      </c>
      <c r="L1298" t="s">
        <v>19</v>
      </c>
      <c r="M1298" t="s">
        <v>60</v>
      </c>
      <c r="N1298" t="s">
        <v>61</v>
      </c>
      <c r="O1298" t="s">
        <v>35</v>
      </c>
      <c r="P1298" t="s">
        <v>36</v>
      </c>
      <c r="Q1298">
        <f>Table1[[#This Row],[Course_Fee_AED]]-Table1[[#This Row],[Amount_Paid_AED]]</f>
        <v>0</v>
      </c>
      <c r="R1298">
        <f>Table1[[#This Row],[Course_Fee_AED]]-Table1[[#This Row],[pending Revenue]]</f>
        <v>9444</v>
      </c>
    </row>
    <row r="1299" spans="1:18" x14ac:dyDescent="0.25">
      <c r="A1299" t="s">
        <v>1376</v>
      </c>
      <c r="B1299" s="2">
        <v>45349</v>
      </c>
      <c r="C1299" t="s">
        <v>113</v>
      </c>
      <c r="D1299" t="s">
        <v>93</v>
      </c>
      <c r="E1299" t="s">
        <v>26</v>
      </c>
      <c r="F1299" s="5">
        <v>3</v>
      </c>
      <c r="G1299" s="5">
        <v>1</v>
      </c>
      <c r="H1299" s="5">
        <v>4141</v>
      </c>
      <c r="I1299" s="5">
        <v>2</v>
      </c>
      <c r="J1299" s="5">
        <v>2760</v>
      </c>
      <c r="K1299" t="s">
        <v>18</v>
      </c>
      <c r="L1299" t="s">
        <v>19</v>
      </c>
      <c r="M1299" t="s">
        <v>63</v>
      </c>
      <c r="N1299" t="s">
        <v>86</v>
      </c>
      <c r="O1299" t="s">
        <v>71</v>
      </c>
      <c r="P1299" t="s">
        <v>18</v>
      </c>
      <c r="Q1299">
        <f>Table1[[#This Row],[Course_Fee_AED]]-Table1[[#This Row],[Amount_Paid_AED]]</f>
        <v>1381</v>
      </c>
      <c r="R1299">
        <f>Table1[[#This Row],[Course_Fee_AED]]-Table1[[#This Row],[pending Revenue]]</f>
        <v>2760</v>
      </c>
    </row>
    <row r="1300" spans="1:18" x14ac:dyDescent="0.25">
      <c r="A1300" t="s">
        <v>1377</v>
      </c>
      <c r="B1300" s="2">
        <v>45642</v>
      </c>
      <c r="C1300" t="s">
        <v>51</v>
      </c>
      <c r="D1300" t="s">
        <v>52</v>
      </c>
      <c r="E1300" t="s">
        <v>17</v>
      </c>
      <c r="F1300" s="5">
        <v>6</v>
      </c>
      <c r="G1300" s="5">
        <v>1</v>
      </c>
      <c r="H1300" s="5">
        <v>5819</v>
      </c>
      <c r="I1300" s="5">
        <v>2</v>
      </c>
      <c r="J1300" s="5">
        <v>3878</v>
      </c>
      <c r="K1300" t="s">
        <v>18</v>
      </c>
      <c r="L1300" t="s">
        <v>57</v>
      </c>
      <c r="M1300" t="s">
        <v>20</v>
      </c>
      <c r="N1300" t="s">
        <v>61</v>
      </c>
      <c r="O1300" t="s">
        <v>29</v>
      </c>
      <c r="P1300" t="s">
        <v>18</v>
      </c>
      <c r="Q1300">
        <f>Table1[[#This Row],[Course_Fee_AED]]-Table1[[#This Row],[Amount_Paid_AED]]</f>
        <v>1941</v>
      </c>
      <c r="R1300">
        <f>Table1[[#This Row],[Course_Fee_AED]]-Table1[[#This Row],[pending Revenue]]</f>
        <v>3878</v>
      </c>
    </row>
    <row r="1301" spans="1:18" x14ac:dyDescent="0.25">
      <c r="A1301" t="s">
        <v>1378</v>
      </c>
      <c r="B1301" s="2">
        <v>45628</v>
      </c>
      <c r="C1301" t="s">
        <v>113</v>
      </c>
      <c r="D1301" t="s">
        <v>93</v>
      </c>
      <c r="E1301" t="s">
        <v>17</v>
      </c>
      <c r="F1301" s="5">
        <v>6</v>
      </c>
      <c r="G1301" s="5">
        <v>1</v>
      </c>
      <c r="H1301" s="5">
        <v>3270</v>
      </c>
      <c r="I1301" s="5">
        <v>1</v>
      </c>
      <c r="J1301" s="5">
        <v>1090</v>
      </c>
      <c r="K1301" t="s">
        <v>18</v>
      </c>
      <c r="L1301" t="s">
        <v>57</v>
      </c>
      <c r="M1301" t="s">
        <v>60</v>
      </c>
      <c r="N1301" t="s">
        <v>48</v>
      </c>
      <c r="O1301" t="s">
        <v>68</v>
      </c>
      <c r="P1301" t="s">
        <v>18</v>
      </c>
      <c r="Q1301">
        <f>Table1[[#This Row],[Course_Fee_AED]]-Table1[[#This Row],[Amount_Paid_AED]]</f>
        <v>2180</v>
      </c>
      <c r="R1301">
        <f>Table1[[#This Row],[Course_Fee_AED]]-Table1[[#This Row],[pending Revenue]]</f>
        <v>1090</v>
      </c>
    </row>
    <row r="1302" spans="1:18" x14ac:dyDescent="0.25">
      <c r="A1302" t="s">
        <v>1379</v>
      </c>
      <c r="B1302" s="2">
        <v>45429</v>
      </c>
      <c r="C1302" t="s">
        <v>24</v>
      </c>
      <c r="D1302" t="s">
        <v>25</v>
      </c>
      <c r="E1302" t="s">
        <v>26</v>
      </c>
      <c r="F1302" s="5">
        <v>3</v>
      </c>
      <c r="G1302" s="5">
        <v>1</v>
      </c>
      <c r="H1302" s="5">
        <v>6648</v>
      </c>
      <c r="I1302" s="5">
        <v>2</v>
      </c>
      <c r="J1302" s="5">
        <v>4432</v>
      </c>
      <c r="K1302" t="s">
        <v>18</v>
      </c>
      <c r="L1302" t="s">
        <v>19</v>
      </c>
      <c r="M1302" t="s">
        <v>63</v>
      </c>
      <c r="N1302" t="s">
        <v>70</v>
      </c>
      <c r="O1302" t="s">
        <v>29</v>
      </c>
      <c r="P1302" t="s">
        <v>36</v>
      </c>
      <c r="Q1302">
        <f>Table1[[#This Row],[Course_Fee_AED]]-Table1[[#This Row],[Amount_Paid_AED]]</f>
        <v>2216</v>
      </c>
      <c r="R1302">
        <f>Table1[[#This Row],[Course_Fee_AED]]-Table1[[#This Row],[pending Revenue]]</f>
        <v>4432</v>
      </c>
    </row>
    <row r="1303" spans="1:18" x14ac:dyDescent="0.25">
      <c r="A1303" t="s">
        <v>1380</v>
      </c>
      <c r="B1303" s="2">
        <v>45417</v>
      </c>
      <c r="C1303" t="s">
        <v>106</v>
      </c>
      <c r="D1303" t="s">
        <v>107</v>
      </c>
      <c r="E1303" t="s">
        <v>17</v>
      </c>
      <c r="F1303" s="5">
        <v>6</v>
      </c>
      <c r="G1303" s="5">
        <v>1</v>
      </c>
      <c r="H1303" s="5">
        <v>5486</v>
      </c>
      <c r="I1303" s="5">
        <v>1</v>
      </c>
      <c r="J1303" s="5">
        <v>1828</v>
      </c>
      <c r="K1303" t="s">
        <v>18</v>
      </c>
      <c r="L1303" t="s">
        <v>19</v>
      </c>
      <c r="M1303" t="s">
        <v>63</v>
      </c>
      <c r="N1303" t="s">
        <v>28</v>
      </c>
      <c r="O1303" t="s">
        <v>35</v>
      </c>
      <c r="P1303" t="s">
        <v>18</v>
      </c>
      <c r="Q1303">
        <f>Table1[[#This Row],[Course_Fee_AED]]-Table1[[#This Row],[Amount_Paid_AED]]</f>
        <v>3658</v>
      </c>
      <c r="R1303">
        <f>Table1[[#This Row],[Course_Fee_AED]]-Table1[[#This Row],[pending Revenue]]</f>
        <v>1828</v>
      </c>
    </row>
    <row r="1304" spans="1:18" x14ac:dyDescent="0.25">
      <c r="A1304" t="s">
        <v>1381</v>
      </c>
      <c r="B1304" s="2">
        <v>45558</v>
      </c>
      <c r="C1304" t="s">
        <v>24</v>
      </c>
      <c r="D1304" t="s">
        <v>25</v>
      </c>
      <c r="E1304" t="s">
        <v>26</v>
      </c>
      <c r="F1304" s="5">
        <v>3</v>
      </c>
      <c r="G1304" s="5">
        <v>1</v>
      </c>
      <c r="H1304" s="5">
        <v>5044</v>
      </c>
      <c r="I1304" s="5">
        <v>2</v>
      </c>
      <c r="J1304" s="5">
        <v>3362</v>
      </c>
      <c r="K1304" t="s">
        <v>18</v>
      </c>
      <c r="L1304" t="s">
        <v>40</v>
      </c>
      <c r="M1304" t="s">
        <v>63</v>
      </c>
      <c r="N1304" t="s">
        <v>34</v>
      </c>
      <c r="O1304" t="s">
        <v>29</v>
      </c>
      <c r="P1304" t="s">
        <v>18</v>
      </c>
      <c r="Q1304">
        <f>Table1[[#This Row],[Course_Fee_AED]]-Table1[[#This Row],[Amount_Paid_AED]]</f>
        <v>1682</v>
      </c>
      <c r="R1304">
        <f>Table1[[#This Row],[Course_Fee_AED]]-Table1[[#This Row],[pending Revenue]]</f>
        <v>3362</v>
      </c>
    </row>
    <row r="1305" spans="1:18" x14ac:dyDescent="0.25">
      <c r="A1305" t="s">
        <v>1382</v>
      </c>
      <c r="B1305" s="2">
        <v>45295</v>
      </c>
      <c r="C1305" t="s">
        <v>45</v>
      </c>
      <c r="D1305" t="s">
        <v>46</v>
      </c>
      <c r="E1305" t="s">
        <v>26</v>
      </c>
      <c r="F1305" s="5">
        <v>3</v>
      </c>
      <c r="G1305" s="5">
        <v>1</v>
      </c>
      <c r="H1305" s="5">
        <v>6532</v>
      </c>
      <c r="I1305" s="5">
        <v>1</v>
      </c>
      <c r="J1305" s="5">
        <v>2177</v>
      </c>
      <c r="K1305" t="s">
        <v>18</v>
      </c>
      <c r="L1305" t="s">
        <v>40</v>
      </c>
      <c r="M1305" t="s">
        <v>27</v>
      </c>
      <c r="N1305" t="s">
        <v>154</v>
      </c>
      <c r="O1305" t="s">
        <v>68</v>
      </c>
      <c r="P1305" t="s">
        <v>36</v>
      </c>
      <c r="Q1305">
        <f>Table1[[#This Row],[Course_Fee_AED]]-Table1[[#This Row],[Amount_Paid_AED]]</f>
        <v>4355</v>
      </c>
      <c r="R1305">
        <f>Table1[[#This Row],[Course_Fee_AED]]-Table1[[#This Row],[pending Revenue]]</f>
        <v>2177</v>
      </c>
    </row>
    <row r="1306" spans="1:18" x14ac:dyDescent="0.25">
      <c r="A1306" t="s">
        <v>1383</v>
      </c>
      <c r="B1306" s="2">
        <v>45375</v>
      </c>
      <c r="C1306" t="s">
        <v>82</v>
      </c>
      <c r="D1306" t="s">
        <v>83</v>
      </c>
      <c r="E1306" t="s">
        <v>26</v>
      </c>
      <c r="F1306" s="5">
        <v>3</v>
      </c>
      <c r="G1306" s="5">
        <v>1</v>
      </c>
      <c r="H1306" s="5">
        <v>12168</v>
      </c>
      <c r="I1306" s="5">
        <v>1</v>
      </c>
      <c r="J1306" s="5">
        <v>4056</v>
      </c>
      <c r="K1306" t="s">
        <v>18</v>
      </c>
      <c r="L1306" t="s">
        <v>57</v>
      </c>
      <c r="M1306" t="s">
        <v>41</v>
      </c>
      <c r="N1306" t="s">
        <v>70</v>
      </c>
      <c r="O1306" t="s">
        <v>35</v>
      </c>
      <c r="P1306" t="s">
        <v>18</v>
      </c>
      <c r="Q1306">
        <f>Table1[[#This Row],[Course_Fee_AED]]-Table1[[#This Row],[Amount_Paid_AED]]</f>
        <v>8112</v>
      </c>
      <c r="R1306">
        <f>Table1[[#This Row],[Course_Fee_AED]]-Table1[[#This Row],[pending Revenue]]</f>
        <v>4056</v>
      </c>
    </row>
    <row r="1307" spans="1:18" x14ac:dyDescent="0.25">
      <c r="A1307" t="s">
        <v>1384</v>
      </c>
      <c r="B1307" s="2">
        <v>45426</v>
      </c>
      <c r="C1307" t="s">
        <v>100</v>
      </c>
      <c r="D1307" t="s">
        <v>101</v>
      </c>
      <c r="E1307" t="s">
        <v>26</v>
      </c>
      <c r="F1307" s="5">
        <v>3</v>
      </c>
      <c r="G1307" s="5">
        <v>1</v>
      </c>
      <c r="H1307" s="5">
        <v>4469</v>
      </c>
      <c r="I1307" s="5">
        <v>3</v>
      </c>
      <c r="J1307" s="5">
        <v>4467</v>
      </c>
      <c r="K1307" t="s">
        <v>18</v>
      </c>
      <c r="L1307" t="s">
        <v>57</v>
      </c>
      <c r="M1307" t="s">
        <v>27</v>
      </c>
      <c r="N1307" t="s">
        <v>116</v>
      </c>
      <c r="O1307" t="s">
        <v>22</v>
      </c>
      <c r="P1307" t="s">
        <v>36</v>
      </c>
      <c r="Q1307">
        <f>Table1[[#This Row],[Course_Fee_AED]]-Table1[[#This Row],[Amount_Paid_AED]]</f>
        <v>2</v>
      </c>
      <c r="R1307">
        <f>Table1[[#This Row],[Course_Fee_AED]]-Table1[[#This Row],[pending Revenue]]</f>
        <v>4467</v>
      </c>
    </row>
    <row r="1308" spans="1:18" x14ac:dyDescent="0.25">
      <c r="A1308" t="s">
        <v>1385</v>
      </c>
      <c r="B1308" s="2">
        <v>45332</v>
      </c>
      <c r="C1308" t="s">
        <v>113</v>
      </c>
      <c r="D1308" t="s">
        <v>93</v>
      </c>
      <c r="E1308" t="s">
        <v>26</v>
      </c>
      <c r="F1308" s="5">
        <v>3</v>
      </c>
      <c r="G1308" s="5">
        <v>1</v>
      </c>
      <c r="H1308" s="5">
        <v>4854</v>
      </c>
      <c r="I1308" s="5">
        <v>2</v>
      </c>
      <c r="J1308" s="5">
        <v>3236</v>
      </c>
      <c r="K1308" t="s">
        <v>18</v>
      </c>
      <c r="L1308" t="s">
        <v>57</v>
      </c>
      <c r="M1308" t="s">
        <v>41</v>
      </c>
      <c r="N1308" t="s">
        <v>116</v>
      </c>
      <c r="O1308" t="s">
        <v>71</v>
      </c>
      <c r="P1308" t="s">
        <v>18</v>
      </c>
      <c r="Q1308">
        <f>Table1[[#This Row],[Course_Fee_AED]]-Table1[[#This Row],[Amount_Paid_AED]]</f>
        <v>1618</v>
      </c>
      <c r="R1308">
        <f>Table1[[#This Row],[Course_Fee_AED]]-Table1[[#This Row],[pending Revenue]]</f>
        <v>3236</v>
      </c>
    </row>
    <row r="1309" spans="1:18" x14ac:dyDescent="0.25">
      <c r="A1309" t="s">
        <v>1386</v>
      </c>
      <c r="B1309" s="2">
        <v>45456</v>
      </c>
      <c r="C1309" t="s">
        <v>45</v>
      </c>
      <c r="D1309" t="s">
        <v>46</v>
      </c>
      <c r="E1309" t="s">
        <v>26</v>
      </c>
      <c r="F1309" s="5">
        <v>3</v>
      </c>
      <c r="G1309" s="5">
        <v>1</v>
      </c>
      <c r="H1309" s="5">
        <v>6538</v>
      </c>
      <c r="I1309" s="5">
        <v>3</v>
      </c>
      <c r="J1309" s="5">
        <v>6537</v>
      </c>
      <c r="K1309" t="s">
        <v>18</v>
      </c>
      <c r="L1309" t="s">
        <v>19</v>
      </c>
      <c r="M1309" t="s">
        <v>20</v>
      </c>
      <c r="N1309" t="s">
        <v>95</v>
      </c>
      <c r="O1309" t="s">
        <v>68</v>
      </c>
      <c r="P1309" t="s">
        <v>36</v>
      </c>
      <c r="Q1309">
        <f>Table1[[#This Row],[Course_Fee_AED]]-Table1[[#This Row],[Amount_Paid_AED]]</f>
        <v>1</v>
      </c>
      <c r="R1309">
        <f>Table1[[#This Row],[Course_Fee_AED]]-Table1[[#This Row],[pending Revenue]]</f>
        <v>6537</v>
      </c>
    </row>
    <row r="1310" spans="1:18" x14ac:dyDescent="0.25">
      <c r="A1310" t="s">
        <v>1387</v>
      </c>
      <c r="B1310" s="2">
        <v>45321</v>
      </c>
      <c r="C1310" t="s">
        <v>38</v>
      </c>
      <c r="D1310" t="s">
        <v>39</v>
      </c>
      <c r="E1310" t="s">
        <v>17</v>
      </c>
      <c r="F1310" s="5">
        <v>6</v>
      </c>
      <c r="G1310" s="5">
        <v>1</v>
      </c>
      <c r="H1310" s="5">
        <v>6557</v>
      </c>
      <c r="I1310" s="5">
        <v>1</v>
      </c>
      <c r="J1310" s="5">
        <v>2185</v>
      </c>
      <c r="K1310" t="s">
        <v>18</v>
      </c>
      <c r="L1310" t="s">
        <v>40</v>
      </c>
      <c r="M1310" t="s">
        <v>60</v>
      </c>
      <c r="N1310" t="s">
        <v>28</v>
      </c>
      <c r="O1310" t="s">
        <v>68</v>
      </c>
      <c r="P1310" t="s">
        <v>18</v>
      </c>
      <c r="Q1310">
        <f>Table1[[#This Row],[Course_Fee_AED]]-Table1[[#This Row],[Amount_Paid_AED]]</f>
        <v>4372</v>
      </c>
      <c r="R1310">
        <f>Table1[[#This Row],[Course_Fee_AED]]-Table1[[#This Row],[pending Revenue]]</f>
        <v>2185</v>
      </c>
    </row>
    <row r="1311" spans="1:18" x14ac:dyDescent="0.25">
      <c r="A1311" t="s">
        <v>1388</v>
      </c>
      <c r="B1311" s="2">
        <v>45384</v>
      </c>
      <c r="C1311" t="s">
        <v>51</v>
      </c>
      <c r="D1311" t="s">
        <v>52</v>
      </c>
      <c r="E1311" t="s">
        <v>17</v>
      </c>
      <c r="F1311" s="5">
        <v>6</v>
      </c>
      <c r="G1311" s="5">
        <v>1</v>
      </c>
      <c r="H1311" s="5">
        <v>5790</v>
      </c>
      <c r="I1311" s="5">
        <v>3</v>
      </c>
      <c r="J1311" s="5">
        <v>5790</v>
      </c>
      <c r="K1311" t="s">
        <v>33</v>
      </c>
      <c r="L1311" t="s">
        <v>19</v>
      </c>
      <c r="M1311" t="s">
        <v>41</v>
      </c>
      <c r="N1311" t="s">
        <v>34</v>
      </c>
      <c r="O1311" t="s">
        <v>43</v>
      </c>
      <c r="P1311" t="s">
        <v>18</v>
      </c>
      <c r="Q1311">
        <f>Table1[[#This Row],[Course_Fee_AED]]-Table1[[#This Row],[Amount_Paid_AED]]</f>
        <v>0</v>
      </c>
      <c r="R1311">
        <f>Table1[[#This Row],[Course_Fee_AED]]-Table1[[#This Row],[pending Revenue]]</f>
        <v>5790</v>
      </c>
    </row>
    <row r="1312" spans="1:18" x14ac:dyDescent="0.25">
      <c r="A1312" t="s">
        <v>1389</v>
      </c>
      <c r="B1312" s="2">
        <v>45581</v>
      </c>
      <c r="C1312" t="s">
        <v>24</v>
      </c>
      <c r="D1312" t="s">
        <v>25</v>
      </c>
      <c r="E1312" t="s">
        <v>26</v>
      </c>
      <c r="F1312" s="5">
        <v>3</v>
      </c>
      <c r="G1312" s="5">
        <v>1</v>
      </c>
      <c r="H1312" s="5">
        <v>4893</v>
      </c>
      <c r="I1312" s="5">
        <v>1</v>
      </c>
      <c r="J1312" s="5">
        <v>1631</v>
      </c>
      <c r="K1312" t="s">
        <v>18</v>
      </c>
      <c r="L1312" t="s">
        <v>40</v>
      </c>
      <c r="M1312" t="s">
        <v>27</v>
      </c>
      <c r="N1312" t="s">
        <v>53</v>
      </c>
      <c r="O1312" t="s">
        <v>29</v>
      </c>
      <c r="P1312" t="s">
        <v>18</v>
      </c>
      <c r="Q1312">
        <f>Table1[[#This Row],[Course_Fee_AED]]-Table1[[#This Row],[Amount_Paid_AED]]</f>
        <v>3262</v>
      </c>
      <c r="R1312">
        <f>Table1[[#This Row],[Course_Fee_AED]]-Table1[[#This Row],[pending Revenue]]</f>
        <v>1631</v>
      </c>
    </row>
    <row r="1313" spans="1:18" x14ac:dyDescent="0.25">
      <c r="A1313" t="s">
        <v>1390</v>
      </c>
      <c r="B1313" s="2">
        <v>45406</v>
      </c>
      <c r="C1313" t="s">
        <v>55</v>
      </c>
      <c r="D1313" t="s">
        <v>56</v>
      </c>
      <c r="E1313" t="s">
        <v>26</v>
      </c>
      <c r="F1313" s="5">
        <v>3</v>
      </c>
      <c r="G1313" s="5">
        <v>1</v>
      </c>
      <c r="H1313" s="5">
        <v>8019</v>
      </c>
      <c r="I1313" s="5">
        <v>3</v>
      </c>
      <c r="J1313" s="5">
        <v>8019</v>
      </c>
      <c r="K1313" t="s">
        <v>33</v>
      </c>
      <c r="L1313" t="s">
        <v>19</v>
      </c>
      <c r="M1313" t="s">
        <v>41</v>
      </c>
      <c r="N1313" t="s">
        <v>61</v>
      </c>
      <c r="O1313" t="s">
        <v>64</v>
      </c>
      <c r="P1313" t="s">
        <v>18</v>
      </c>
      <c r="Q1313">
        <f>Table1[[#This Row],[Course_Fee_AED]]-Table1[[#This Row],[Amount_Paid_AED]]</f>
        <v>0</v>
      </c>
      <c r="R1313">
        <f>Table1[[#This Row],[Course_Fee_AED]]-Table1[[#This Row],[pending Revenue]]</f>
        <v>8019</v>
      </c>
    </row>
    <row r="1314" spans="1:18" x14ac:dyDescent="0.25">
      <c r="A1314" t="s">
        <v>1391</v>
      </c>
      <c r="B1314" s="2">
        <v>45556</v>
      </c>
      <c r="C1314" t="s">
        <v>75</v>
      </c>
      <c r="D1314" t="s">
        <v>76</v>
      </c>
      <c r="E1314" t="s">
        <v>26</v>
      </c>
      <c r="F1314" s="5">
        <v>3</v>
      </c>
      <c r="G1314" s="5">
        <v>1</v>
      </c>
      <c r="H1314" s="5">
        <v>7165</v>
      </c>
      <c r="I1314" s="5">
        <v>3</v>
      </c>
      <c r="J1314" s="5">
        <v>7164</v>
      </c>
      <c r="K1314" t="s">
        <v>18</v>
      </c>
      <c r="L1314" t="s">
        <v>57</v>
      </c>
      <c r="M1314" t="s">
        <v>20</v>
      </c>
      <c r="N1314" t="s">
        <v>116</v>
      </c>
      <c r="O1314" t="s">
        <v>64</v>
      </c>
      <c r="P1314" t="s">
        <v>36</v>
      </c>
      <c r="Q1314">
        <f>Table1[[#This Row],[Course_Fee_AED]]-Table1[[#This Row],[Amount_Paid_AED]]</f>
        <v>1</v>
      </c>
      <c r="R1314">
        <f>Table1[[#This Row],[Course_Fee_AED]]-Table1[[#This Row],[pending Revenue]]</f>
        <v>7164</v>
      </c>
    </row>
    <row r="1315" spans="1:18" x14ac:dyDescent="0.25">
      <c r="A1315" t="s">
        <v>1392</v>
      </c>
      <c r="B1315" s="2">
        <v>45596</v>
      </c>
      <c r="C1315" t="s">
        <v>92</v>
      </c>
      <c r="D1315" t="s">
        <v>93</v>
      </c>
      <c r="E1315" t="s">
        <v>17</v>
      </c>
      <c r="F1315" s="5">
        <v>6</v>
      </c>
      <c r="G1315" s="5">
        <v>1</v>
      </c>
      <c r="H1315" s="5">
        <v>7819</v>
      </c>
      <c r="I1315" s="5">
        <v>3</v>
      </c>
      <c r="J1315" s="5">
        <v>7818</v>
      </c>
      <c r="K1315" t="s">
        <v>18</v>
      </c>
      <c r="L1315" t="s">
        <v>19</v>
      </c>
      <c r="M1315" t="s">
        <v>63</v>
      </c>
      <c r="N1315" t="s">
        <v>86</v>
      </c>
      <c r="O1315" t="s">
        <v>43</v>
      </c>
      <c r="P1315" t="s">
        <v>36</v>
      </c>
      <c r="Q1315">
        <f>Table1[[#This Row],[Course_Fee_AED]]-Table1[[#This Row],[Amount_Paid_AED]]</f>
        <v>1</v>
      </c>
      <c r="R1315">
        <f>Table1[[#This Row],[Course_Fee_AED]]-Table1[[#This Row],[pending Revenue]]</f>
        <v>7818</v>
      </c>
    </row>
    <row r="1316" spans="1:18" x14ac:dyDescent="0.25">
      <c r="A1316" t="s">
        <v>1393</v>
      </c>
      <c r="B1316" s="2">
        <v>45346</v>
      </c>
      <c r="C1316" t="s">
        <v>55</v>
      </c>
      <c r="D1316" t="s">
        <v>56</v>
      </c>
      <c r="E1316" t="s">
        <v>17</v>
      </c>
      <c r="F1316" s="5">
        <v>6</v>
      </c>
      <c r="G1316" s="5">
        <v>1</v>
      </c>
      <c r="H1316" s="5">
        <v>8361</v>
      </c>
      <c r="I1316" s="5">
        <v>3</v>
      </c>
      <c r="J1316" s="5">
        <v>8361</v>
      </c>
      <c r="K1316" t="s">
        <v>33</v>
      </c>
      <c r="L1316" t="s">
        <v>40</v>
      </c>
      <c r="M1316" t="s">
        <v>41</v>
      </c>
      <c r="N1316" t="s">
        <v>42</v>
      </c>
      <c r="O1316" t="s">
        <v>22</v>
      </c>
      <c r="P1316" t="s">
        <v>36</v>
      </c>
      <c r="Q1316">
        <f>Table1[[#This Row],[Course_Fee_AED]]-Table1[[#This Row],[Amount_Paid_AED]]</f>
        <v>0</v>
      </c>
      <c r="R1316">
        <f>Table1[[#This Row],[Course_Fee_AED]]-Table1[[#This Row],[pending Revenue]]</f>
        <v>8361</v>
      </c>
    </row>
    <row r="1317" spans="1:18" x14ac:dyDescent="0.25">
      <c r="A1317" t="s">
        <v>1394</v>
      </c>
      <c r="B1317" s="2">
        <v>45635</v>
      </c>
      <c r="C1317" t="s">
        <v>100</v>
      </c>
      <c r="D1317" t="s">
        <v>101</v>
      </c>
      <c r="E1317" t="s">
        <v>17</v>
      </c>
      <c r="F1317" s="5">
        <v>6</v>
      </c>
      <c r="G1317" s="5">
        <v>1</v>
      </c>
      <c r="H1317" s="5">
        <v>5559</v>
      </c>
      <c r="I1317" s="5">
        <v>3</v>
      </c>
      <c r="J1317" s="5">
        <v>5559</v>
      </c>
      <c r="K1317" t="s">
        <v>33</v>
      </c>
      <c r="L1317" t="s">
        <v>19</v>
      </c>
      <c r="M1317" t="s">
        <v>60</v>
      </c>
      <c r="N1317" t="s">
        <v>154</v>
      </c>
      <c r="O1317" t="s">
        <v>35</v>
      </c>
      <c r="P1317" t="s">
        <v>36</v>
      </c>
      <c r="Q1317">
        <f>Table1[[#This Row],[Course_Fee_AED]]-Table1[[#This Row],[Amount_Paid_AED]]</f>
        <v>0</v>
      </c>
      <c r="R1317">
        <f>Table1[[#This Row],[Course_Fee_AED]]-Table1[[#This Row],[pending Revenue]]</f>
        <v>5559</v>
      </c>
    </row>
    <row r="1318" spans="1:18" x14ac:dyDescent="0.25">
      <c r="A1318" t="s">
        <v>1395</v>
      </c>
      <c r="B1318" s="2">
        <v>45325</v>
      </c>
      <c r="C1318" t="s">
        <v>38</v>
      </c>
      <c r="D1318" t="s">
        <v>39</v>
      </c>
      <c r="E1318" t="s">
        <v>17</v>
      </c>
      <c r="F1318" s="5">
        <v>6</v>
      </c>
      <c r="G1318" s="5">
        <v>1</v>
      </c>
      <c r="H1318" s="5">
        <v>5811</v>
      </c>
      <c r="I1318" s="5">
        <v>2</v>
      </c>
      <c r="J1318" s="5">
        <v>3874</v>
      </c>
      <c r="K1318" t="s">
        <v>18</v>
      </c>
      <c r="L1318" t="s">
        <v>19</v>
      </c>
      <c r="M1318" t="s">
        <v>47</v>
      </c>
      <c r="N1318" t="s">
        <v>90</v>
      </c>
      <c r="O1318" t="s">
        <v>58</v>
      </c>
      <c r="P1318" t="s">
        <v>18</v>
      </c>
      <c r="Q1318">
        <f>Table1[[#This Row],[Course_Fee_AED]]-Table1[[#This Row],[Amount_Paid_AED]]</f>
        <v>1937</v>
      </c>
      <c r="R1318">
        <f>Table1[[#This Row],[Course_Fee_AED]]-Table1[[#This Row],[pending Revenue]]</f>
        <v>3874</v>
      </c>
    </row>
    <row r="1319" spans="1:18" x14ac:dyDescent="0.25">
      <c r="A1319" t="s">
        <v>1396</v>
      </c>
      <c r="B1319" s="2">
        <v>45410</v>
      </c>
      <c r="C1319" t="s">
        <v>38</v>
      </c>
      <c r="D1319" t="s">
        <v>39</v>
      </c>
      <c r="E1319" t="s">
        <v>17</v>
      </c>
      <c r="F1319" s="5">
        <v>6</v>
      </c>
      <c r="G1319" s="5">
        <v>1</v>
      </c>
      <c r="H1319" s="5">
        <v>7216</v>
      </c>
      <c r="I1319" s="5">
        <v>1</v>
      </c>
      <c r="J1319" s="5">
        <v>2405</v>
      </c>
      <c r="K1319" t="s">
        <v>18</v>
      </c>
      <c r="L1319" t="s">
        <v>40</v>
      </c>
      <c r="M1319" t="s">
        <v>41</v>
      </c>
      <c r="N1319" t="s">
        <v>53</v>
      </c>
      <c r="O1319" t="s">
        <v>58</v>
      </c>
      <c r="P1319" t="s">
        <v>18</v>
      </c>
      <c r="Q1319">
        <f>Table1[[#This Row],[Course_Fee_AED]]-Table1[[#This Row],[Amount_Paid_AED]]</f>
        <v>4811</v>
      </c>
      <c r="R1319">
        <f>Table1[[#This Row],[Course_Fee_AED]]-Table1[[#This Row],[pending Revenue]]</f>
        <v>2405</v>
      </c>
    </row>
    <row r="1320" spans="1:18" x14ac:dyDescent="0.25">
      <c r="A1320" t="s">
        <v>1397</v>
      </c>
      <c r="B1320" s="2">
        <v>45309</v>
      </c>
      <c r="C1320" t="s">
        <v>38</v>
      </c>
      <c r="D1320" t="s">
        <v>39</v>
      </c>
      <c r="E1320" t="s">
        <v>17</v>
      </c>
      <c r="F1320" s="5">
        <v>6</v>
      </c>
      <c r="G1320" s="5">
        <v>1</v>
      </c>
      <c r="H1320" s="5">
        <v>5314</v>
      </c>
      <c r="I1320" s="5">
        <v>1</v>
      </c>
      <c r="J1320" s="5">
        <v>1771</v>
      </c>
      <c r="K1320" t="s">
        <v>18</v>
      </c>
      <c r="L1320" t="s">
        <v>40</v>
      </c>
      <c r="M1320" t="s">
        <v>47</v>
      </c>
      <c r="N1320" t="s">
        <v>154</v>
      </c>
      <c r="O1320" t="s">
        <v>58</v>
      </c>
      <c r="P1320" t="s">
        <v>18</v>
      </c>
      <c r="Q1320">
        <f>Table1[[#This Row],[Course_Fee_AED]]-Table1[[#This Row],[Amount_Paid_AED]]</f>
        <v>3543</v>
      </c>
      <c r="R1320">
        <f>Table1[[#This Row],[Course_Fee_AED]]-Table1[[#This Row],[pending Revenue]]</f>
        <v>1771</v>
      </c>
    </row>
    <row r="1321" spans="1:18" x14ac:dyDescent="0.25">
      <c r="A1321" t="s">
        <v>1398</v>
      </c>
      <c r="B1321" s="2">
        <v>45469</v>
      </c>
      <c r="C1321" t="s">
        <v>75</v>
      </c>
      <c r="D1321" t="s">
        <v>76</v>
      </c>
      <c r="E1321" t="s">
        <v>26</v>
      </c>
      <c r="F1321" s="5">
        <v>3</v>
      </c>
      <c r="G1321" s="5">
        <v>1</v>
      </c>
      <c r="H1321" s="5">
        <v>13217</v>
      </c>
      <c r="I1321" s="5">
        <v>1</v>
      </c>
      <c r="J1321" s="5">
        <v>4405</v>
      </c>
      <c r="K1321" t="s">
        <v>18</v>
      </c>
      <c r="L1321" t="s">
        <v>40</v>
      </c>
      <c r="M1321" t="s">
        <v>47</v>
      </c>
      <c r="N1321" t="s">
        <v>28</v>
      </c>
      <c r="O1321" t="s">
        <v>58</v>
      </c>
      <c r="P1321" t="s">
        <v>36</v>
      </c>
      <c r="Q1321">
        <f>Table1[[#This Row],[Course_Fee_AED]]-Table1[[#This Row],[Amount_Paid_AED]]</f>
        <v>8812</v>
      </c>
      <c r="R1321">
        <f>Table1[[#This Row],[Course_Fee_AED]]-Table1[[#This Row],[pending Revenue]]</f>
        <v>4405</v>
      </c>
    </row>
    <row r="1322" spans="1:18" x14ac:dyDescent="0.25">
      <c r="A1322" t="s">
        <v>1399</v>
      </c>
      <c r="B1322" s="2">
        <v>45433</v>
      </c>
      <c r="C1322" t="s">
        <v>75</v>
      </c>
      <c r="D1322" t="s">
        <v>76</v>
      </c>
      <c r="E1322" t="s">
        <v>17</v>
      </c>
      <c r="F1322" s="5">
        <v>6</v>
      </c>
      <c r="G1322" s="5">
        <v>1</v>
      </c>
      <c r="H1322" s="5">
        <v>12623</v>
      </c>
      <c r="I1322" s="5">
        <v>3</v>
      </c>
      <c r="J1322" s="5">
        <v>12621</v>
      </c>
      <c r="K1322" t="s">
        <v>18</v>
      </c>
      <c r="L1322" t="s">
        <v>19</v>
      </c>
      <c r="M1322" t="s">
        <v>20</v>
      </c>
      <c r="N1322" t="s">
        <v>79</v>
      </c>
      <c r="O1322" t="s">
        <v>43</v>
      </c>
      <c r="P1322" t="s">
        <v>18</v>
      </c>
      <c r="Q1322">
        <f>Table1[[#This Row],[Course_Fee_AED]]-Table1[[#This Row],[Amount_Paid_AED]]</f>
        <v>2</v>
      </c>
      <c r="R1322">
        <f>Table1[[#This Row],[Course_Fee_AED]]-Table1[[#This Row],[pending Revenue]]</f>
        <v>12621</v>
      </c>
    </row>
    <row r="1323" spans="1:18" x14ac:dyDescent="0.25">
      <c r="A1323" t="s">
        <v>1400</v>
      </c>
      <c r="B1323" s="2">
        <v>45460</v>
      </c>
      <c r="C1323" t="s">
        <v>82</v>
      </c>
      <c r="D1323" t="s">
        <v>83</v>
      </c>
      <c r="E1323" t="s">
        <v>26</v>
      </c>
      <c r="F1323" s="5">
        <v>3</v>
      </c>
      <c r="G1323" s="5">
        <v>1</v>
      </c>
      <c r="H1323" s="5">
        <v>9099</v>
      </c>
      <c r="I1323" s="5">
        <v>1</v>
      </c>
      <c r="J1323" s="5">
        <v>3033</v>
      </c>
      <c r="K1323" t="s">
        <v>18</v>
      </c>
      <c r="L1323" t="s">
        <v>19</v>
      </c>
      <c r="M1323" t="s">
        <v>63</v>
      </c>
      <c r="N1323" t="s">
        <v>42</v>
      </c>
      <c r="O1323" t="s">
        <v>68</v>
      </c>
      <c r="P1323" t="s">
        <v>18</v>
      </c>
      <c r="Q1323">
        <f>Table1[[#This Row],[Course_Fee_AED]]-Table1[[#This Row],[Amount_Paid_AED]]</f>
        <v>6066</v>
      </c>
      <c r="R1323">
        <f>Table1[[#This Row],[Course_Fee_AED]]-Table1[[#This Row],[pending Revenue]]</f>
        <v>3033</v>
      </c>
    </row>
    <row r="1324" spans="1:18" x14ac:dyDescent="0.25">
      <c r="A1324" t="s">
        <v>1401</v>
      </c>
      <c r="B1324" s="2">
        <v>45320</v>
      </c>
      <c r="C1324" t="s">
        <v>82</v>
      </c>
      <c r="D1324" t="s">
        <v>83</v>
      </c>
      <c r="E1324" t="s">
        <v>17</v>
      </c>
      <c r="F1324" s="5">
        <v>6</v>
      </c>
      <c r="G1324" s="5">
        <v>1</v>
      </c>
      <c r="H1324" s="5">
        <v>13257</v>
      </c>
      <c r="I1324" s="5">
        <v>3</v>
      </c>
      <c r="J1324" s="5">
        <v>13257</v>
      </c>
      <c r="K1324" t="s">
        <v>33</v>
      </c>
      <c r="L1324" t="s">
        <v>40</v>
      </c>
      <c r="M1324" t="s">
        <v>41</v>
      </c>
      <c r="N1324" t="s">
        <v>154</v>
      </c>
      <c r="O1324" t="s">
        <v>68</v>
      </c>
      <c r="P1324" t="s">
        <v>36</v>
      </c>
      <c r="Q1324">
        <f>Table1[[#This Row],[Course_Fee_AED]]-Table1[[#This Row],[Amount_Paid_AED]]</f>
        <v>0</v>
      </c>
      <c r="R1324">
        <f>Table1[[#This Row],[Course_Fee_AED]]-Table1[[#This Row],[pending Revenue]]</f>
        <v>13257</v>
      </c>
    </row>
    <row r="1325" spans="1:18" x14ac:dyDescent="0.25">
      <c r="A1325" t="s">
        <v>1402</v>
      </c>
      <c r="B1325" s="2">
        <v>45559</v>
      </c>
      <c r="C1325" t="s">
        <v>31</v>
      </c>
      <c r="D1325" t="s">
        <v>32</v>
      </c>
      <c r="E1325" t="s">
        <v>26</v>
      </c>
      <c r="F1325" s="5">
        <v>3</v>
      </c>
      <c r="G1325" s="5">
        <v>1</v>
      </c>
      <c r="H1325" s="5">
        <v>4835</v>
      </c>
      <c r="I1325" s="5">
        <v>2</v>
      </c>
      <c r="J1325" s="5">
        <v>3222</v>
      </c>
      <c r="K1325" t="s">
        <v>18</v>
      </c>
      <c r="L1325" t="s">
        <v>19</v>
      </c>
      <c r="M1325" t="s">
        <v>27</v>
      </c>
      <c r="N1325" t="s">
        <v>21</v>
      </c>
      <c r="O1325" t="s">
        <v>87</v>
      </c>
      <c r="P1325" t="s">
        <v>36</v>
      </c>
      <c r="Q1325">
        <f>Table1[[#This Row],[Course_Fee_AED]]-Table1[[#This Row],[Amount_Paid_AED]]</f>
        <v>1613</v>
      </c>
      <c r="R1325">
        <f>Table1[[#This Row],[Course_Fee_AED]]-Table1[[#This Row],[pending Revenue]]</f>
        <v>3222</v>
      </c>
    </row>
    <row r="1326" spans="1:18" x14ac:dyDescent="0.25">
      <c r="A1326" t="s">
        <v>1403</v>
      </c>
      <c r="B1326" s="2">
        <v>45294</v>
      </c>
      <c r="C1326" t="s">
        <v>92</v>
      </c>
      <c r="D1326" t="s">
        <v>93</v>
      </c>
      <c r="E1326" t="s">
        <v>17</v>
      </c>
      <c r="F1326" s="5">
        <v>6</v>
      </c>
      <c r="G1326" s="5">
        <v>1</v>
      </c>
      <c r="H1326" s="5">
        <v>5904</v>
      </c>
      <c r="I1326" s="5">
        <v>2</v>
      </c>
      <c r="J1326" s="5">
        <v>3936</v>
      </c>
      <c r="K1326" t="s">
        <v>18</v>
      </c>
      <c r="L1326" t="s">
        <v>19</v>
      </c>
      <c r="M1326" t="s">
        <v>63</v>
      </c>
      <c r="N1326" t="s">
        <v>116</v>
      </c>
      <c r="O1326" t="s">
        <v>22</v>
      </c>
      <c r="P1326" t="s">
        <v>36</v>
      </c>
      <c r="Q1326">
        <f>Table1[[#This Row],[Course_Fee_AED]]-Table1[[#This Row],[Amount_Paid_AED]]</f>
        <v>1968</v>
      </c>
      <c r="R1326">
        <f>Table1[[#This Row],[Course_Fee_AED]]-Table1[[#This Row],[pending Revenue]]</f>
        <v>3936</v>
      </c>
    </row>
    <row r="1327" spans="1:18" x14ac:dyDescent="0.25">
      <c r="A1327" t="s">
        <v>1404</v>
      </c>
      <c r="B1327" s="2">
        <v>45541</v>
      </c>
      <c r="C1327" t="s">
        <v>51</v>
      </c>
      <c r="D1327" t="s">
        <v>52</v>
      </c>
      <c r="E1327" t="s">
        <v>26</v>
      </c>
      <c r="F1327" s="5">
        <v>3</v>
      </c>
      <c r="G1327" s="5">
        <v>1</v>
      </c>
      <c r="H1327" s="5">
        <v>4433</v>
      </c>
      <c r="I1327" s="5">
        <v>3</v>
      </c>
      <c r="J1327" s="5">
        <v>4431</v>
      </c>
      <c r="K1327" t="s">
        <v>18</v>
      </c>
      <c r="L1327" t="s">
        <v>19</v>
      </c>
      <c r="M1327" t="s">
        <v>20</v>
      </c>
      <c r="N1327" t="s">
        <v>73</v>
      </c>
      <c r="O1327" t="s">
        <v>22</v>
      </c>
      <c r="P1327" t="s">
        <v>18</v>
      </c>
      <c r="Q1327">
        <f>Table1[[#This Row],[Course_Fee_AED]]-Table1[[#This Row],[Amount_Paid_AED]]</f>
        <v>2</v>
      </c>
      <c r="R1327">
        <f>Table1[[#This Row],[Course_Fee_AED]]-Table1[[#This Row],[pending Revenue]]</f>
        <v>4431</v>
      </c>
    </row>
    <row r="1328" spans="1:18" x14ac:dyDescent="0.25">
      <c r="A1328" t="s">
        <v>1405</v>
      </c>
      <c r="B1328" s="2">
        <v>45356</v>
      </c>
      <c r="C1328" t="s">
        <v>66</v>
      </c>
      <c r="D1328" t="s">
        <v>56</v>
      </c>
      <c r="E1328" t="s">
        <v>26</v>
      </c>
      <c r="F1328" s="5">
        <v>3</v>
      </c>
      <c r="G1328" s="5">
        <v>1</v>
      </c>
      <c r="H1328" s="5">
        <v>9967</v>
      </c>
      <c r="I1328" s="5">
        <v>1</v>
      </c>
      <c r="J1328" s="5">
        <v>3322</v>
      </c>
      <c r="K1328" t="s">
        <v>18</v>
      </c>
      <c r="L1328" t="s">
        <v>19</v>
      </c>
      <c r="M1328" t="s">
        <v>27</v>
      </c>
      <c r="N1328" t="s">
        <v>28</v>
      </c>
      <c r="O1328" t="s">
        <v>71</v>
      </c>
      <c r="P1328" t="s">
        <v>18</v>
      </c>
      <c r="Q1328">
        <f>Table1[[#This Row],[Course_Fee_AED]]-Table1[[#This Row],[Amount_Paid_AED]]</f>
        <v>6645</v>
      </c>
      <c r="R1328">
        <f>Table1[[#This Row],[Course_Fee_AED]]-Table1[[#This Row],[pending Revenue]]</f>
        <v>3322</v>
      </c>
    </row>
    <row r="1329" spans="1:18" x14ac:dyDescent="0.25">
      <c r="A1329" t="s">
        <v>1406</v>
      </c>
      <c r="B1329" s="2">
        <v>45400</v>
      </c>
      <c r="C1329" t="s">
        <v>92</v>
      </c>
      <c r="D1329" t="s">
        <v>93</v>
      </c>
      <c r="E1329" t="s">
        <v>26</v>
      </c>
      <c r="F1329" s="5">
        <v>3</v>
      </c>
      <c r="G1329" s="5">
        <v>1</v>
      </c>
      <c r="H1329" s="5">
        <v>5155</v>
      </c>
      <c r="I1329" s="5">
        <v>3</v>
      </c>
      <c r="J1329" s="5">
        <v>5154</v>
      </c>
      <c r="K1329" t="s">
        <v>18</v>
      </c>
      <c r="L1329" t="s">
        <v>19</v>
      </c>
      <c r="M1329" t="s">
        <v>60</v>
      </c>
      <c r="N1329" t="s">
        <v>116</v>
      </c>
      <c r="O1329" t="s">
        <v>22</v>
      </c>
      <c r="P1329" t="s">
        <v>36</v>
      </c>
      <c r="Q1329">
        <f>Table1[[#This Row],[Course_Fee_AED]]-Table1[[#This Row],[Amount_Paid_AED]]</f>
        <v>1</v>
      </c>
      <c r="R1329">
        <f>Table1[[#This Row],[Course_Fee_AED]]-Table1[[#This Row],[pending Revenue]]</f>
        <v>5154</v>
      </c>
    </row>
    <row r="1330" spans="1:18" x14ac:dyDescent="0.25">
      <c r="A1330" t="s">
        <v>1407</v>
      </c>
      <c r="B1330" s="2">
        <v>45544</v>
      </c>
      <c r="C1330" t="s">
        <v>31</v>
      </c>
      <c r="D1330" t="s">
        <v>32</v>
      </c>
      <c r="E1330" t="s">
        <v>17</v>
      </c>
      <c r="F1330" s="5">
        <v>6</v>
      </c>
      <c r="G1330" s="5">
        <v>1</v>
      </c>
      <c r="H1330" s="5">
        <v>7712</v>
      </c>
      <c r="I1330" s="5">
        <v>2</v>
      </c>
      <c r="J1330" s="5">
        <v>5140</v>
      </c>
      <c r="K1330" t="s">
        <v>18</v>
      </c>
      <c r="L1330" t="s">
        <v>57</v>
      </c>
      <c r="M1330" t="s">
        <v>63</v>
      </c>
      <c r="N1330" t="s">
        <v>86</v>
      </c>
      <c r="O1330" t="s">
        <v>22</v>
      </c>
      <c r="P1330" t="s">
        <v>18</v>
      </c>
      <c r="Q1330">
        <f>Table1[[#This Row],[Course_Fee_AED]]-Table1[[#This Row],[Amount_Paid_AED]]</f>
        <v>2572</v>
      </c>
      <c r="R1330">
        <f>Table1[[#This Row],[Course_Fee_AED]]-Table1[[#This Row],[pending Revenue]]</f>
        <v>5140</v>
      </c>
    </row>
    <row r="1331" spans="1:18" x14ac:dyDescent="0.25">
      <c r="A1331" t="s">
        <v>1408</v>
      </c>
      <c r="B1331" s="2">
        <v>45525</v>
      </c>
      <c r="C1331" t="s">
        <v>113</v>
      </c>
      <c r="D1331" t="s">
        <v>93</v>
      </c>
      <c r="E1331" t="s">
        <v>26</v>
      </c>
      <c r="F1331" s="5">
        <v>3</v>
      </c>
      <c r="G1331" s="5">
        <v>1</v>
      </c>
      <c r="H1331" s="5">
        <v>4248</v>
      </c>
      <c r="I1331" s="5">
        <v>3</v>
      </c>
      <c r="J1331" s="5">
        <v>4248</v>
      </c>
      <c r="K1331" t="s">
        <v>33</v>
      </c>
      <c r="L1331" t="s">
        <v>19</v>
      </c>
      <c r="M1331" t="s">
        <v>63</v>
      </c>
      <c r="N1331" t="s">
        <v>90</v>
      </c>
      <c r="O1331" t="s">
        <v>35</v>
      </c>
      <c r="P1331" t="s">
        <v>18</v>
      </c>
      <c r="Q1331">
        <f>Table1[[#This Row],[Course_Fee_AED]]-Table1[[#This Row],[Amount_Paid_AED]]</f>
        <v>0</v>
      </c>
      <c r="R1331">
        <f>Table1[[#This Row],[Course_Fee_AED]]-Table1[[#This Row],[pending Revenue]]</f>
        <v>4248</v>
      </c>
    </row>
    <row r="1332" spans="1:18" x14ac:dyDescent="0.25">
      <c r="A1332" t="s">
        <v>1409</v>
      </c>
      <c r="B1332" s="2">
        <v>45410</v>
      </c>
      <c r="C1332" t="s">
        <v>82</v>
      </c>
      <c r="D1332" t="s">
        <v>83</v>
      </c>
      <c r="E1332" t="s">
        <v>26</v>
      </c>
      <c r="F1332" s="5">
        <v>3</v>
      </c>
      <c r="G1332" s="5">
        <v>1</v>
      </c>
      <c r="H1332" s="5">
        <v>13071</v>
      </c>
      <c r="I1332" s="5">
        <v>2</v>
      </c>
      <c r="J1332" s="5">
        <v>8714</v>
      </c>
      <c r="K1332" t="s">
        <v>18</v>
      </c>
      <c r="L1332" t="s">
        <v>19</v>
      </c>
      <c r="M1332" t="s">
        <v>63</v>
      </c>
      <c r="N1332" t="s">
        <v>95</v>
      </c>
      <c r="O1332" t="s">
        <v>43</v>
      </c>
      <c r="P1332" t="s">
        <v>36</v>
      </c>
      <c r="Q1332">
        <f>Table1[[#This Row],[Course_Fee_AED]]-Table1[[#This Row],[Amount_Paid_AED]]</f>
        <v>4357</v>
      </c>
      <c r="R1332">
        <f>Table1[[#This Row],[Course_Fee_AED]]-Table1[[#This Row],[pending Revenue]]</f>
        <v>8714</v>
      </c>
    </row>
    <row r="1333" spans="1:18" x14ac:dyDescent="0.25">
      <c r="A1333" t="s">
        <v>1410</v>
      </c>
      <c r="B1333" s="2">
        <v>45364</v>
      </c>
      <c r="C1333" t="s">
        <v>106</v>
      </c>
      <c r="D1333" t="s">
        <v>107</v>
      </c>
      <c r="E1333" t="s">
        <v>26</v>
      </c>
      <c r="F1333" s="5">
        <v>3</v>
      </c>
      <c r="G1333" s="5">
        <v>1</v>
      </c>
      <c r="H1333" s="5">
        <v>8665</v>
      </c>
      <c r="I1333" s="5">
        <v>2</v>
      </c>
      <c r="J1333" s="5">
        <v>5776</v>
      </c>
      <c r="K1333" t="s">
        <v>18</v>
      </c>
      <c r="L1333" t="s">
        <v>57</v>
      </c>
      <c r="M1333" t="s">
        <v>63</v>
      </c>
      <c r="N1333" t="s">
        <v>90</v>
      </c>
      <c r="O1333" t="s">
        <v>49</v>
      </c>
      <c r="P1333" t="s">
        <v>36</v>
      </c>
      <c r="Q1333">
        <f>Table1[[#This Row],[Course_Fee_AED]]-Table1[[#This Row],[Amount_Paid_AED]]</f>
        <v>2889</v>
      </c>
      <c r="R1333">
        <f>Table1[[#This Row],[Course_Fee_AED]]-Table1[[#This Row],[pending Revenue]]</f>
        <v>5776</v>
      </c>
    </row>
    <row r="1334" spans="1:18" x14ac:dyDescent="0.25">
      <c r="A1334" t="s">
        <v>1411</v>
      </c>
      <c r="B1334" s="2">
        <v>45475</v>
      </c>
      <c r="C1334" t="s">
        <v>75</v>
      </c>
      <c r="D1334" t="s">
        <v>76</v>
      </c>
      <c r="E1334" t="s">
        <v>17</v>
      </c>
      <c r="F1334" s="5">
        <v>6</v>
      </c>
      <c r="G1334" s="5">
        <v>1</v>
      </c>
      <c r="H1334" s="5">
        <v>12196</v>
      </c>
      <c r="I1334" s="5">
        <v>1</v>
      </c>
      <c r="J1334" s="5">
        <v>4065</v>
      </c>
      <c r="K1334" t="s">
        <v>18</v>
      </c>
      <c r="L1334" t="s">
        <v>57</v>
      </c>
      <c r="M1334" t="s">
        <v>60</v>
      </c>
      <c r="N1334" t="s">
        <v>21</v>
      </c>
      <c r="O1334" t="s">
        <v>49</v>
      </c>
      <c r="P1334" t="s">
        <v>18</v>
      </c>
      <c r="Q1334">
        <f>Table1[[#This Row],[Course_Fee_AED]]-Table1[[#This Row],[Amount_Paid_AED]]</f>
        <v>8131</v>
      </c>
      <c r="R1334">
        <f>Table1[[#This Row],[Course_Fee_AED]]-Table1[[#This Row],[pending Revenue]]</f>
        <v>4065</v>
      </c>
    </row>
    <row r="1335" spans="1:18" x14ac:dyDescent="0.25">
      <c r="A1335" t="s">
        <v>1412</v>
      </c>
      <c r="B1335" s="2">
        <v>45319</v>
      </c>
      <c r="C1335" t="s">
        <v>66</v>
      </c>
      <c r="D1335" t="s">
        <v>56</v>
      </c>
      <c r="E1335" t="s">
        <v>17</v>
      </c>
      <c r="F1335" s="5">
        <v>6</v>
      </c>
      <c r="G1335" s="5">
        <v>1</v>
      </c>
      <c r="H1335" s="5">
        <v>8591</v>
      </c>
      <c r="I1335" s="5">
        <v>2</v>
      </c>
      <c r="J1335" s="5">
        <v>5726</v>
      </c>
      <c r="K1335" t="s">
        <v>18</v>
      </c>
      <c r="L1335" t="s">
        <v>57</v>
      </c>
      <c r="M1335" t="s">
        <v>41</v>
      </c>
      <c r="N1335" t="s">
        <v>70</v>
      </c>
      <c r="O1335" t="s">
        <v>29</v>
      </c>
      <c r="P1335" t="s">
        <v>36</v>
      </c>
      <c r="Q1335">
        <f>Table1[[#This Row],[Course_Fee_AED]]-Table1[[#This Row],[Amount_Paid_AED]]</f>
        <v>2865</v>
      </c>
      <c r="R1335">
        <f>Table1[[#This Row],[Course_Fee_AED]]-Table1[[#This Row],[pending Revenue]]</f>
        <v>5726</v>
      </c>
    </row>
    <row r="1336" spans="1:18" x14ac:dyDescent="0.25">
      <c r="A1336" t="s">
        <v>1413</v>
      </c>
      <c r="B1336" s="2">
        <v>45481</v>
      </c>
      <c r="C1336" t="s">
        <v>45</v>
      </c>
      <c r="D1336" t="s">
        <v>46</v>
      </c>
      <c r="E1336" t="s">
        <v>17</v>
      </c>
      <c r="F1336" s="5">
        <v>6</v>
      </c>
      <c r="G1336" s="5">
        <v>1</v>
      </c>
      <c r="H1336" s="5">
        <v>6133</v>
      </c>
      <c r="I1336" s="5">
        <v>1</v>
      </c>
      <c r="J1336" s="5">
        <v>2044</v>
      </c>
      <c r="K1336" t="s">
        <v>18</v>
      </c>
      <c r="L1336" t="s">
        <v>40</v>
      </c>
      <c r="M1336" t="s">
        <v>63</v>
      </c>
      <c r="N1336" t="s">
        <v>73</v>
      </c>
      <c r="O1336" t="s">
        <v>22</v>
      </c>
      <c r="P1336" t="s">
        <v>36</v>
      </c>
      <c r="Q1336">
        <f>Table1[[#This Row],[Course_Fee_AED]]-Table1[[#This Row],[Amount_Paid_AED]]</f>
        <v>4089</v>
      </c>
      <c r="R1336">
        <f>Table1[[#This Row],[Course_Fee_AED]]-Table1[[#This Row],[pending Revenue]]</f>
        <v>2044</v>
      </c>
    </row>
    <row r="1337" spans="1:18" x14ac:dyDescent="0.25">
      <c r="A1337" t="s">
        <v>1414</v>
      </c>
      <c r="B1337" s="2">
        <v>45330</v>
      </c>
      <c r="C1337" t="s">
        <v>15</v>
      </c>
      <c r="D1337" t="s">
        <v>16</v>
      </c>
      <c r="E1337" t="s">
        <v>26</v>
      </c>
      <c r="F1337" s="5">
        <v>3</v>
      </c>
      <c r="G1337" s="5">
        <v>1</v>
      </c>
      <c r="H1337" s="5">
        <v>6902</v>
      </c>
      <c r="I1337" s="5">
        <v>3</v>
      </c>
      <c r="J1337" s="5">
        <v>6900</v>
      </c>
      <c r="K1337" t="s">
        <v>18</v>
      </c>
      <c r="L1337" t="s">
        <v>19</v>
      </c>
      <c r="M1337" t="s">
        <v>27</v>
      </c>
      <c r="N1337" t="s">
        <v>70</v>
      </c>
      <c r="O1337" t="s">
        <v>35</v>
      </c>
      <c r="P1337" t="s">
        <v>18</v>
      </c>
      <c r="Q1337">
        <f>Table1[[#This Row],[Course_Fee_AED]]-Table1[[#This Row],[Amount_Paid_AED]]</f>
        <v>2</v>
      </c>
      <c r="R1337">
        <f>Table1[[#This Row],[Course_Fee_AED]]-Table1[[#This Row],[pending Revenue]]</f>
        <v>6900</v>
      </c>
    </row>
    <row r="1338" spans="1:18" x14ac:dyDescent="0.25">
      <c r="A1338" t="s">
        <v>1415</v>
      </c>
      <c r="B1338" s="2">
        <v>45330</v>
      </c>
      <c r="C1338" t="s">
        <v>55</v>
      </c>
      <c r="D1338" t="s">
        <v>56</v>
      </c>
      <c r="E1338" t="s">
        <v>26</v>
      </c>
      <c r="F1338" s="5">
        <v>3</v>
      </c>
      <c r="G1338" s="5">
        <v>1</v>
      </c>
      <c r="H1338" s="5">
        <v>8966</v>
      </c>
      <c r="I1338" s="5">
        <v>2</v>
      </c>
      <c r="J1338" s="5">
        <v>5976</v>
      </c>
      <c r="K1338" t="s">
        <v>18</v>
      </c>
      <c r="L1338" t="s">
        <v>57</v>
      </c>
      <c r="M1338" t="s">
        <v>60</v>
      </c>
      <c r="N1338" t="s">
        <v>61</v>
      </c>
      <c r="O1338" t="s">
        <v>49</v>
      </c>
      <c r="P1338" t="s">
        <v>18</v>
      </c>
      <c r="Q1338">
        <f>Table1[[#This Row],[Course_Fee_AED]]-Table1[[#This Row],[Amount_Paid_AED]]</f>
        <v>2990</v>
      </c>
      <c r="R1338">
        <f>Table1[[#This Row],[Course_Fee_AED]]-Table1[[#This Row],[pending Revenue]]</f>
        <v>5976</v>
      </c>
    </row>
    <row r="1339" spans="1:18" x14ac:dyDescent="0.25">
      <c r="A1339" t="s">
        <v>1416</v>
      </c>
      <c r="B1339" s="2">
        <v>45435</v>
      </c>
      <c r="C1339" t="s">
        <v>113</v>
      </c>
      <c r="D1339" t="s">
        <v>93</v>
      </c>
      <c r="E1339" t="s">
        <v>17</v>
      </c>
      <c r="F1339" s="5">
        <v>6</v>
      </c>
      <c r="G1339" s="5">
        <v>1</v>
      </c>
      <c r="H1339" s="5">
        <v>3785</v>
      </c>
      <c r="I1339" s="5">
        <v>3</v>
      </c>
      <c r="J1339" s="5">
        <v>3783</v>
      </c>
      <c r="K1339" t="s">
        <v>18</v>
      </c>
      <c r="L1339" t="s">
        <v>57</v>
      </c>
      <c r="M1339" t="s">
        <v>63</v>
      </c>
      <c r="N1339" t="s">
        <v>86</v>
      </c>
      <c r="O1339" t="s">
        <v>49</v>
      </c>
      <c r="P1339" t="s">
        <v>18</v>
      </c>
      <c r="Q1339">
        <f>Table1[[#This Row],[Course_Fee_AED]]-Table1[[#This Row],[Amount_Paid_AED]]</f>
        <v>2</v>
      </c>
      <c r="R1339">
        <f>Table1[[#This Row],[Course_Fee_AED]]-Table1[[#This Row],[pending Revenue]]</f>
        <v>3783</v>
      </c>
    </row>
    <row r="1340" spans="1:18" x14ac:dyDescent="0.25">
      <c r="A1340" t="s">
        <v>1417</v>
      </c>
      <c r="B1340" s="2">
        <v>45316</v>
      </c>
      <c r="C1340" t="s">
        <v>55</v>
      </c>
      <c r="D1340" t="s">
        <v>56</v>
      </c>
      <c r="E1340" t="s">
        <v>17</v>
      </c>
      <c r="F1340" s="5">
        <v>6</v>
      </c>
      <c r="G1340" s="5">
        <v>1</v>
      </c>
      <c r="H1340" s="5">
        <v>10824</v>
      </c>
      <c r="I1340" s="5">
        <v>2</v>
      </c>
      <c r="J1340" s="5">
        <v>7216</v>
      </c>
      <c r="K1340" t="s">
        <v>18</v>
      </c>
      <c r="L1340" t="s">
        <v>19</v>
      </c>
      <c r="M1340" t="s">
        <v>47</v>
      </c>
      <c r="N1340" t="s">
        <v>73</v>
      </c>
      <c r="O1340" t="s">
        <v>35</v>
      </c>
      <c r="P1340" t="s">
        <v>36</v>
      </c>
      <c r="Q1340">
        <f>Table1[[#This Row],[Course_Fee_AED]]-Table1[[#This Row],[Amount_Paid_AED]]</f>
        <v>3608</v>
      </c>
      <c r="R1340">
        <f>Table1[[#This Row],[Course_Fee_AED]]-Table1[[#This Row],[pending Revenue]]</f>
        <v>7216</v>
      </c>
    </row>
    <row r="1341" spans="1:18" x14ac:dyDescent="0.25">
      <c r="A1341" t="s">
        <v>1418</v>
      </c>
      <c r="B1341" s="2">
        <v>45440</v>
      </c>
      <c r="C1341" t="s">
        <v>51</v>
      </c>
      <c r="D1341" t="s">
        <v>52</v>
      </c>
      <c r="E1341" t="s">
        <v>26</v>
      </c>
      <c r="F1341" s="5">
        <v>3</v>
      </c>
      <c r="G1341" s="5">
        <v>1</v>
      </c>
      <c r="H1341" s="5">
        <v>3757</v>
      </c>
      <c r="I1341" s="5">
        <v>2</v>
      </c>
      <c r="J1341" s="5">
        <v>2504</v>
      </c>
      <c r="K1341" t="s">
        <v>18</v>
      </c>
      <c r="L1341" t="s">
        <v>40</v>
      </c>
      <c r="M1341" t="s">
        <v>63</v>
      </c>
      <c r="N1341" t="s">
        <v>21</v>
      </c>
      <c r="O1341" t="s">
        <v>49</v>
      </c>
      <c r="P1341" t="s">
        <v>18</v>
      </c>
      <c r="Q1341">
        <f>Table1[[#This Row],[Course_Fee_AED]]-Table1[[#This Row],[Amount_Paid_AED]]</f>
        <v>1253</v>
      </c>
      <c r="R1341">
        <f>Table1[[#This Row],[Course_Fee_AED]]-Table1[[#This Row],[pending Revenue]]</f>
        <v>2504</v>
      </c>
    </row>
    <row r="1342" spans="1:18" x14ac:dyDescent="0.25">
      <c r="A1342" t="s">
        <v>1419</v>
      </c>
      <c r="B1342" s="2">
        <v>45601</v>
      </c>
      <c r="C1342" t="s">
        <v>82</v>
      </c>
      <c r="D1342" t="s">
        <v>83</v>
      </c>
      <c r="E1342" t="s">
        <v>17</v>
      </c>
      <c r="F1342" s="5">
        <v>6</v>
      </c>
      <c r="G1342" s="5">
        <v>1</v>
      </c>
      <c r="H1342" s="5">
        <v>14063</v>
      </c>
      <c r="I1342" s="5">
        <v>1</v>
      </c>
      <c r="J1342" s="5">
        <v>4687</v>
      </c>
      <c r="K1342" t="s">
        <v>18</v>
      </c>
      <c r="L1342" t="s">
        <v>57</v>
      </c>
      <c r="M1342" t="s">
        <v>63</v>
      </c>
      <c r="N1342" t="s">
        <v>53</v>
      </c>
      <c r="O1342" t="s">
        <v>64</v>
      </c>
      <c r="P1342" t="s">
        <v>18</v>
      </c>
      <c r="Q1342">
        <f>Table1[[#This Row],[Course_Fee_AED]]-Table1[[#This Row],[Amount_Paid_AED]]</f>
        <v>9376</v>
      </c>
      <c r="R1342">
        <f>Table1[[#This Row],[Course_Fee_AED]]-Table1[[#This Row],[pending Revenue]]</f>
        <v>4687</v>
      </c>
    </row>
    <row r="1343" spans="1:18" x14ac:dyDescent="0.25">
      <c r="A1343" t="s">
        <v>1420</v>
      </c>
      <c r="B1343" s="2">
        <v>45540</v>
      </c>
      <c r="C1343" t="s">
        <v>113</v>
      </c>
      <c r="D1343" t="s">
        <v>93</v>
      </c>
      <c r="E1343" t="s">
        <v>26</v>
      </c>
      <c r="F1343" s="5">
        <v>3</v>
      </c>
      <c r="G1343" s="5">
        <v>1</v>
      </c>
      <c r="H1343" s="5">
        <v>3656</v>
      </c>
      <c r="I1343" s="5">
        <v>3</v>
      </c>
      <c r="J1343" s="5">
        <v>3654</v>
      </c>
      <c r="K1343" t="s">
        <v>18</v>
      </c>
      <c r="L1343" t="s">
        <v>40</v>
      </c>
      <c r="M1343" t="s">
        <v>60</v>
      </c>
      <c r="N1343" t="s">
        <v>48</v>
      </c>
      <c r="O1343" t="s">
        <v>71</v>
      </c>
      <c r="P1343" t="s">
        <v>36</v>
      </c>
      <c r="Q1343">
        <f>Table1[[#This Row],[Course_Fee_AED]]-Table1[[#This Row],[Amount_Paid_AED]]</f>
        <v>2</v>
      </c>
      <c r="R1343">
        <f>Table1[[#This Row],[Course_Fee_AED]]-Table1[[#This Row],[pending Revenue]]</f>
        <v>3654</v>
      </c>
    </row>
    <row r="1344" spans="1:18" x14ac:dyDescent="0.25">
      <c r="A1344" t="s">
        <v>1421</v>
      </c>
      <c r="B1344" s="2">
        <v>45647</v>
      </c>
      <c r="C1344" t="s">
        <v>24</v>
      </c>
      <c r="D1344" t="s">
        <v>25</v>
      </c>
      <c r="E1344" t="s">
        <v>17</v>
      </c>
      <c r="F1344" s="5">
        <v>6</v>
      </c>
      <c r="G1344" s="5">
        <v>1</v>
      </c>
      <c r="H1344" s="5">
        <v>5364</v>
      </c>
      <c r="I1344" s="5">
        <v>3</v>
      </c>
      <c r="J1344" s="5">
        <v>5364</v>
      </c>
      <c r="K1344" t="s">
        <v>33</v>
      </c>
      <c r="L1344" t="s">
        <v>19</v>
      </c>
      <c r="M1344" t="s">
        <v>20</v>
      </c>
      <c r="N1344" t="s">
        <v>42</v>
      </c>
      <c r="O1344" t="s">
        <v>43</v>
      </c>
      <c r="P1344" t="s">
        <v>18</v>
      </c>
      <c r="Q1344">
        <f>Table1[[#This Row],[Course_Fee_AED]]-Table1[[#This Row],[Amount_Paid_AED]]</f>
        <v>0</v>
      </c>
      <c r="R1344">
        <f>Table1[[#This Row],[Course_Fee_AED]]-Table1[[#This Row],[pending Revenue]]</f>
        <v>5364</v>
      </c>
    </row>
    <row r="1345" spans="1:18" x14ac:dyDescent="0.25">
      <c r="A1345" t="s">
        <v>1422</v>
      </c>
      <c r="B1345" s="2">
        <v>45304</v>
      </c>
      <c r="C1345" t="s">
        <v>55</v>
      </c>
      <c r="D1345" t="s">
        <v>56</v>
      </c>
      <c r="E1345" t="s">
        <v>26</v>
      </c>
      <c r="F1345" s="5">
        <v>3</v>
      </c>
      <c r="G1345" s="5">
        <v>1</v>
      </c>
      <c r="H1345" s="5">
        <v>8456</v>
      </c>
      <c r="I1345" s="5">
        <v>1</v>
      </c>
      <c r="J1345" s="5">
        <v>2818</v>
      </c>
      <c r="K1345" t="s">
        <v>18</v>
      </c>
      <c r="L1345" t="s">
        <v>19</v>
      </c>
      <c r="M1345" t="s">
        <v>47</v>
      </c>
      <c r="N1345" t="s">
        <v>86</v>
      </c>
      <c r="O1345" t="s">
        <v>29</v>
      </c>
      <c r="P1345" t="s">
        <v>18</v>
      </c>
      <c r="Q1345">
        <f>Table1[[#This Row],[Course_Fee_AED]]-Table1[[#This Row],[Amount_Paid_AED]]</f>
        <v>5638</v>
      </c>
      <c r="R1345">
        <f>Table1[[#This Row],[Course_Fee_AED]]-Table1[[#This Row],[pending Revenue]]</f>
        <v>2818</v>
      </c>
    </row>
    <row r="1346" spans="1:18" x14ac:dyDescent="0.25">
      <c r="A1346" t="s">
        <v>1423</v>
      </c>
      <c r="B1346" s="2">
        <v>45403</v>
      </c>
      <c r="C1346" t="s">
        <v>38</v>
      </c>
      <c r="D1346" t="s">
        <v>39</v>
      </c>
      <c r="E1346" t="s">
        <v>17</v>
      </c>
      <c r="F1346" s="5">
        <v>6</v>
      </c>
      <c r="G1346" s="5">
        <v>1</v>
      </c>
      <c r="H1346" s="5">
        <v>7034</v>
      </c>
      <c r="I1346" s="5">
        <v>2</v>
      </c>
      <c r="J1346" s="5">
        <v>4688</v>
      </c>
      <c r="K1346" t="s">
        <v>18</v>
      </c>
      <c r="L1346" t="s">
        <v>57</v>
      </c>
      <c r="M1346" t="s">
        <v>41</v>
      </c>
      <c r="N1346" t="s">
        <v>61</v>
      </c>
      <c r="O1346" t="s">
        <v>22</v>
      </c>
      <c r="P1346" t="s">
        <v>36</v>
      </c>
      <c r="Q1346">
        <f>Table1[[#This Row],[Course_Fee_AED]]-Table1[[#This Row],[Amount_Paid_AED]]</f>
        <v>2346</v>
      </c>
      <c r="R1346">
        <f>Table1[[#This Row],[Course_Fee_AED]]-Table1[[#This Row],[pending Revenue]]</f>
        <v>4688</v>
      </c>
    </row>
    <row r="1347" spans="1:18" x14ac:dyDescent="0.25">
      <c r="A1347" t="s">
        <v>1424</v>
      </c>
      <c r="B1347" s="2">
        <v>45573</v>
      </c>
      <c r="C1347" t="s">
        <v>82</v>
      </c>
      <c r="D1347" t="s">
        <v>83</v>
      </c>
      <c r="E1347" t="s">
        <v>17</v>
      </c>
      <c r="F1347" s="5">
        <v>6</v>
      </c>
      <c r="G1347" s="5">
        <v>1</v>
      </c>
      <c r="H1347" s="5">
        <v>9782</v>
      </c>
      <c r="I1347" s="5">
        <v>2</v>
      </c>
      <c r="J1347" s="5">
        <v>6520</v>
      </c>
      <c r="K1347" t="s">
        <v>18</v>
      </c>
      <c r="L1347" t="s">
        <v>57</v>
      </c>
      <c r="M1347" t="s">
        <v>63</v>
      </c>
      <c r="N1347" t="s">
        <v>21</v>
      </c>
      <c r="O1347" t="s">
        <v>68</v>
      </c>
      <c r="P1347" t="s">
        <v>36</v>
      </c>
      <c r="Q1347">
        <f>Table1[[#This Row],[Course_Fee_AED]]-Table1[[#This Row],[Amount_Paid_AED]]</f>
        <v>3262</v>
      </c>
      <c r="R1347">
        <f>Table1[[#This Row],[Course_Fee_AED]]-Table1[[#This Row],[pending Revenue]]</f>
        <v>6520</v>
      </c>
    </row>
    <row r="1348" spans="1:18" x14ac:dyDescent="0.25">
      <c r="A1348" t="s">
        <v>1425</v>
      </c>
      <c r="B1348" s="2">
        <v>45655</v>
      </c>
      <c r="C1348" t="s">
        <v>51</v>
      </c>
      <c r="D1348" t="s">
        <v>52</v>
      </c>
      <c r="E1348" t="s">
        <v>26</v>
      </c>
      <c r="F1348" s="5">
        <v>3</v>
      </c>
      <c r="G1348" s="5">
        <v>1</v>
      </c>
      <c r="H1348" s="5">
        <v>3559</v>
      </c>
      <c r="I1348" s="5">
        <v>1</v>
      </c>
      <c r="J1348" s="5">
        <v>1186</v>
      </c>
      <c r="K1348" t="s">
        <v>18</v>
      </c>
      <c r="L1348" t="s">
        <v>57</v>
      </c>
      <c r="M1348" t="s">
        <v>41</v>
      </c>
      <c r="N1348" t="s">
        <v>70</v>
      </c>
      <c r="O1348" t="s">
        <v>64</v>
      </c>
      <c r="P1348" t="s">
        <v>36</v>
      </c>
      <c r="Q1348">
        <f>Table1[[#This Row],[Course_Fee_AED]]-Table1[[#This Row],[Amount_Paid_AED]]</f>
        <v>2373</v>
      </c>
      <c r="R1348">
        <f>Table1[[#This Row],[Course_Fee_AED]]-Table1[[#This Row],[pending Revenue]]</f>
        <v>1186</v>
      </c>
    </row>
    <row r="1349" spans="1:18" x14ac:dyDescent="0.25">
      <c r="A1349" t="s">
        <v>1426</v>
      </c>
      <c r="B1349" s="2">
        <v>45618</v>
      </c>
      <c r="C1349" t="s">
        <v>106</v>
      </c>
      <c r="D1349" t="s">
        <v>107</v>
      </c>
      <c r="E1349" t="s">
        <v>26</v>
      </c>
      <c r="F1349" s="5">
        <v>3</v>
      </c>
      <c r="G1349" s="5">
        <v>1</v>
      </c>
      <c r="H1349" s="5">
        <v>5148</v>
      </c>
      <c r="I1349" s="5">
        <v>1</v>
      </c>
      <c r="J1349" s="5">
        <v>1716</v>
      </c>
      <c r="K1349" t="s">
        <v>18</v>
      </c>
      <c r="L1349" t="s">
        <v>19</v>
      </c>
      <c r="M1349" t="s">
        <v>63</v>
      </c>
      <c r="N1349" t="s">
        <v>53</v>
      </c>
      <c r="O1349" t="s">
        <v>35</v>
      </c>
      <c r="P1349" t="s">
        <v>18</v>
      </c>
      <c r="Q1349">
        <f>Table1[[#This Row],[Course_Fee_AED]]-Table1[[#This Row],[Amount_Paid_AED]]</f>
        <v>3432</v>
      </c>
      <c r="R1349">
        <f>Table1[[#This Row],[Course_Fee_AED]]-Table1[[#This Row],[pending Revenue]]</f>
        <v>1716</v>
      </c>
    </row>
    <row r="1350" spans="1:18" x14ac:dyDescent="0.25">
      <c r="A1350" t="s">
        <v>1427</v>
      </c>
      <c r="B1350" s="2">
        <v>45615</v>
      </c>
      <c r="C1350" t="s">
        <v>75</v>
      </c>
      <c r="D1350" t="s">
        <v>76</v>
      </c>
      <c r="E1350" t="s">
        <v>17</v>
      </c>
      <c r="F1350" s="5">
        <v>6</v>
      </c>
      <c r="G1350" s="5">
        <v>1</v>
      </c>
      <c r="H1350" s="5">
        <v>11812</v>
      </c>
      <c r="I1350" s="5">
        <v>1</v>
      </c>
      <c r="J1350" s="5">
        <v>3937</v>
      </c>
      <c r="K1350" t="s">
        <v>18</v>
      </c>
      <c r="L1350" t="s">
        <v>40</v>
      </c>
      <c r="M1350" t="s">
        <v>47</v>
      </c>
      <c r="N1350" t="s">
        <v>116</v>
      </c>
      <c r="O1350" t="s">
        <v>22</v>
      </c>
      <c r="P1350" t="s">
        <v>18</v>
      </c>
      <c r="Q1350">
        <f>Table1[[#This Row],[Course_Fee_AED]]-Table1[[#This Row],[Amount_Paid_AED]]</f>
        <v>7875</v>
      </c>
      <c r="R1350">
        <f>Table1[[#This Row],[Course_Fee_AED]]-Table1[[#This Row],[pending Revenue]]</f>
        <v>3937</v>
      </c>
    </row>
    <row r="1351" spans="1:18" x14ac:dyDescent="0.25">
      <c r="A1351" t="s">
        <v>1428</v>
      </c>
      <c r="B1351" s="2">
        <v>45575</v>
      </c>
      <c r="C1351" t="s">
        <v>55</v>
      </c>
      <c r="D1351" t="s">
        <v>56</v>
      </c>
      <c r="E1351" t="s">
        <v>26</v>
      </c>
      <c r="F1351" s="5">
        <v>3</v>
      </c>
      <c r="G1351" s="5">
        <v>1</v>
      </c>
      <c r="H1351" s="5">
        <v>9544</v>
      </c>
      <c r="I1351" s="5">
        <v>2</v>
      </c>
      <c r="J1351" s="5">
        <v>6362</v>
      </c>
      <c r="K1351" t="s">
        <v>18</v>
      </c>
      <c r="L1351" t="s">
        <v>40</v>
      </c>
      <c r="M1351" t="s">
        <v>27</v>
      </c>
      <c r="N1351" t="s">
        <v>79</v>
      </c>
      <c r="O1351" t="s">
        <v>68</v>
      </c>
      <c r="P1351" t="s">
        <v>18</v>
      </c>
      <c r="Q1351">
        <f>Table1[[#This Row],[Course_Fee_AED]]-Table1[[#This Row],[Amount_Paid_AED]]</f>
        <v>3182</v>
      </c>
      <c r="R1351">
        <f>Table1[[#This Row],[Course_Fee_AED]]-Table1[[#This Row],[pending Revenue]]</f>
        <v>6362</v>
      </c>
    </row>
    <row r="1352" spans="1:18" x14ac:dyDescent="0.25">
      <c r="A1352" t="s">
        <v>1429</v>
      </c>
      <c r="B1352" s="2">
        <v>45654</v>
      </c>
      <c r="C1352" t="s">
        <v>45</v>
      </c>
      <c r="D1352" t="s">
        <v>46</v>
      </c>
      <c r="E1352" t="s">
        <v>17</v>
      </c>
      <c r="F1352" s="5">
        <v>6</v>
      </c>
      <c r="G1352" s="5">
        <v>1</v>
      </c>
      <c r="H1352" s="5">
        <v>5397</v>
      </c>
      <c r="I1352" s="5">
        <v>2</v>
      </c>
      <c r="J1352" s="5">
        <v>3598</v>
      </c>
      <c r="K1352" t="s">
        <v>18</v>
      </c>
      <c r="L1352" t="s">
        <v>19</v>
      </c>
      <c r="M1352" t="s">
        <v>63</v>
      </c>
      <c r="N1352" t="s">
        <v>53</v>
      </c>
      <c r="O1352" t="s">
        <v>29</v>
      </c>
      <c r="P1352" t="s">
        <v>18</v>
      </c>
      <c r="Q1352">
        <f>Table1[[#This Row],[Course_Fee_AED]]-Table1[[#This Row],[Amount_Paid_AED]]</f>
        <v>1799</v>
      </c>
      <c r="R1352">
        <f>Table1[[#This Row],[Course_Fee_AED]]-Table1[[#This Row],[pending Revenue]]</f>
        <v>3598</v>
      </c>
    </row>
    <row r="1353" spans="1:18" x14ac:dyDescent="0.25">
      <c r="A1353" t="s">
        <v>1430</v>
      </c>
      <c r="B1353" s="2">
        <v>45604</v>
      </c>
      <c r="C1353" t="s">
        <v>38</v>
      </c>
      <c r="D1353" t="s">
        <v>39</v>
      </c>
      <c r="E1353" t="s">
        <v>26</v>
      </c>
      <c r="F1353" s="5">
        <v>3</v>
      </c>
      <c r="G1353" s="5">
        <v>1</v>
      </c>
      <c r="H1353" s="5">
        <v>6075</v>
      </c>
      <c r="I1353" s="5">
        <v>1</v>
      </c>
      <c r="J1353" s="5">
        <v>2025</v>
      </c>
      <c r="K1353" t="s">
        <v>18</v>
      </c>
      <c r="L1353" t="s">
        <v>40</v>
      </c>
      <c r="M1353" t="s">
        <v>63</v>
      </c>
      <c r="N1353" t="s">
        <v>86</v>
      </c>
      <c r="O1353" t="s">
        <v>58</v>
      </c>
      <c r="P1353" t="s">
        <v>18</v>
      </c>
      <c r="Q1353">
        <f>Table1[[#This Row],[Course_Fee_AED]]-Table1[[#This Row],[Amount_Paid_AED]]</f>
        <v>4050</v>
      </c>
      <c r="R1353">
        <f>Table1[[#This Row],[Course_Fee_AED]]-Table1[[#This Row],[pending Revenue]]</f>
        <v>2025</v>
      </c>
    </row>
    <row r="1354" spans="1:18" x14ac:dyDescent="0.25">
      <c r="A1354" t="s">
        <v>1431</v>
      </c>
      <c r="B1354" s="2">
        <v>45569</v>
      </c>
      <c r="C1354" t="s">
        <v>55</v>
      </c>
      <c r="D1354" t="s">
        <v>56</v>
      </c>
      <c r="E1354" t="s">
        <v>26</v>
      </c>
      <c r="F1354" s="5">
        <v>3</v>
      </c>
      <c r="G1354" s="5">
        <v>1</v>
      </c>
      <c r="H1354" s="5">
        <v>8867</v>
      </c>
      <c r="I1354" s="5">
        <v>1</v>
      </c>
      <c r="J1354" s="5">
        <v>2955</v>
      </c>
      <c r="K1354" t="s">
        <v>18</v>
      </c>
      <c r="L1354" t="s">
        <v>40</v>
      </c>
      <c r="M1354" t="s">
        <v>41</v>
      </c>
      <c r="N1354" t="s">
        <v>53</v>
      </c>
      <c r="O1354" t="s">
        <v>68</v>
      </c>
      <c r="P1354" t="s">
        <v>18</v>
      </c>
      <c r="Q1354">
        <f>Table1[[#This Row],[Course_Fee_AED]]-Table1[[#This Row],[Amount_Paid_AED]]</f>
        <v>5912</v>
      </c>
      <c r="R1354">
        <f>Table1[[#This Row],[Course_Fee_AED]]-Table1[[#This Row],[pending Revenue]]</f>
        <v>2955</v>
      </c>
    </row>
    <row r="1355" spans="1:18" x14ac:dyDescent="0.25">
      <c r="A1355" t="s">
        <v>1432</v>
      </c>
      <c r="B1355" s="2">
        <v>45649</v>
      </c>
      <c r="C1355" t="s">
        <v>55</v>
      </c>
      <c r="D1355" t="s">
        <v>56</v>
      </c>
      <c r="E1355" t="s">
        <v>26</v>
      </c>
      <c r="F1355" s="5">
        <v>3</v>
      </c>
      <c r="G1355" s="5">
        <v>1</v>
      </c>
      <c r="H1355" s="5">
        <v>7198</v>
      </c>
      <c r="I1355" s="5">
        <v>3</v>
      </c>
      <c r="J1355" s="5">
        <v>7197</v>
      </c>
      <c r="K1355" t="s">
        <v>18</v>
      </c>
      <c r="L1355" t="s">
        <v>40</v>
      </c>
      <c r="M1355" t="s">
        <v>60</v>
      </c>
      <c r="N1355" t="s">
        <v>90</v>
      </c>
      <c r="O1355" t="s">
        <v>71</v>
      </c>
      <c r="P1355" t="s">
        <v>36</v>
      </c>
      <c r="Q1355">
        <f>Table1[[#This Row],[Course_Fee_AED]]-Table1[[#This Row],[Amount_Paid_AED]]</f>
        <v>1</v>
      </c>
      <c r="R1355">
        <f>Table1[[#This Row],[Course_Fee_AED]]-Table1[[#This Row],[pending Revenue]]</f>
        <v>7197</v>
      </c>
    </row>
    <row r="1356" spans="1:18" x14ac:dyDescent="0.25">
      <c r="A1356" t="s">
        <v>1433</v>
      </c>
      <c r="B1356" s="2">
        <v>45341</v>
      </c>
      <c r="C1356" t="s">
        <v>51</v>
      </c>
      <c r="D1356" t="s">
        <v>52</v>
      </c>
      <c r="E1356" t="s">
        <v>17</v>
      </c>
      <c r="F1356" s="5">
        <v>6</v>
      </c>
      <c r="G1356" s="5">
        <v>1</v>
      </c>
      <c r="H1356" s="5">
        <v>4117</v>
      </c>
      <c r="I1356" s="5">
        <v>3</v>
      </c>
      <c r="J1356" s="5">
        <v>4116</v>
      </c>
      <c r="K1356" t="s">
        <v>18</v>
      </c>
      <c r="L1356" t="s">
        <v>57</v>
      </c>
      <c r="M1356" t="s">
        <v>63</v>
      </c>
      <c r="N1356" t="s">
        <v>48</v>
      </c>
      <c r="O1356" t="s">
        <v>35</v>
      </c>
      <c r="P1356" t="s">
        <v>36</v>
      </c>
      <c r="Q1356">
        <f>Table1[[#This Row],[Course_Fee_AED]]-Table1[[#This Row],[Amount_Paid_AED]]</f>
        <v>1</v>
      </c>
      <c r="R1356">
        <f>Table1[[#This Row],[Course_Fee_AED]]-Table1[[#This Row],[pending Revenue]]</f>
        <v>4116</v>
      </c>
    </row>
    <row r="1357" spans="1:18" x14ac:dyDescent="0.25">
      <c r="A1357" t="s">
        <v>1434</v>
      </c>
      <c r="B1357" s="2">
        <v>45542</v>
      </c>
      <c r="C1357" t="s">
        <v>31</v>
      </c>
      <c r="D1357" t="s">
        <v>32</v>
      </c>
      <c r="E1357" t="s">
        <v>26</v>
      </c>
      <c r="F1357" s="5">
        <v>3</v>
      </c>
      <c r="G1357" s="5">
        <v>1</v>
      </c>
      <c r="H1357" s="5">
        <v>7936</v>
      </c>
      <c r="I1357" s="5">
        <v>2</v>
      </c>
      <c r="J1357" s="5">
        <v>5290</v>
      </c>
      <c r="K1357" t="s">
        <v>18</v>
      </c>
      <c r="L1357" t="s">
        <v>57</v>
      </c>
      <c r="M1357" t="s">
        <v>27</v>
      </c>
      <c r="N1357" t="s">
        <v>154</v>
      </c>
      <c r="O1357" t="s">
        <v>68</v>
      </c>
      <c r="P1357" t="s">
        <v>36</v>
      </c>
      <c r="Q1357">
        <f>Table1[[#This Row],[Course_Fee_AED]]-Table1[[#This Row],[Amount_Paid_AED]]</f>
        <v>2646</v>
      </c>
      <c r="R1357">
        <f>Table1[[#This Row],[Course_Fee_AED]]-Table1[[#This Row],[pending Revenue]]</f>
        <v>5290</v>
      </c>
    </row>
    <row r="1358" spans="1:18" x14ac:dyDescent="0.25">
      <c r="A1358" t="s">
        <v>1435</v>
      </c>
      <c r="B1358" s="2">
        <v>45441</v>
      </c>
      <c r="C1358" t="s">
        <v>92</v>
      </c>
      <c r="D1358" t="s">
        <v>93</v>
      </c>
      <c r="E1358" t="s">
        <v>26</v>
      </c>
      <c r="F1358" s="5">
        <v>3</v>
      </c>
      <c r="G1358" s="5">
        <v>1</v>
      </c>
      <c r="H1358" s="5">
        <v>6783</v>
      </c>
      <c r="I1358" s="5">
        <v>2</v>
      </c>
      <c r="J1358" s="5">
        <v>4522</v>
      </c>
      <c r="K1358" t="s">
        <v>18</v>
      </c>
      <c r="L1358" t="s">
        <v>57</v>
      </c>
      <c r="M1358" t="s">
        <v>27</v>
      </c>
      <c r="N1358" t="s">
        <v>53</v>
      </c>
      <c r="O1358" t="s">
        <v>68</v>
      </c>
      <c r="P1358" t="s">
        <v>18</v>
      </c>
      <c r="Q1358">
        <f>Table1[[#This Row],[Course_Fee_AED]]-Table1[[#This Row],[Amount_Paid_AED]]</f>
        <v>2261</v>
      </c>
      <c r="R1358">
        <f>Table1[[#This Row],[Course_Fee_AED]]-Table1[[#This Row],[pending Revenue]]</f>
        <v>4522</v>
      </c>
    </row>
    <row r="1359" spans="1:18" x14ac:dyDescent="0.25">
      <c r="A1359" t="s">
        <v>1436</v>
      </c>
      <c r="B1359" s="2">
        <v>45650</v>
      </c>
      <c r="C1359" t="s">
        <v>24</v>
      </c>
      <c r="D1359" t="s">
        <v>25</v>
      </c>
      <c r="E1359" t="s">
        <v>17</v>
      </c>
      <c r="F1359" s="5">
        <v>6</v>
      </c>
      <c r="G1359" s="5">
        <v>1</v>
      </c>
      <c r="H1359" s="5">
        <v>5610</v>
      </c>
      <c r="I1359" s="5">
        <v>2</v>
      </c>
      <c r="J1359" s="5">
        <v>3740</v>
      </c>
      <c r="K1359" t="s">
        <v>18</v>
      </c>
      <c r="L1359" t="s">
        <v>19</v>
      </c>
      <c r="M1359" t="s">
        <v>60</v>
      </c>
      <c r="N1359" t="s">
        <v>53</v>
      </c>
      <c r="O1359" t="s">
        <v>49</v>
      </c>
      <c r="P1359" t="s">
        <v>18</v>
      </c>
      <c r="Q1359">
        <f>Table1[[#This Row],[Course_Fee_AED]]-Table1[[#This Row],[Amount_Paid_AED]]</f>
        <v>1870</v>
      </c>
      <c r="R1359">
        <f>Table1[[#This Row],[Course_Fee_AED]]-Table1[[#This Row],[pending Revenue]]</f>
        <v>3740</v>
      </c>
    </row>
    <row r="1360" spans="1:18" x14ac:dyDescent="0.25">
      <c r="A1360" t="s">
        <v>1437</v>
      </c>
      <c r="B1360" s="2">
        <v>45602</v>
      </c>
      <c r="C1360" t="s">
        <v>66</v>
      </c>
      <c r="D1360" t="s">
        <v>56</v>
      </c>
      <c r="E1360" t="s">
        <v>17</v>
      </c>
      <c r="F1360" s="5">
        <v>6</v>
      </c>
      <c r="G1360" s="5">
        <v>1</v>
      </c>
      <c r="H1360" s="5">
        <v>8558</v>
      </c>
      <c r="I1360" s="5">
        <v>1</v>
      </c>
      <c r="J1360" s="5">
        <v>2852</v>
      </c>
      <c r="K1360" t="s">
        <v>18</v>
      </c>
      <c r="L1360" t="s">
        <v>40</v>
      </c>
      <c r="M1360" t="s">
        <v>20</v>
      </c>
      <c r="N1360" t="s">
        <v>79</v>
      </c>
      <c r="O1360" t="s">
        <v>29</v>
      </c>
      <c r="P1360" t="s">
        <v>18</v>
      </c>
      <c r="Q1360">
        <f>Table1[[#This Row],[Course_Fee_AED]]-Table1[[#This Row],[Amount_Paid_AED]]</f>
        <v>5706</v>
      </c>
      <c r="R1360">
        <f>Table1[[#This Row],[Course_Fee_AED]]-Table1[[#This Row],[pending Revenue]]</f>
        <v>2852</v>
      </c>
    </row>
    <row r="1361" spans="1:18" x14ac:dyDescent="0.25">
      <c r="A1361" t="s">
        <v>1438</v>
      </c>
      <c r="B1361" s="2">
        <v>45457</v>
      </c>
      <c r="C1361" t="s">
        <v>92</v>
      </c>
      <c r="D1361" t="s">
        <v>93</v>
      </c>
      <c r="E1361" t="s">
        <v>26</v>
      </c>
      <c r="F1361" s="5">
        <v>3</v>
      </c>
      <c r="G1361" s="5">
        <v>1</v>
      </c>
      <c r="H1361" s="5">
        <v>7155</v>
      </c>
      <c r="I1361" s="5">
        <v>2</v>
      </c>
      <c r="J1361" s="5">
        <v>4770</v>
      </c>
      <c r="K1361" t="s">
        <v>18</v>
      </c>
      <c r="L1361" t="s">
        <v>19</v>
      </c>
      <c r="M1361" t="s">
        <v>27</v>
      </c>
      <c r="N1361" t="s">
        <v>42</v>
      </c>
      <c r="O1361" t="s">
        <v>68</v>
      </c>
      <c r="P1361" t="s">
        <v>18</v>
      </c>
      <c r="Q1361">
        <f>Table1[[#This Row],[Course_Fee_AED]]-Table1[[#This Row],[Amount_Paid_AED]]</f>
        <v>2385</v>
      </c>
      <c r="R1361">
        <f>Table1[[#This Row],[Course_Fee_AED]]-Table1[[#This Row],[pending Revenue]]</f>
        <v>4770</v>
      </c>
    </row>
    <row r="1362" spans="1:18" x14ac:dyDescent="0.25">
      <c r="A1362" t="s">
        <v>1439</v>
      </c>
      <c r="B1362" s="2">
        <v>45414</v>
      </c>
      <c r="C1362" t="s">
        <v>24</v>
      </c>
      <c r="D1362" t="s">
        <v>25</v>
      </c>
      <c r="E1362" t="s">
        <v>17</v>
      </c>
      <c r="F1362" s="5">
        <v>6</v>
      </c>
      <c r="G1362" s="5">
        <v>1</v>
      </c>
      <c r="H1362" s="5">
        <v>4670</v>
      </c>
      <c r="I1362" s="5">
        <v>2</v>
      </c>
      <c r="J1362" s="5">
        <v>3112</v>
      </c>
      <c r="K1362" t="s">
        <v>18</v>
      </c>
      <c r="L1362" t="s">
        <v>19</v>
      </c>
      <c r="M1362" t="s">
        <v>63</v>
      </c>
      <c r="N1362" t="s">
        <v>154</v>
      </c>
      <c r="O1362" t="s">
        <v>58</v>
      </c>
      <c r="P1362" t="s">
        <v>36</v>
      </c>
      <c r="Q1362">
        <f>Table1[[#This Row],[Course_Fee_AED]]-Table1[[#This Row],[Amount_Paid_AED]]</f>
        <v>1558</v>
      </c>
      <c r="R1362">
        <f>Table1[[#This Row],[Course_Fee_AED]]-Table1[[#This Row],[pending Revenue]]</f>
        <v>3112</v>
      </c>
    </row>
    <row r="1363" spans="1:18" x14ac:dyDescent="0.25">
      <c r="A1363" t="s">
        <v>1440</v>
      </c>
      <c r="B1363" s="2">
        <v>45376</v>
      </c>
      <c r="C1363" t="s">
        <v>66</v>
      </c>
      <c r="D1363" t="s">
        <v>56</v>
      </c>
      <c r="E1363" t="s">
        <v>17</v>
      </c>
      <c r="F1363" s="5">
        <v>6</v>
      </c>
      <c r="G1363" s="5">
        <v>1</v>
      </c>
      <c r="H1363" s="5">
        <v>11501</v>
      </c>
      <c r="I1363" s="5">
        <v>3</v>
      </c>
      <c r="J1363" s="5">
        <v>11499</v>
      </c>
      <c r="K1363" t="s">
        <v>18</v>
      </c>
      <c r="L1363" t="s">
        <v>19</v>
      </c>
      <c r="M1363" t="s">
        <v>41</v>
      </c>
      <c r="N1363" t="s">
        <v>53</v>
      </c>
      <c r="O1363" t="s">
        <v>49</v>
      </c>
      <c r="P1363" t="s">
        <v>18</v>
      </c>
      <c r="Q1363">
        <f>Table1[[#This Row],[Course_Fee_AED]]-Table1[[#This Row],[Amount_Paid_AED]]</f>
        <v>2</v>
      </c>
      <c r="R1363">
        <f>Table1[[#This Row],[Course_Fee_AED]]-Table1[[#This Row],[pending Revenue]]</f>
        <v>11499</v>
      </c>
    </row>
    <row r="1364" spans="1:18" x14ac:dyDescent="0.25">
      <c r="A1364" t="s">
        <v>1441</v>
      </c>
      <c r="B1364" s="2">
        <v>45453</v>
      </c>
      <c r="C1364" t="s">
        <v>24</v>
      </c>
      <c r="D1364" t="s">
        <v>25</v>
      </c>
      <c r="E1364" t="s">
        <v>17</v>
      </c>
      <c r="F1364" s="5">
        <v>6</v>
      </c>
      <c r="G1364" s="5">
        <v>1</v>
      </c>
      <c r="H1364" s="5">
        <v>6075</v>
      </c>
      <c r="I1364" s="5">
        <v>2</v>
      </c>
      <c r="J1364" s="5">
        <v>4050</v>
      </c>
      <c r="K1364" t="s">
        <v>18</v>
      </c>
      <c r="L1364" t="s">
        <v>57</v>
      </c>
      <c r="M1364" t="s">
        <v>41</v>
      </c>
      <c r="N1364" t="s">
        <v>61</v>
      </c>
      <c r="O1364" t="s">
        <v>58</v>
      </c>
      <c r="P1364" t="s">
        <v>18</v>
      </c>
      <c r="Q1364">
        <f>Table1[[#This Row],[Course_Fee_AED]]-Table1[[#This Row],[Amount_Paid_AED]]</f>
        <v>2025</v>
      </c>
      <c r="R1364">
        <f>Table1[[#This Row],[Course_Fee_AED]]-Table1[[#This Row],[pending Revenue]]</f>
        <v>4050</v>
      </c>
    </row>
    <row r="1365" spans="1:18" x14ac:dyDescent="0.25">
      <c r="A1365" t="s">
        <v>1442</v>
      </c>
      <c r="B1365" s="2">
        <v>45617</v>
      </c>
      <c r="C1365" t="s">
        <v>75</v>
      </c>
      <c r="D1365" t="s">
        <v>76</v>
      </c>
      <c r="E1365" t="s">
        <v>17</v>
      </c>
      <c r="F1365" s="5">
        <v>6</v>
      </c>
      <c r="G1365" s="5">
        <v>1</v>
      </c>
      <c r="H1365" s="5">
        <v>11354</v>
      </c>
      <c r="I1365" s="5">
        <v>1</v>
      </c>
      <c r="J1365" s="5">
        <v>3784</v>
      </c>
      <c r="K1365" t="s">
        <v>18</v>
      </c>
      <c r="L1365" t="s">
        <v>40</v>
      </c>
      <c r="M1365" t="s">
        <v>47</v>
      </c>
      <c r="N1365" t="s">
        <v>90</v>
      </c>
      <c r="O1365" t="s">
        <v>35</v>
      </c>
      <c r="P1365" t="s">
        <v>18</v>
      </c>
      <c r="Q1365">
        <f>Table1[[#This Row],[Course_Fee_AED]]-Table1[[#This Row],[Amount_Paid_AED]]</f>
        <v>7570</v>
      </c>
      <c r="R1365">
        <f>Table1[[#This Row],[Course_Fee_AED]]-Table1[[#This Row],[pending Revenue]]</f>
        <v>3784</v>
      </c>
    </row>
    <row r="1366" spans="1:18" x14ac:dyDescent="0.25">
      <c r="A1366" t="s">
        <v>1443</v>
      </c>
      <c r="B1366" s="2">
        <v>45512</v>
      </c>
      <c r="C1366" t="s">
        <v>82</v>
      </c>
      <c r="D1366" t="s">
        <v>83</v>
      </c>
      <c r="E1366" t="s">
        <v>17</v>
      </c>
      <c r="F1366" s="5">
        <v>6</v>
      </c>
      <c r="G1366" s="5">
        <v>1</v>
      </c>
      <c r="H1366" s="5">
        <v>8248</v>
      </c>
      <c r="I1366" s="5">
        <v>2</v>
      </c>
      <c r="J1366" s="5">
        <v>5498</v>
      </c>
      <c r="K1366" t="s">
        <v>18</v>
      </c>
      <c r="L1366" t="s">
        <v>57</v>
      </c>
      <c r="M1366" t="s">
        <v>20</v>
      </c>
      <c r="N1366" t="s">
        <v>90</v>
      </c>
      <c r="O1366" t="s">
        <v>58</v>
      </c>
      <c r="P1366" t="s">
        <v>36</v>
      </c>
      <c r="Q1366">
        <f>Table1[[#This Row],[Course_Fee_AED]]-Table1[[#This Row],[Amount_Paid_AED]]</f>
        <v>2750</v>
      </c>
      <c r="R1366">
        <f>Table1[[#This Row],[Course_Fee_AED]]-Table1[[#This Row],[pending Revenue]]</f>
        <v>5498</v>
      </c>
    </row>
    <row r="1367" spans="1:18" x14ac:dyDescent="0.25">
      <c r="A1367" t="s">
        <v>1444</v>
      </c>
      <c r="B1367" s="2">
        <v>45310</v>
      </c>
      <c r="C1367" t="s">
        <v>100</v>
      </c>
      <c r="D1367" t="s">
        <v>101</v>
      </c>
      <c r="E1367" t="s">
        <v>26</v>
      </c>
      <c r="F1367" s="5">
        <v>3</v>
      </c>
      <c r="G1367" s="5">
        <v>1</v>
      </c>
      <c r="H1367" s="5">
        <v>4570</v>
      </c>
      <c r="I1367" s="5">
        <v>3</v>
      </c>
      <c r="J1367" s="5">
        <v>4569</v>
      </c>
      <c r="K1367" t="s">
        <v>18</v>
      </c>
      <c r="L1367" t="s">
        <v>40</v>
      </c>
      <c r="M1367" t="s">
        <v>63</v>
      </c>
      <c r="N1367" t="s">
        <v>90</v>
      </c>
      <c r="O1367" t="s">
        <v>58</v>
      </c>
      <c r="P1367" t="s">
        <v>36</v>
      </c>
      <c r="Q1367">
        <f>Table1[[#This Row],[Course_Fee_AED]]-Table1[[#This Row],[Amount_Paid_AED]]</f>
        <v>1</v>
      </c>
      <c r="R1367">
        <f>Table1[[#This Row],[Course_Fee_AED]]-Table1[[#This Row],[pending Revenue]]</f>
        <v>4569</v>
      </c>
    </row>
    <row r="1368" spans="1:18" x14ac:dyDescent="0.25">
      <c r="A1368" t="s">
        <v>1445</v>
      </c>
      <c r="B1368" s="2">
        <v>45657</v>
      </c>
      <c r="C1368" t="s">
        <v>38</v>
      </c>
      <c r="D1368" t="s">
        <v>39</v>
      </c>
      <c r="E1368" t="s">
        <v>26</v>
      </c>
      <c r="F1368" s="5">
        <v>3</v>
      </c>
      <c r="G1368" s="5">
        <v>1</v>
      </c>
      <c r="H1368" s="5">
        <v>4514</v>
      </c>
      <c r="I1368" s="5">
        <v>1</v>
      </c>
      <c r="J1368" s="5">
        <v>1504</v>
      </c>
      <c r="K1368" t="s">
        <v>18</v>
      </c>
      <c r="L1368" t="s">
        <v>19</v>
      </c>
      <c r="M1368" t="s">
        <v>41</v>
      </c>
      <c r="N1368" t="s">
        <v>116</v>
      </c>
      <c r="O1368" t="s">
        <v>22</v>
      </c>
      <c r="P1368" t="s">
        <v>36</v>
      </c>
      <c r="Q1368">
        <f>Table1[[#This Row],[Course_Fee_AED]]-Table1[[#This Row],[Amount_Paid_AED]]</f>
        <v>3010</v>
      </c>
      <c r="R1368">
        <f>Table1[[#This Row],[Course_Fee_AED]]-Table1[[#This Row],[pending Revenue]]</f>
        <v>1504</v>
      </c>
    </row>
    <row r="1369" spans="1:18" x14ac:dyDescent="0.25">
      <c r="A1369" t="s">
        <v>1446</v>
      </c>
      <c r="B1369" s="2">
        <v>45461</v>
      </c>
      <c r="C1369" t="s">
        <v>66</v>
      </c>
      <c r="D1369" t="s">
        <v>56</v>
      </c>
      <c r="E1369" t="s">
        <v>17</v>
      </c>
      <c r="F1369" s="5">
        <v>6</v>
      </c>
      <c r="G1369" s="5">
        <v>1</v>
      </c>
      <c r="H1369" s="5">
        <v>8717</v>
      </c>
      <c r="I1369" s="5">
        <v>2</v>
      </c>
      <c r="J1369" s="5">
        <v>5810</v>
      </c>
      <c r="K1369" t="s">
        <v>18</v>
      </c>
      <c r="L1369" t="s">
        <v>19</v>
      </c>
      <c r="M1369" t="s">
        <v>41</v>
      </c>
      <c r="N1369" t="s">
        <v>48</v>
      </c>
      <c r="O1369" t="s">
        <v>49</v>
      </c>
      <c r="P1369" t="s">
        <v>18</v>
      </c>
      <c r="Q1369">
        <f>Table1[[#This Row],[Course_Fee_AED]]-Table1[[#This Row],[Amount_Paid_AED]]</f>
        <v>2907</v>
      </c>
      <c r="R1369">
        <f>Table1[[#This Row],[Course_Fee_AED]]-Table1[[#This Row],[pending Revenue]]</f>
        <v>5810</v>
      </c>
    </row>
    <row r="1370" spans="1:18" x14ac:dyDescent="0.25">
      <c r="A1370" t="s">
        <v>1447</v>
      </c>
      <c r="B1370" s="2">
        <v>45475</v>
      </c>
      <c r="C1370" t="s">
        <v>82</v>
      </c>
      <c r="D1370" t="s">
        <v>83</v>
      </c>
      <c r="E1370" t="s">
        <v>26</v>
      </c>
      <c r="F1370" s="5">
        <v>3</v>
      </c>
      <c r="G1370" s="5">
        <v>1</v>
      </c>
      <c r="H1370" s="5">
        <v>10056</v>
      </c>
      <c r="I1370" s="5">
        <v>1</v>
      </c>
      <c r="J1370" s="5">
        <v>3352</v>
      </c>
      <c r="K1370" t="s">
        <v>18</v>
      </c>
      <c r="L1370" t="s">
        <v>19</v>
      </c>
      <c r="M1370" t="s">
        <v>20</v>
      </c>
      <c r="N1370" t="s">
        <v>21</v>
      </c>
      <c r="O1370" t="s">
        <v>58</v>
      </c>
      <c r="P1370" t="s">
        <v>36</v>
      </c>
      <c r="Q1370">
        <f>Table1[[#This Row],[Course_Fee_AED]]-Table1[[#This Row],[Amount_Paid_AED]]</f>
        <v>6704</v>
      </c>
      <c r="R1370">
        <f>Table1[[#This Row],[Course_Fee_AED]]-Table1[[#This Row],[pending Revenue]]</f>
        <v>3352</v>
      </c>
    </row>
    <row r="1371" spans="1:18" x14ac:dyDescent="0.25">
      <c r="A1371" t="s">
        <v>1448</v>
      </c>
      <c r="B1371" s="2">
        <v>45556</v>
      </c>
      <c r="C1371" t="s">
        <v>45</v>
      </c>
      <c r="D1371" t="s">
        <v>46</v>
      </c>
      <c r="E1371" t="s">
        <v>26</v>
      </c>
      <c r="F1371" s="5">
        <v>3</v>
      </c>
      <c r="G1371" s="5">
        <v>1</v>
      </c>
      <c r="H1371" s="5">
        <v>5640</v>
      </c>
      <c r="I1371" s="5">
        <v>3</v>
      </c>
      <c r="J1371" s="5">
        <v>5640</v>
      </c>
      <c r="K1371" t="s">
        <v>33</v>
      </c>
      <c r="L1371" t="s">
        <v>40</v>
      </c>
      <c r="M1371" t="s">
        <v>47</v>
      </c>
      <c r="N1371" t="s">
        <v>79</v>
      </c>
      <c r="O1371" t="s">
        <v>58</v>
      </c>
      <c r="P1371" t="s">
        <v>36</v>
      </c>
      <c r="Q1371">
        <f>Table1[[#This Row],[Course_Fee_AED]]-Table1[[#This Row],[Amount_Paid_AED]]</f>
        <v>0</v>
      </c>
      <c r="R1371">
        <f>Table1[[#This Row],[Course_Fee_AED]]-Table1[[#This Row],[pending Revenue]]</f>
        <v>5640</v>
      </c>
    </row>
    <row r="1372" spans="1:18" x14ac:dyDescent="0.25">
      <c r="A1372" t="s">
        <v>1449</v>
      </c>
      <c r="B1372" s="2">
        <v>45304</v>
      </c>
      <c r="C1372" t="s">
        <v>15</v>
      </c>
      <c r="D1372" t="s">
        <v>16</v>
      </c>
      <c r="E1372" t="s">
        <v>26</v>
      </c>
      <c r="F1372" s="5">
        <v>3</v>
      </c>
      <c r="G1372" s="5">
        <v>1</v>
      </c>
      <c r="H1372" s="5">
        <v>7760</v>
      </c>
      <c r="I1372" s="5">
        <v>3</v>
      </c>
      <c r="J1372" s="5">
        <v>7758</v>
      </c>
      <c r="K1372" t="s">
        <v>18</v>
      </c>
      <c r="L1372" t="s">
        <v>40</v>
      </c>
      <c r="M1372" t="s">
        <v>41</v>
      </c>
      <c r="N1372" t="s">
        <v>79</v>
      </c>
      <c r="O1372" t="s">
        <v>35</v>
      </c>
      <c r="P1372" t="s">
        <v>36</v>
      </c>
      <c r="Q1372">
        <f>Table1[[#This Row],[Course_Fee_AED]]-Table1[[#This Row],[Amount_Paid_AED]]</f>
        <v>2</v>
      </c>
      <c r="R1372">
        <f>Table1[[#This Row],[Course_Fee_AED]]-Table1[[#This Row],[pending Revenue]]</f>
        <v>7758</v>
      </c>
    </row>
    <row r="1373" spans="1:18" x14ac:dyDescent="0.25">
      <c r="A1373" t="s">
        <v>1450</v>
      </c>
      <c r="B1373" s="2">
        <v>45549</v>
      </c>
      <c r="C1373" t="s">
        <v>100</v>
      </c>
      <c r="D1373" t="s">
        <v>101</v>
      </c>
      <c r="E1373" t="s">
        <v>26</v>
      </c>
      <c r="F1373" s="5">
        <v>3</v>
      </c>
      <c r="G1373" s="5">
        <v>1</v>
      </c>
      <c r="H1373" s="5">
        <v>5962</v>
      </c>
      <c r="I1373" s="5">
        <v>3</v>
      </c>
      <c r="J1373" s="5">
        <v>5961</v>
      </c>
      <c r="K1373" t="s">
        <v>18</v>
      </c>
      <c r="L1373" t="s">
        <v>19</v>
      </c>
      <c r="M1373" t="s">
        <v>27</v>
      </c>
      <c r="N1373" t="s">
        <v>73</v>
      </c>
      <c r="O1373" t="s">
        <v>58</v>
      </c>
      <c r="P1373" t="s">
        <v>36</v>
      </c>
      <c r="Q1373">
        <f>Table1[[#This Row],[Course_Fee_AED]]-Table1[[#This Row],[Amount_Paid_AED]]</f>
        <v>1</v>
      </c>
      <c r="R1373">
        <f>Table1[[#This Row],[Course_Fee_AED]]-Table1[[#This Row],[pending Revenue]]</f>
        <v>5961</v>
      </c>
    </row>
    <row r="1374" spans="1:18" x14ac:dyDescent="0.25">
      <c r="A1374" t="s">
        <v>1451</v>
      </c>
      <c r="B1374" s="2">
        <v>45294</v>
      </c>
      <c r="C1374" t="s">
        <v>24</v>
      </c>
      <c r="D1374" t="s">
        <v>25</v>
      </c>
      <c r="E1374" t="s">
        <v>17</v>
      </c>
      <c r="F1374" s="5">
        <v>6</v>
      </c>
      <c r="G1374" s="5">
        <v>1</v>
      </c>
      <c r="H1374" s="5">
        <v>4513</v>
      </c>
      <c r="I1374" s="5">
        <v>3</v>
      </c>
      <c r="J1374" s="5">
        <v>4512</v>
      </c>
      <c r="K1374" t="s">
        <v>18</v>
      </c>
      <c r="L1374" t="s">
        <v>19</v>
      </c>
      <c r="M1374" t="s">
        <v>63</v>
      </c>
      <c r="N1374" t="s">
        <v>79</v>
      </c>
      <c r="O1374" t="s">
        <v>71</v>
      </c>
      <c r="P1374" t="s">
        <v>18</v>
      </c>
      <c r="Q1374">
        <f>Table1[[#This Row],[Course_Fee_AED]]-Table1[[#This Row],[Amount_Paid_AED]]</f>
        <v>1</v>
      </c>
      <c r="R1374">
        <f>Table1[[#This Row],[Course_Fee_AED]]-Table1[[#This Row],[pending Revenue]]</f>
        <v>4512</v>
      </c>
    </row>
    <row r="1375" spans="1:18" x14ac:dyDescent="0.25">
      <c r="A1375" t="s">
        <v>1452</v>
      </c>
      <c r="B1375" s="2">
        <v>45498</v>
      </c>
      <c r="C1375" t="s">
        <v>75</v>
      </c>
      <c r="D1375" t="s">
        <v>76</v>
      </c>
      <c r="E1375" t="s">
        <v>26</v>
      </c>
      <c r="F1375" s="5">
        <v>3</v>
      </c>
      <c r="G1375" s="5">
        <v>1</v>
      </c>
      <c r="H1375" s="5">
        <v>14799</v>
      </c>
      <c r="I1375" s="5">
        <v>3</v>
      </c>
      <c r="J1375" s="5">
        <v>14799</v>
      </c>
      <c r="K1375" t="s">
        <v>33</v>
      </c>
      <c r="L1375" t="s">
        <v>40</v>
      </c>
      <c r="M1375" t="s">
        <v>41</v>
      </c>
      <c r="N1375" t="s">
        <v>116</v>
      </c>
      <c r="O1375" t="s">
        <v>49</v>
      </c>
      <c r="P1375" t="s">
        <v>36</v>
      </c>
      <c r="Q1375">
        <f>Table1[[#This Row],[Course_Fee_AED]]-Table1[[#This Row],[Amount_Paid_AED]]</f>
        <v>0</v>
      </c>
      <c r="R1375">
        <f>Table1[[#This Row],[Course_Fee_AED]]-Table1[[#This Row],[pending Revenue]]</f>
        <v>14799</v>
      </c>
    </row>
    <row r="1376" spans="1:18" x14ac:dyDescent="0.25">
      <c r="A1376" t="s">
        <v>1453</v>
      </c>
      <c r="B1376" s="2">
        <v>45626</v>
      </c>
      <c r="C1376" t="s">
        <v>66</v>
      </c>
      <c r="D1376" t="s">
        <v>56</v>
      </c>
      <c r="E1376" t="s">
        <v>17</v>
      </c>
      <c r="F1376" s="5">
        <v>6</v>
      </c>
      <c r="G1376" s="5">
        <v>1</v>
      </c>
      <c r="H1376" s="5">
        <v>8317</v>
      </c>
      <c r="I1376" s="5">
        <v>2</v>
      </c>
      <c r="J1376" s="5">
        <v>5544</v>
      </c>
      <c r="K1376" t="s">
        <v>18</v>
      </c>
      <c r="L1376" t="s">
        <v>19</v>
      </c>
      <c r="M1376" t="s">
        <v>27</v>
      </c>
      <c r="N1376" t="s">
        <v>73</v>
      </c>
      <c r="O1376" t="s">
        <v>68</v>
      </c>
      <c r="P1376" t="s">
        <v>36</v>
      </c>
      <c r="Q1376">
        <f>Table1[[#This Row],[Course_Fee_AED]]-Table1[[#This Row],[Amount_Paid_AED]]</f>
        <v>2773</v>
      </c>
      <c r="R1376">
        <f>Table1[[#This Row],[Course_Fee_AED]]-Table1[[#This Row],[pending Revenue]]</f>
        <v>5544</v>
      </c>
    </row>
    <row r="1377" spans="1:18" x14ac:dyDescent="0.25">
      <c r="A1377" t="s">
        <v>1454</v>
      </c>
      <c r="B1377" s="2">
        <v>45568</v>
      </c>
      <c r="C1377" t="s">
        <v>92</v>
      </c>
      <c r="D1377" t="s">
        <v>93</v>
      </c>
      <c r="E1377" t="s">
        <v>17</v>
      </c>
      <c r="F1377" s="5">
        <v>6</v>
      </c>
      <c r="G1377" s="5">
        <v>1</v>
      </c>
      <c r="H1377" s="5">
        <v>7965</v>
      </c>
      <c r="I1377" s="5">
        <v>2</v>
      </c>
      <c r="J1377" s="5">
        <v>5310</v>
      </c>
      <c r="K1377" t="s">
        <v>18</v>
      </c>
      <c r="L1377" t="s">
        <v>40</v>
      </c>
      <c r="M1377" t="s">
        <v>27</v>
      </c>
      <c r="N1377" t="s">
        <v>73</v>
      </c>
      <c r="O1377" t="s">
        <v>87</v>
      </c>
      <c r="P1377" t="s">
        <v>18</v>
      </c>
      <c r="Q1377">
        <f>Table1[[#This Row],[Course_Fee_AED]]-Table1[[#This Row],[Amount_Paid_AED]]</f>
        <v>2655</v>
      </c>
      <c r="R1377">
        <f>Table1[[#This Row],[Course_Fee_AED]]-Table1[[#This Row],[pending Revenue]]</f>
        <v>5310</v>
      </c>
    </row>
    <row r="1378" spans="1:18" x14ac:dyDescent="0.25">
      <c r="A1378" t="s">
        <v>1455</v>
      </c>
      <c r="B1378" s="2">
        <v>45419</v>
      </c>
      <c r="C1378" t="s">
        <v>55</v>
      </c>
      <c r="D1378" t="s">
        <v>56</v>
      </c>
      <c r="E1378" t="s">
        <v>26</v>
      </c>
      <c r="F1378" s="5">
        <v>3</v>
      </c>
      <c r="G1378" s="5">
        <v>1</v>
      </c>
      <c r="H1378" s="5">
        <v>9580</v>
      </c>
      <c r="I1378" s="5">
        <v>1</v>
      </c>
      <c r="J1378" s="5">
        <v>3193</v>
      </c>
      <c r="K1378" t="s">
        <v>18</v>
      </c>
      <c r="L1378" t="s">
        <v>19</v>
      </c>
      <c r="M1378" t="s">
        <v>20</v>
      </c>
      <c r="N1378" t="s">
        <v>42</v>
      </c>
      <c r="O1378" t="s">
        <v>64</v>
      </c>
      <c r="P1378" t="s">
        <v>18</v>
      </c>
      <c r="Q1378">
        <f>Table1[[#This Row],[Course_Fee_AED]]-Table1[[#This Row],[Amount_Paid_AED]]</f>
        <v>6387</v>
      </c>
      <c r="R1378">
        <f>Table1[[#This Row],[Course_Fee_AED]]-Table1[[#This Row],[pending Revenue]]</f>
        <v>3193</v>
      </c>
    </row>
    <row r="1379" spans="1:18" x14ac:dyDescent="0.25">
      <c r="A1379" t="s">
        <v>1456</v>
      </c>
      <c r="B1379" s="2">
        <v>45580</v>
      </c>
      <c r="C1379" t="s">
        <v>106</v>
      </c>
      <c r="D1379" t="s">
        <v>107</v>
      </c>
      <c r="E1379" t="s">
        <v>26</v>
      </c>
      <c r="F1379" s="5">
        <v>3</v>
      </c>
      <c r="G1379" s="5">
        <v>1</v>
      </c>
      <c r="H1379" s="5">
        <v>5794</v>
      </c>
      <c r="I1379" s="5">
        <v>3</v>
      </c>
      <c r="J1379" s="5">
        <v>5793</v>
      </c>
      <c r="K1379" t="s">
        <v>18</v>
      </c>
      <c r="L1379" t="s">
        <v>40</v>
      </c>
      <c r="M1379" t="s">
        <v>63</v>
      </c>
      <c r="N1379" t="s">
        <v>90</v>
      </c>
      <c r="O1379" t="s">
        <v>22</v>
      </c>
      <c r="P1379" t="s">
        <v>36</v>
      </c>
      <c r="Q1379">
        <f>Table1[[#This Row],[Course_Fee_AED]]-Table1[[#This Row],[Amount_Paid_AED]]</f>
        <v>1</v>
      </c>
      <c r="R1379">
        <f>Table1[[#This Row],[Course_Fee_AED]]-Table1[[#This Row],[pending Revenue]]</f>
        <v>5793</v>
      </c>
    </row>
    <row r="1380" spans="1:18" x14ac:dyDescent="0.25">
      <c r="A1380" t="s">
        <v>1457</v>
      </c>
      <c r="B1380" s="2">
        <v>45445</v>
      </c>
      <c r="C1380" t="s">
        <v>75</v>
      </c>
      <c r="D1380" t="s">
        <v>76</v>
      </c>
      <c r="E1380" t="s">
        <v>26</v>
      </c>
      <c r="F1380" s="5">
        <v>3</v>
      </c>
      <c r="G1380" s="5">
        <v>1</v>
      </c>
      <c r="H1380" s="5">
        <v>11800</v>
      </c>
      <c r="I1380" s="5">
        <v>1</v>
      </c>
      <c r="J1380" s="5">
        <v>3933</v>
      </c>
      <c r="K1380" t="s">
        <v>18</v>
      </c>
      <c r="L1380" t="s">
        <v>40</v>
      </c>
      <c r="M1380" t="s">
        <v>60</v>
      </c>
      <c r="N1380" t="s">
        <v>21</v>
      </c>
      <c r="O1380" t="s">
        <v>22</v>
      </c>
      <c r="P1380" t="s">
        <v>36</v>
      </c>
      <c r="Q1380">
        <f>Table1[[#This Row],[Course_Fee_AED]]-Table1[[#This Row],[Amount_Paid_AED]]</f>
        <v>7867</v>
      </c>
      <c r="R1380">
        <f>Table1[[#This Row],[Course_Fee_AED]]-Table1[[#This Row],[pending Revenue]]</f>
        <v>3933</v>
      </c>
    </row>
    <row r="1381" spans="1:18" x14ac:dyDescent="0.25">
      <c r="A1381" t="s">
        <v>1458</v>
      </c>
      <c r="B1381" s="2">
        <v>45458</v>
      </c>
      <c r="C1381" t="s">
        <v>113</v>
      </c>
      <c r="D1381" t="s">
        <v>93</v>
      </c>
      <c r="E1381" t="s">
        <v>26</v>
      </c>
      <c r="F1381" s="5">
        <v>3</v>
      </c>
      <c r="G1381" s="5">
        <v>1</v>
      </c>
      <c r="H1381" s="5">
        <v>3267</v>
      </c>
      <c r="I1381" s="5">
        <v>3</v>
      </c>
      <c r="J1381" s="5">
        <v>3267</v>
      </c>
      <c r="K1381" t="s">
        <v>33</v>
      </c>
      <c r="L1381" t="s">
        <v>19</v>
      </c>
      <c r="M1381" t="s">
        <v>47</v>
      </c>
      <c r="N1381" t="s">
        <v>116</v>
      </c>
      <c r="O1381" t="s">
        <v>87</v>
      </c>
      <c r="P1381" t="s">
        <v>18</v>
      </c>
      <c r="Q1381">
        <f>Table1[[#This Row],[Course_Fee_AED]]-Table1[[#This Row],[Amount_Paid_AED]]</f>
        <v>0</v>
      </c>
      <c r="R1381">
        <f>Table1[[#This Row],[Course_Fee_AED]]-Table1[[#This Row],[pending Revenue]]</f>
        <v>3267</v>
      </c>
    </row>
    <row r="1382" spans="1:18" x14ac:dyDescent="0.25">
      <c r="A1382" t="s">
        <v>1459</v>
      </c>
      <c r="B1382" s="2">
        <v>45573</v>
      </c>
      <c r="C1382" t="s">
        <v>66</v>
      </c>
      <c r="D1382" t="s">
        <v>56</v>
      </c>
      <c r="E1382" t="s">
        <v>26</v>
      </c>
      <c r="F1382" s="5">
        <v>3</v>
      </c>
      <c r="G1382" s="5">
        <v>1</v>
      </c>
      <c r="H1382" s="5">
        <v>11425</v>
      </c>
      <c r="I1382" s="5">
        <v>3</v>
      </c>
      <c r="J1382" s="5">
        <v>11424</v>
      </c>
      <c r="K1382" t="s">
        <v>18</v>
      </c>
      <c r="L1382" t="s">
        <v>40</v>
      </c>
      <c r="M1382" t="s">
        <v>47</v>
      </c>
      <c r="N1382" t="s">
        <v>48</v>
      </c>
      <c r="O1382" t="s">
        <v>43</v>
      </c>
      <c r="P1382" t="s">
        <v>18</v>
      </c>
      <c r="Q1382">
        <f>Table1[[#This Row],[Course_Fee_AED]]-Table1[[#This Row],[Amount_Paid_AED]]</f>
        <v>1</v>
      </c>
      <c r="R1382">
        <f>Table1[[#This Row],[Course_Fee_AED]]-Table1[[#This Row],[pending Revenue]]</f>
        <v>11424</v>
      </c>
    </row>
    <row r="1383" spans="1:18" x14ac:dyDescent="0.25">
      <c r="A1383" t="s">
        <v>1460</v>
      </c>
      <c r="B1383" s="2">
        <v>45371</v>
      </c>
      <c r="C1383" t="s">
        <v>38</v>
      </c>
      <c r="D1383" t="s">
        <v>39</v>
      </c>
      <c r="E1383" t="s">
        <v>17</v>
      </c>
      <c r="F1383" s="5">
        <v>6</v>
      </c>
      <c r="G1383" s="5">
        <v>1</v>
      </c>
      <c r="H1383" s="5">
        <v>7413</v>
      </c>
      <c r="I1383" s="5">
        <v>2</v>
      </c>
      <c r="J1383" s="5">
        <v>4942</v>
      </c>
      <c r="K1383" t="s">
        <v>18</v>
      </c>
      <c r="L1383" t="s">
        <v>19</v>
      </c>
      <c r="M1383" t="s">
        <v>27</v>
      </c>
      <c r="N1383" t="s">
        <v>53</v>
      </c>
      <c r="O1383" t="s">
        <v>22</v>
      </c>
      <c r="P1383" t="s">
        <v>36</v>
      </c>
      <c r="Q1383">
        <f>Table1[[#This Row],[Course_Fee_AED]]-Table1[[#This Row],[Amount_Paid_AED]]</f>
        <v>2471</v>
      </c>
      <c r="R1383">
        <f>Table1[[#This Row],[Course_Fee_AED]]-Table1[[#This Row],[pending Revenue]]</f>
        <v>4942</v>
      </c>
    </row>
    <row r="1384" spans="1:18" x14ac:dyDescent="0.25">
      <c r="A1384" t="s">
        <v>1461</v>
      </c>
      <c r="B1384" s="2">
        <v>45354</v>
      </c>
      <c r="C1384" t="s">
        <v>92</v>
      </c>
      <c r="D1384" t="s">
        <v>93</v>
      </c>
      <c r="E1384" t="s">
        <v>26</v>
      </c>
      <c r="F1384" s="5">
        <v>3</v>
      </c>
      <c r="G1384" s="5">
        <v>1</v>
      </c>
      <c r="H1384" s="5">
        <v>7663</v>
      </c>
      <c r="I1384" s="5">
        <v>1</v>
      </c>
      <c r="J1384" s="5">
        <v>2554</v>
      </c>
      <c r="K1384" t="s">
        <v>18</v>
      </c>
      <c r="L1384" t="s">
        <v>57</v>
      </c>
      <c r="M1384" t="s">
        <v>20</v>
      </c>
      <c r="N1384" t="s">
        <v>154</v>
      </c>
      <c r="O1384" t="s">
        <v>68</v>
      </c>
      <c r="P1384" t="s">
        <v>18</v>
      </c>
      <c r="Q1384">
        <f>Table1[[#This Row],[Course_Fee_AED]]-Table1[[#This Row],[Amount_Paid_AED]]</f>
        <v>5109</v>
      </c>
      <c r="R1384">
        <f>Table1[[#This Row],[Course_Fee_AED]]-Table1[[#This Row],[pending Revenue]]</f>
        <v>2554</v>
      </c>
    </row>
    <row r="1385" spans="1:18" x14ac:dyDescent="0.25">
      <c r="A1385" t="s">
        <v>1462</v>
      </c>
      <c r="B1385" s="2">
        <v>45413</v>
      </c>
      <c r="C1385" t="s">
        <v>51</v>
      </c>
      <c r="D1385" t="s">
        <v>52</v>
      </c>
      <c r="E1385" t="s">
        <v>17</v>
      </c>
      <c r="F1385" s="5">
        <v>6</v>
      </c>
      <c r="G1385" s="5">
        <v>1</v>
      </c>
      <c r="H1385" s="5">
        <v>5502</v>
      </c>
      <c r="I1385" s="5">
        <v>2</v>
      </c>
      <c r="J1385" s="5">
        <v>3668</v>
      </c>
      <c r="K1385" t="s">
        <v>18</v>
      </c>
      <c r="L1385" t="s">
        <v>57</v>
      </c>
      <c r="M1385" t="s">
        <v>20</v>
      </c>
      <c r="N1385" t="s">
        <v>79</v>
      </c>
      <c r="O1385" t="s">
        <v>43</v>
      </c>
      <c r="P1385" t="s">
        <v>18</v>
      </c>
      <c r="Q1385">
        <f>Table1[[#This Row],[Course_Fee_AED]]-Table1[[#This Row],[Amount_Paid_AED]]</f>
        <v>1834</v>
      </c>
      <c r="R1385">
        <f>Table1[[#This Row],[Course_Fee_AED]]-Table1[[#This Row],[pending Revenue]]</f>
        <v>3668</v>
      </c>
    </row>
    <row r="1386" spans="1:18" x14ac:dyDescent="0.25">
      <c r="A1386" t="s">
        <v>1463</v>
      </c>
      <c r="B1386" s="2">
        <v>45515</v>
      </c>
      <c r="C1386" t="s">
        <v>51</v>
      </c>
      <c r="D1386" t="s">
        <v>52</v>
      </c>
      <c r="E1386" t="s">
        <v>26</v>
      </c>
      <c r="F1386" s="5">
        <v>3</v>
      </c>
      <c r="G1386" s="5">
        <v>1</v>
      </c>
      <c r="H1386" s="5">
        <v>5051</v>
      </c>
      <c r="I1386" s="5">
        <v>2</v>
      </c>
      <c r="J1386" s="5">
        <v>3366</v>
      </c>
      <c r="K1386" t="s">
        <v>18</v>
      </c>
      <c r="L1386" t="s">
        <v>19</v>
      </c>
      <c r="M1386" t="s">
        <v>27</v>
      </c>
      <c r="N1386" t="s">
        <v>116</v>
      </c>
      <c r="O1386" t="s">
        <v>64</v>
      </c>
      <c r="P1386" t="s">
        <v>18</v>
      </c>
      <c r="Q1386">
        <f>Table1[[#This Row],[Course_Fee_AED]]-Table1[[#This Row],[Amount_Paid_AED]]</f>
        <v>1685</v>
      </c>
      <c r="R1386">
        <f>Table1[[#This Row],[Course_Fee_AED]]-Table1[[#This Row],[pending Revenue]]</f>
        <v>3366</v>
      </c>
    </row>
    <row r="1387" spans="1:18" x14ac:dyDescent="0.25">
      <c r="A1387" t="s">
        <v>1464</v>
      </c>
      <c r="B1387" s="2">
        <v>45365</v>
      </c>
      <c r="C1387" t="s">
        <v>92</v>
      </c>
      <c r="D1387" t="s">
        <v>93</v>
      </c>
      <c r="E1387" t="s">
        <v>26</v>
      </c>
      <c r="F1387" s="5">
        <v>3</v>
      </c>
      <c r="G1387" s="5">
        <v>1</v>
      </c>
      <c r="H1387" s="5">
        <v>7560</v>
      </c>
      <c r="I1387" s="5">
        <v>3</v>
      </c>
      <c r="J1387" s="5">
        <v>7560</v>
      </c>
      <c r="K1387" t="s">
        <v>33</v>
      </c>
      <c r="L1387" t="s">
        <v>57</v>
      </c>
      <c r="M1387" t="s">
        <v>60</v>
      </c>
      <c r="N1387" t="s">
        <v>73</v>
      </c>
      <c r="O1387" t="s">
        <v>35</v>
      </c>
      <c r="P1387" t="s">
        <v>36</v>
      </c>
      <c r="Q1387">
        <f>Table1[[#This Row],[Course_Fee_AED]]-Table1[[#This Row],[Amount_Paid_AED]]</f>
        <v>0</v>
      </c>
      <c r="R1387">
        <f>Table1[[#This Row],[Course_Fee_AED]]-Table1[[#This Row],[pending Revenue]]</f>
        <v>7560</v>
      </c>
    </row>
    <row r="1388" spans="1:18" x14ac:dyDescent="0.25">
      <c r="A1388" t="s">
        <v>1465</v>
      </c>
      <c r="B1388" s="2">
        <v>45576</v>
      </c>
      <c r="C1388" t="s">
        <v>45</v>
      </c>
      <c r="D1388" t="s">
        <v>46</v>
      </c>
      <c r="E1388" t="s">
        <v>26</v>
      </c>
      <c r="F1388" s="5">
        <v>3</v>
      </c>
      <c r="G1388" s="5">
        <v>1</v>
      </c>
      <c r="H1388" s="5">
        <v>6968</v>
      </c>
      <c r="I1388" s="5">
        <v>1</v>
      </c>
      <c r="J1388" s="5">
        <v>2322</v>
      </c>
      <c r="K1388" t="s">
        <v>18</v>
      </c>
      <c r="L1388" t="s">
        <v>19</v>
      </c>
      <c r="M1388" t="s">
        <v>27</v>
      </c>
      <c r="N1388" t="s">
        <v>61</v>
      </c>
      <c r="O1388" t="s">
        <v>22</v>
      </c>
      <c r="P1388" t="s">
        <v>36</v>
      </c>
      <c r="Q1388">
        <f>Table1[[#This Row],[Course_Fee_AED]]-Table1[[#This Row],[Amount_Paid_AED]]</f>
        <v>4646</v>
      </c>
      <c r="R1388">
        <f>Table1[[#This Row],[Course_Fee_AED]]-Table1[[#This Row],[pending Revenue]]</f>
        <v>2322</v>
      </c>
    </row>
    <row r="1389" spans="1:18" x14ac:dyDescent="0.25">
      <c r="A1389" t="s">
        <v>1466</v>
      </c>
      <c r="B1389" s="2">
        <v>45588</v>
      </c>
      <c r="C1389" t="s">
        <v>113</v>
      </c>
      <c r="D1389" t="s">
        <v>93</v>
      </c>
      <c r="E1389" t="s">
        <v>26</v>
      </c>
      <c r="F1389" s="5">
        <v>3</v>
      </c>
      <c r="G1389" s="5">
        <v>1</v>
      </c>
      <c r="H1389" s="5">
        <v>3644</v>
      </c>
      <c r="I1389" s="5">
        <v>1</v>
      </c>
      <c r="J1389" s="5">
        <v>1214</v>
      </c>
      <c r="K1389" t="s">
        <v>18</v>
      </c>
      <c r="L1389" t="s">
        <v>19</v>
      </c>
      <c r="M1389" t="s">
        <v>41</v>
      </c>
      <c r="N1389" t="s">
        <v>86</v>
      </c>
      <c r="O1389" t="s">
        <v>35</v>
      </c>
      <c r="P1389" t="s">
        <v>36</v>
      </c>
      <c r="Q1389">
        <f>Table1[[#This Row],[Course_Fee_AED]]-Table1[[#This Row],[Amount_Paid_AED]]</f>
        <v>2430</v>
      </c>
      <c r="R1389">
        <f>Table1[[#This Row],[Course_Fee_AED]]-Table1[[#This Row],[pending Revenue]]</f>
        <v>1214</v>
      </c>
    </row>
    <row r="1390" spans="1:18" x14ac:dyDescent="0.25">
      <c r="A1390" t="s">
        <v>1467</v>
      </c>
      <c r="B1390" s="2">
        <v>45397</v>
      </c>
      <c r="C1390" t="s">
        <v>66</v>
      </c>
      <c r="D1390" t="s">
        <v>56</v>
      </c>
      <c r="E1390" t="s">
        <v>17</v>
      </c>
      <c r="F1390" s="5">
        <v>6</v>
      </c>
      <c r="G1390" s="5">
        <v>1</v>
      </c>
      <c r="H1390" s="5">
        <v>7156</v>
      </c>
      <c r="I1390" s="5">
        <v>1</v>
      </c>
      <c r="J1390" s="5">
        <v>2385</v>
      </c>
      <c r="K1390" t="s">
        <v>18</v>
      </c>
      <c r="L1390" t="s">
        <v>19</v>
      </c>
      <c r="M1390" t="s">
        <v>41</v>
      </c>
      <c r="N1390" t="s">
        <v>154</v>
      </c>
      <c r="O1390" t="s">
        <v>71</v>
      </c>
      <c r="P1390" t="s">
        <v>18</v>
      </c>
      <c r="Q1390">
        <f>Table1[[#This Row],[Course_Fee_AED]]-Table1[[#This Row],[Amount_Paid_AED]]</f>
        <v>4771</v>
      </c>
      <c r="R1390">
        <f>Table1[[#This Row],[Course_Fee_AED]]-Table1[[#This Row],[pending Revenue]]</f>
        <v>2385</v>
      </c>
    </row>
    <row r="1391" spans="1:18" x14ac:dyDescent="0.25">
      <c r="A1391" t="s">
        <v>1468</v>
      </c>
      <c r="B1391" s="2">
        <v>45632</v>
      </c>
      <c r="C1391" t="s">
        <v>15</v>
      </c>
      <c r="D1391" t="s">
        <v>16</v>
      </c>
      <c r="E1391" t="s">
        <v>26</v>
      </c>
      <c r="F1391" s="5">
        <v>3</v>
      </c>
      <c r="G1391" s="5">
        <v>1</v>
      </c>
      <c r="H1391" s="5">
        <v>7043</v>
      </c>
      <c r="I1391" s="5">
        <v>2</v>
      </c>
      <c r="J1391" s="5">
        <v>4694</v>
      </c>
      <c r="K1391" t="s">
        <v>18</v>
      </c>
      <c r="L1391" t="s">
        <v>57</v>
      </c>
      <c r="M1391" t="s">
        <v>20</v>
      </c>
      <c r="N1391" t="s">
        <v>154</v>
      </c>
      <c r="O1391" t="s">
        <v>64</v>
      </c>
      <c r="P1391" t="s">
        <v>18</v>
      </c>
      <c r="Q1391">
        <f>Table1[[#This Row],[Course_Fee_AED]]-Table1[[#This Row],[Amount_Paid_AED]]</f>
        <v>2349</v>
      </c>
      <c r="R1391">
        <f>Table1[[#This Row],[Course_Fee_AED]]-Table1[[#This Row],[pending Revenue]]</f>
        <v>4694</v>
      </c>
    </row>
    <row r="1392" spans="1:18" x14ac:dyDescent="0.25">
      <c r="A1392" t="s">
        <v>1469</v>
      </c>
      <c r="B1392" s="2">
        <v>45613</v>
      </c>
      <c r="C1392" t="s">
        <v>92</v>
      </c>
      <c r="D1392" t="s">
        <v>93</v>
      </c>
      <c r="E1392" t="s">
        <v>17</v>
      </c>
      <c r="F1392" s="5">
        <v>6</v>
      </c>
      <c r="G1392" s="5">
        <v>1</v>
      </c>
      <c r="H1392" s="5">
        <v>4917</v>
      </c>
      <c r="I1392" s="5">
        <v>2</v>
      </c>
      <c r="J1392" s="5">
        <v>3278</v>
      </c>
      <c r="K1392" t="s">
        <v>18</v>
      </c>
      <c r="L1392" t="s">
        <v>19</v>
      </c>
      <c r="M1392" t="s">
        <v>47</v>
      </c>
      <c r="N1392" t="s">
        <v>90</v>
      </c>
      <c r="O1392" t="s">
        <v>71</v>
      </c>
      <c r="P1392" t="s">
        <v>36</v>
      </c>
      <c r="Q1392">
        <f>Table1[[#This Row],[Course_Fee_AED]]-Table1[[#This Row],[Amount_Paid_AED]]</f>
        <v>1639</v>
      </c>
      <c r="R1392">
        <f>Table1[[#This Row],[Course_Fee_AED]]-Table1[[#This Row],[pending Revenue]]</f>
        <v>3278</v>
      </c>
    </row>
    <row r="1393" spans="1:18" x14ac:dyDescent="0.25">
      <c r="A1393" t="s">
        <v>1470</v>
      </c>
      <c r="B1393" s="2">
        <v>45321</v>
      </c>
      <c r="C1393" t="s">
        <v>24</v>
      </c>
      <c r="D1393" t="s">
        <v>25</v>
      </c>
      <c r="E1393" t="s">
        <v>26</v>
      </c>
      <c r="F1393" s="5">
        <v>3</v>
      </c>
      <c r="G1393" s="5">
        <v>1</v>
      </c>
      <c r="H1393" s="5">
        <v>6291</v>
      </c>
      <c r="I1393" s="5">
        <v>2</v>
      </c>
      <c r="J1393" s="5">
        <v>4194</v>
      </c>
      <c r="K1393" t="s">
        <v>18</v>
      </c>
      <c r="L1393" t="s">
        <v>40</v>
      </c>
      <c r="M1393" t="s">
        <v>20</v>
      </c>
      <c r="N1393" t="s">
        <v>70</v>
      </c>
      <c r="O1393" t="s">
        <v>71</v>
      </c>
      <c r="P1393" t="s">
        <v>36</v>
      </c>
      <c r="Q1393">
        <f>Table1[[#This Row],[Course_Fee_AED]]-Table1[[#This Row],[Amount_Paid_AED]]</f>
        <v>2097</v>
      </c>
      <c r="R1393">
        <f>Table1[[#This Row],[Course_Fee_AED]]-Table1[[#This Row],[pending Revenue]]</f>
        <v>4194</v>
      </c>
    </row>
    <row r="1394" spans="1:18" x14ac:dyDescent="0.25">
      <c r="A1394" t="s">
        <v>1471</v>
      </c>
      <c r="B1394" s="2">
        <v>45587</v>
      </c>
      <c r="C1394" t="s">
        <v>75</v>
      </c>
      <c r="D1394" t="s">
        <v>76</v>
      </c>
      <c r="E1394" t="s">
        <v>26</v>
      </c>
      <c r="F1394" s="5">
        <v>3</v>
      </c>
      <c r="G1394" s="5">
        <v>1</v>
      </c>
      <c r="H1394" s="5">
        <v>9689</v>
      </c>
      <c r="I1394" s="5">
        <v>1</v>
      </c>
      <c r="J1394" s="5">
        <v>3229</v>
      </c>
      <c r="K1394" t="s">
        <v>18</v>
      </c>
      <c r="L1394" t="s">
        <v>19</v>
      </c>
      <c r="M1394" t="s">
        <v>63</v>
      </c>
      <c r="N1394" t="s">
        <v>21</v>
      </c>
      <c r="O1394" t="s">
        <v>68</v>
      </c>
      <c r="P1394" t="s">
        <v>36</v>
      </c>
      <c r="Q1394">
        <f>Table1[[#This Row],[Course_Fee_AED]]-Table1[[#This Row],[Amount_Paid_AED]]</f>
        <v>6460</v>
      </c>
      <c r="R1394">
        <f>Table1[[#This Row],[Course_Fee_AED]]-Table1[[#This Row],[pending Revenue]]</f>
        <v>3229</v>
      </c>
    </row>
    <row r="1395" spans="1:18" x14ac:dyDescent="0.25">
      <c r="A1395" t="s">
        <v>1472</v>
      </c>
      <c r="B1395" s="2">
        <v>45533</v>
      </c>
      <c r="C1395" t="s">
        <v>113</v>
      </c>
      <c r="D1395" t="s">
        <v>93</v>
      </c>
      <c r="E1395" t="s">
        <v>26</v>
      </c>
      <c r="F1395" s="5">
        <v>3</v>
      </c>
      <c r="G1395" s="5">
        <v>1</v>
      </c>
      <c r="H1395" s="5">
        <v>3759</v>
      </c>
      <c r="I1395" s="5">
        <v>2</v>
      </c>
      <c r="J1395" s="5">
        <v>2506</v>
      </c>
      <c r="K1395" t="s">
        <v>18</v>
      </c>
      <c r="L1395" t="s">
        <v>40</v>
      </c>
      <c r="M1395" t="s">
        <v>27</v>
      </c>
      <c r="N1395" t="s">
        <v>34</v>
      </c>
      <c r="O1395" t="s">
        <v>87</v>
      </c>
      <c r="P1395" t="s">
        <v>36</v>
      </c>
      <c r="Q1395">
        <f>Table1[[#This Row],[Course_Fee_AED]]-Table1[[#This Row],[Amount_Paid_AED]]</f>
        <v>1253</v>
      </c>
      <c r="R1395">
        <f>Table1[[#This Row],[Course_Fee_AED]]-Table1[[#This Row],[pending Revenue]]</f>
        <v>2506</v>
      </c>
    </row>
    <row r="1396" spans="1:18" x14ac:dyDescent="0.25">
      <c r="A1396" t="s">
        <v>1473</v>
      </c>
      <c r="B1396" s="2">
        <v>45388</v>
      </c>
      <c r="C1396" t="s">
        <v>106</v>
      </c>
      <c r="D1396" t="s">
        <v>107</v>
      </c>
      <c r="E1396" t="s">
        <v>17</v>
      </c>
      <c r="F1396" s="5">
        <v>6</v>
      </c>
      <c r="G1396" s="5">
        <v>1</v>
      </c>
      <c r="H1396" s="5">
        <v>7296</v>
      </c>
      <c r="I1396" s="5">
        <v>1</v>
      </c>
      <c r="J1396" s="5">
        <v>2432</v>
      </c>
      <c r="K1396" t="s">
        <v>18</v>
      </c>
      <c r="L1396" t="s">
        <v>19</v>
      </c>
      <c r="M1396" t="s">
        <v>60</v>
      </c>
      <c r="N1396" t="s">
        <v>70</v>
      </c>
      <c r="O1396" t="s">
        <v>87</v>
      </c>
      <c r="P1396" t="s">
        <v>36</v>
      </c>
      <c r="Q1396">
        <f>Table1[[#This Row],[Course_Fee_AED]]-Table1[[#This Row],[Amount_Paid_AED]]</f>
        <v>4864</v>
      </c>
      <c r="R1396">
        <f>Table1[[#This Row],[Course_Fee_AED]]-Table1[[#This Row],[pending Revenue]]</f>
        <v>2432</v>
      </c>
    </row>
    <row r="1397" spans="1:18" x14ac:dyDescent="0.25">
      <c r="A1397" t="s">
        <v>1474</v>
      </c>
      <c r="B1397" s="2">
        <v>45655</v>
      </c>
      <c r="C1397" t="s">
        <v>92</v>
      </c>
      <c r="D1397" t="s">
        <v>93</v>
      </c>
      <c r="E1397" t="s">
        <v>26</v>
      </c>
      <c r="F1397" s="5">
        <v>3</v>
      </c>
      <c r="G1397" s="5">
        <v>1</v>
      </c>
      <c r="H1397" s="5">
        <v>4986</v>
      </c>
      <c r="I1397" s="5">
        <v>2</v>
      </c>
      <c r="J1397" s="5">
        <v>3324</v>
      </c>
      <c r="K1397" t="s">
        <v>18</v>
      </c>
      <c r="L1397" t="s">
        <v>40</v>
      </c>
      <c r="M1397" t="s">
        <v>27</v>
      </c>
      <c r="N1397" t="s">
        <v>34</v>
      </c>
      <c r="O1397" t="s">
        <v>29</v>
      </c>
      <c r="P1397" t="s">
        <v>36</v>
      </c>
      <c r="Q1397">
        <f>Table1[[#This Row],[Course_Fee_AED]]-Table1[[#This Row],[Amount_Paid_AED]]</f>
        <v>1662</v>
      </c>
      <c r="R1397">
        <f>Table1[[#This Row],[Course_Fee_AED]]-Table1[[#This Row],[pending Revenue]]</f>
        <v>3324</v>
      </c>
    </row>
    <row r="1398" spans="1:18" x14ac:dyDescent="0.25">
      <c r="A1398" t="s">
        <v>1475</v>
      </c>
      <c r="B1398" s="2">
        <v>45559</v>
      </c>
      <c r="C1398" t="s">
        <v>113</v>
      </c>
      <c r="D1398" t="s">
        <v>93</v>
      </c>
      <c r="E1398" t="s">
        <v>17</v>
      </c>
      <c r="F1398" s="5">
        <v>6</v>
      </c>
      <c r="G1398" s="5">
        <v>1</v>
      </c>
      <c r="H1398" s="5">
        <v>3343</v>
      </c>
      <c r="I1398" s="5">
        <v>2</v>
      </c>
      <c r="J1398" s="5">
        <v>2228</v>
      </c>
      <c r="K1398" t="s">
        <v>18</v>
      </c>
      <c r="L1398" t="s">
        <v>57</v>
      </c>
      <c r="M1398" t="s">
        <v>27</v>
      </c>
      <c r="N1398" t="s">
        <v>53</v>
      </c>
      <c r="O1398" t="s">
        <v>43</v>
      </c>
      <c r="P1398" t="s">
        <v>36</v>
      </c>
      <c r="Q1398">
        <f>Table1[[#This Row],[Course_Fee_AED]]-Table1[[#This Row],[Amount_Paid_AED]]</f>
        <v>1115</v>
      </c>
      <c r="R1398">
        <f>Table1[[#This Row],[Course_Fee_AED]]-Table1[[#This Row],[pending Revenue]]</f>
        <v>2228</v>
      </c>
    </row>
    <row r="1399" spans="1:18" x14ac:dyDescent="0.25">
      <c r="A1399" t="s">
        <v>1476</v>
      </c>
      <c r="B1399" s="2">
        <v>45535</v>
      </c>
      <c r="C1399" t="s">
        <v>66</v>
      </c>
      <c r="D1399" t="s">
        <v>56</v>
      </c>
      <c r="E1399" t="s">
        <v>26</v>
      </c>
      <c r="F1399" s="5">
        <v>3</v>
      </c>
      <c r="G1399" s="5">
        <v>1</v>
      </c>
      <c r="H1399" s="5">
        <v>10296</v>
      </c>
      <c r="I1399" s="5">
        <v>1</v>
      </c>
      <c r="J1399" s="5">
        <v>3432</v>
      </c>
      <c r="K1399" t="s">
        <v>18</v>
      </c>
      <c r="L1399" t="s">
        <v>57</v>
      </c>
      <c r="M1399" t="s">
        <v>41</v>
      </c>
      <c r="N1399" t="s">
        <v>154</v>
      </c>
      <c r="O1399" t="s">
        <v>49</v>
      </c>
      <c r="P1399" t="s">
        <v>18</v>
      </c>
      <c r="Q1399">
        <f>Table1[[#This Row],[Course_Fee_AED]]-Table1[[#This Row],[Amount_Paid_AED]]</f>
        <v>6864</v>
      </c>
      <c r="R1399">
        <f>Table1[[#This Row],[Course_Fee_AED]]-Table1[[#This Row],[pending Revenue]]</f>
        <v>3432</v>
      </c>
    </row>
    <row r="1400" spans="1:18" x14ac:dyDescent="0.25">
      <c r="A1400" t="s">
        <v>1477</v>
      </c>
      <c r="B1400" s="2">
        <v>45307</v>
      </c>
      <c r="C1400" t="s">
        <v>100</v>
      </c>
      <c r="D1400" t="s">
        <v>101</v>
      </c>
      <c r="E1400" t="s">
        <v>17</v>
      </c>
      <c r="F1400" s="5">
        <v>6</v>
      </c>
      <c r="G1400" s="5">
        <v>1</v>
      </c>
      <c r="H1400" s="5">
        <v>5306</v>
      </c>
      <c r="I1400" s="5">
        <v>3</v>
      </c>
      <c r="J1400" s="5">
        <v>5304</v>
      </c>
      <c r="K1400" t="s">
        <v>18</v>
      </c>
      <c r="L1400" t="s">
        <v>19</v>
      </c>
      <c r="M1400" t="s">
        <v>63</v>
      </c>
      <c r="N1400" t="s">
        <v>73</v>
      </c>
      <c r="O1400" t="s">
        <v>87</v>
      </c>
      <c r="P1400" t="s">
        <v>18</v>
      </c>
      <c r="Q1400">
        <f>Table1[[#This Row],[Course_Fee_AED]]-Table1[[#This Row],[Amount_Paid_AED]]</f>
        <v>2</v>
      </c>
      <c r="R1400">
        <f>Table1[[#This Row],[Course_Fee_AED]]-Table1[[#This Row],[pending Revenue]]</f>
        <v>5304</v>
      </c>
    </row>
    <row r="1401" spans="1:18" x14ac:dyDescent="0.25">
      <c r="A1401" t="s">
        <v>1478</v>
      </c>
      <c r="B1401" s="2">
        <v>45427</v>
      </c>
      <c r="C1401" t="s">
        <v>55</v>
      </c>
      <c r="D1401" t="s">
        <v>56</v>
      </c>
      <c r="E1401" t="s">
        <v>17</v>
      </c>
      <c r="F1401" s="5">
        <v>6</v>
      </c>
      <c r="G1401" s="5">
        <v>1</v>
      </c>
      <c r="H1401" s="5">
        <v>7597</v>
      </c>
      <c r="I1401" s="5">
        <v>3</v>
      </c>
      <c r="J1401" s="5">
        <v>7596</v>
      </c>
      <c r="K1401" t="s">
        <v>18</v>
      </c>
      <c r="L1401" t="s">
        <v>40</v>
      </c>
      <c r="M1401" t="s">
        <v>63</v>
      </c>
      <c r="N1401" t="s">
        <v>48</v>
      </c>
      <c r="O1401" t="s">
        <v>29</v>
      </c>
      <c r="P1401" t="s">
        <v>18</v>
      </c>
      <c r="Q1401">
        <f>Table1[[#This Row],[Course_Fee_AED]]-Table1[[#This Row],[Amount_Paid_AED]]</f>
        <v>1</v>
      </c>
      <c r="R1401">
        <f>Table1[[#This Row],[Course_Fee_AED]]-Table1[[#This Row],[pending Revenue]]</f>
        <v>7596</v>
      </c>
    </row>
    <row r="1402" spans="1:18" x14ac:dyDescent="0.25">
      <c r="A1402" t="s">
        <v>1479</v>
      </c>
      <c r="B1402" s="2">
        <v>45432</v>
      </c>
      <c r="C1402" t="s">
        <v>113</v>
      </c>
      <c r="D1402" t="s">
        <v>93</v>
      </c>
      <c r="E1402" t="s">
        <v>17</v>
      </c>
      <c r="F1402" s="5">
        <v>6</v>
      </c>
      <c r="G1402" s="5">
        <v>1</v>
      </c>
      <c r="H1402" s="5">
        <v>4062</v>
      </c>
      <c r="I1402" s="5">
        <v>1</v>
      </c>
      <c r="J1402" s="5">
        <v>1354</v>
      </c>
      <c r="K1402" t="s">
        <v>18</v>
      </c>
      <c r="L1402" t="s">
        <v>57</v>
      </c>
      <c r="M1402" t="s">
        <v>41</v>
      </c>
      <c r="N1402" t="s">
        <v>34</v>
      </c>
      <c r="O1402" t="s">
        <v>87</v>
      </c>
      <c r="P1402" t="s">
        <v>18</v>
      </c>
      <c r="Q1402">
        <f>Table1[[#This Row],[Course_Fee_AED]]-Table1[[#This Row],[Amount_Paid_AED]]</f>
        <v>2708</v>
      </c>
      <c r="R1402">
        <f>Table1[[#This Row],[Course_Fee_AED]]-Table1[[#This Row],[pending Revenue]]</f>
        <v>1354</v>
      </c>
    </row>
    <row r="1403" spans="1:18" x14ac:dyDescent="0.25">
      <c r="A1403" t="s">
        <v>1480</v>
      </c>
      <c r="B1403" s="2">
        <v>45472</v>
      </c>
      <c r="C1403" t="s">
        <v>100</v>
      </c>
      <c r="D1403" t="s">
        <v>101</v>
      </c>
      <c r="E1403" t="s">
        <v>26</v>
      </c>
      <c r="F1403" s="5">
        <v>3</v>
      </c>
      <c r="G1403" s="5">
        <v>1</v>
      </c>
      <c r="H1403" s="5">
        <v>4645</v>
      </c>
      <c r="I1403" s="5">
        <v>2</v>
      </c>
      <c r="J1403" s="5">
        <v>3096</v>
      </c>
      <c r="K1403" t="s">
        <v>18</v>
      </c>
      <c r="L1403" t="s">
        <v>57</v>
      </c>
      <c r="M1403" t="s">
        <v>20</v>
      </c>
      <c r="N1403" t="s">
        <v>34</v>
      </c>
      <c r="O1403" t="s">
        <v>49</v>
      </c>
      <c r="P1403" t="s">
        <v>18</v>
      </c>
      <c r="Q1403">
        <f>Table1[[#This Row],[Course_Fee_AED]]-Table1[[#This Row],[Amount_Paid_AED]]</f>
        <v>1549</v>
      </c>
      <c r="R1403">
        <f>Table1[[#This Row],[Course_Fee_AED]]-Table1[[#This Row],[pending Revenue]]</f>
        <v>3096</v>
      </c>
    </row>
    <row r="1404" spans="1:18" x14ac:dyDescent="0.25">
      <c r="A1404" t="s">
        <v>1481</v>
      </c>
      <c r="B1404" s="2">
        <v>45520</v>
      </c>
      <c r="C1404" t="s">
        <v>51</v>
      </c>
      <c r="D1404" t="s">
        <v>52</v>
      </c>
      <c r="E1404" t="s">
        <v>17</v>
      </c>
      <c r="F1404" s="5">
        <v>6</v>
      </c>
      <c r="G1404" s="5">
        <v>1</v>
      </c>
      <c r="H1404" s="5">
        <v>4843</v>
      </c>
      <c r="I1404" s="5">
        <v>1</v>
      </c>
      <c r="J1404" s="5">
        <v>1614</v>
      </c>
      <c r="K1404" t="s">
        <v>18</v>
      </c>
      <c r="L1404" t="s">
        <v>40</v>
      </c>
      <c r="M1404" t="s">
        <v>60</v>
      </c>
      <c r="N1404" t="s">
        <v>79</v>
      </c>
      <c r="O1404" t="s">
        <v>58</v>
      </c>
      <c r="P1404" t="s">
        <v>18</v>
      </c>
      <c r="Q1404">
        <f>Table1[[#This Row],[Course_Fee_AED]]-Table1[[#This Row],[Amount_Paid_AED]]</f>
        <v>3229</v>
      </c>
      <c r="R1404">
        <f>Table1[[#This Row],[Course_Fee_AED]]-Table1[[#This Row],[pending Revenue]]</f>
        <v>1614</v>
      </c>
    </row>
    <row r="1405" spans="1:18" x14ac:dyDescent="0.25">
      <c r="A1405" t="s">
        <v>1482</v>
      </c>
      <c r="B1405" s="2">
        <v>45573</v>
      </c>
      <c r="C1405" t="s">
        <v>31</v>
      </c>
      <c r="D1405" t="s">
        <v>32</v>
      </c>
      <c r="E1405" t="s">
        <v>17</v>
      </c>
      <c r="F1405" s="5">
        <v>6</v>
      </c>
      <c r="G1405" s="5">
        <v>1</v>
      </c>
      <c r="H1405" s="5">
        <v>6251</v>
      </c>
      <c r="I1405" s="5">
        <v>1</v>
      </c>
      <c r="J1405" s="5">
        <v>2083</v>
      </c>
      <c r="K1405" t="s">
        <v>18</v>
      </c>
      <c r="L1405" t="s">
        <v>57</v>
      </c>
      <c r="M1405" t="s">
        <v>20</v>
      </c>
      <c r="N1405" t="s">
        <v>154</v>
      </c>
      <c r="O1405" t="s">
        <v>87</v>
      </c>
      <c r="P1405" t="s">
        <v>18</v>
      </c>
      <c r="Q1405">
        <f>Table1[[#This Row],[Course_Fee_AED]]-Table1[[#This Row],[Amount_Paid_AED]]</f>
        <v>4168</v>
      </c>
      <c r="R1405">
        <f>Table1[[#This Row],[Course_Fee_AED]]-Table1[[#This Row],[pending Revenue]]</f>
        <v>2083</v>
      </c>
    </row>
    <row r="1406" spans="1:18" x14ac:dyDescent="0.25">
      <c r="A1406" t="s">
        <v>1483</v>
      </c>
      <c r="B1406" s="2">
        <v>45540</v>
      </c>
      <c r="C1406" t="s">
        <v>113</v>
      </c>
      <c r="D1406" t="s">
        <v>93</v>
      </c>
      <c r="E1406" t="s">
        <v>17</v>
      </c>
      <c r="F1406" s="5">
        <v>6</v>
      </c>
      <c r="G1406" s="5">
        <v>1</v>
      </c>
      <c r="H1406" s="5">
        <v>3437</v>
      </c>
      <c r="I1406" s="5">
        <v>2</v>
      </c>
      <c r="J1406" s="5">
        <v>2290</v>
      </c>
      <c r="K1406" t="s">
        <v>18</v>
      </c>
      <c r="L1406" t="s">
        <v>19</v>
      </c>
      <c r="M1406" t="s">
        <v>63</v>
      </c>
      <c r="N1406" t="s">
        <v>61</v>
      </c>
      <c r="O1406" t="s">
        <v>29</v>
      </c>
      <c r="P1406" t="s">
        <v>18</v>
      </c>
      <c r="Q1406">
        <f>Table1[[#This Row],[Course_Fee_AED]]-Table1[[#This Row],[Amount_Paid_AED]]</f>
        <v>1147</v>
      </c>
      <c r="R1406">
        <f>Table1[[#This Row],[Course_Fee_AED]]-Table1[[#This Row],[pending Revenue]]</f>
        <v>2290</v>
      </c>
    </row>
    <row r="1407" spans="1:18" x14ac:dyDescent="0.25">
      <c r="A1407" t="s">
        <v>1484</v>
      </c>
      <c r="B1407" s="2">
        <v>45602</v>
      </c>
      <c r="C1407" t="s">
        <v>51</v>
      </c>
      <c r="D1407" t="s">
        <v>52</v>
      </c>
      <c r="E1407" t="s">
        <v>26</v>
      </c>
      <c r="F1407" s="5">
        <v>3</v>
      </c>
      <c r="G1407" s="5">
        <v>1</v>
      </c>
      <c r="H1407" s="5">
        <v>3602</v>
      </c>
      <c r="I1407" s="5">
        <v>2</v>
      </c>
      <c r="J1407" s="5">
        <v>2400</v>
      </c>
      <c r="K1407" t="s">
        <v>18</v>
      </c>
      <c r="L1407" t="s">
        <v>57</v>
      </c>
      <c r="M1407" t="s">
        <v>41</v>
      </c>
      <c r="N1407" t="s">
        <v>48</v>
      </c>
      <c r="O1407" t="s">
        <v>64</v>
      </c>
      <c r="P1407" t="s">
        <v>18</v>
      </c>
      <c r="Q1407">
        <f>Table1[[#This Row],[Course_Fee_AED]]-Table1[[#This Row],[Amount_Paid_AED]]</f>
        <v>1202</v>
      </c>
      <c r="R1407">
        <f>Table1[[#This Row],[Course_Fee_AED]]-Table1[[#This Row],[pending Revenue]]</f>
        <v>2400</v>
      </c>
    </row>
    <row r="1408" spans="1:18" x14ac:dyDescent="0.25">
      <c r="A1408" t="s">
        <v>1485</v>
      </c>
      <c r="B1408" s="2">
        <v>45361</v>
      </c>
      <c r="C1408" t="s">
        <v>113</v>
      </c>
      <c r="D1408" t="s">
        <v>93</v>
      </c>
      <c r="E1408" t="s">
        <v>17</v>
      </c>
      <c r="F1408" s="5">
        <v>6</v>
      </c>
      <c r="G1408" s="5">
        <v>1</v>
      </c>
      <c r="H1408" s="5">
        <v>4374</v>
      </c>
      <c r="I1408" s="5">
        <v>3</v>
      </c>
      <c r="J1408" s="5">
        <v>4374</v>
      </c>
      <c r="K1408" t="s">
        <v>33</v>
      </c>
      <c r="L1408" t="s">
        <v>40</v>
      </c>
      <c r="M1408" t="s">
        <v>47</v>
      </c>
      <c r="N1408" t="s">
        <v>86</v>
      </c>
      <c r="O1408" t="s">
        <v>58</v>
      </c>
      <c r="P1408" t="s">
        <v>36</v>
      </c>
      <c r="Q1408">
        <f>Table1[[#This Row],[Course_Fee_AED]]-Table1[[#This Row],[Amount_Paid_AED]]</f>
        <v>0</v>
      </c>
      <c r="R1408">
        <f>Table1[[#This Row],[Course_Fee_AED]]-Table1[[#This Row],[pending Revenue]]</f>
        <v>4374</v>
      </c>
    </row>
    <row r="1409" spans="1:18" x14ac:dyDescent="0.25">
      <c r="A1409" t="s">
        <v>1486</v>
      </c>
      <c r="B1409" s="2">
        <v>45394</v>
      </c>
      <c r="C1409" t="s">
        <v>66</v>
      </c>
      <c r="D1409" t="s">
        <v>56</v>
      </c>
      <c r="E1409" t="s">
        <v>17</v>
      </c>
      <c r="F1409" s="5">
        <v>6</v>
      </c>
      <c r="G1409" s="5">
        <v>1</v>
      </c>
      <c r="H1409" s="5">
        <v>9137</v>
      </c>
      <c r="I1409" s="5">
        <v>2</v>
      </c>
      <c r="J1409" s="5">
        <v>6090</v>
      </c>
      <c r="K1409" t="s">
        <v>18</v>
      </c>
      <c r="L1409" t="s">
        <v>57</v>
      </c>
      <c r="M1409" t="s">
        <v>60</v>
      </c>
      <c r="N1409" t="s">
        <v>154</v>
      </c>
      <c r="O1409" t="s">
        <v>71</v>
      </c>
      <c r="P1409" t="s">
        <v>36</v>
      </c>
      <c r="Q1409">
        <f>Table1[[#This Row],[Course_Fee_AED]]-Table1[[#This Row],[Amount_Paid_AED]]</f>
        <v>3047</v>
      </c>
      <c r="R1409">
        <f>Table1[[#This Row],[Course_Fee_AED]]-Table1[[#This Row],[pending Revenue]]</f>
        <v>6090</v>
      </c>
    </row>
    <row r="1410" spans="1:18" x14ac:dyDescent="0.25">
      <c r="A1410" t="s">
        <v>1487</v>
      </c>
      <c r="B1410" s="2">
        <v>45401</v>
      </c>
      <c r="C1410" t="s">
        <v>55</v>
      </c>
      <c r="D1410" t="s">
        <v>56</v>
      </c>
      <c r="E1410" t="s">
        <v>26</v>
      </c>
      <c r="F1410" s="5">
        <v>3</v>
      </c>
      <c r="G1410" s="5">
        <v>1</v>
      </c>
      <c r="H1410" s="5">
        <v>9940</v>
      </c>
      <c r="I1410" s="5">
        <v>1</v>
      </c>
      <c r="J1410" s="5">
        <v>3313</v>
      </c>
      <c r="K1410" t="s">
        <v>18</v>
      </c>
      <c r="L1410" t="s">
        <v>19</v>
      </c>
      <c r="M1410" t="s">
        <v>60</v>
      </c>
      <c r="N1410" t="s">
        <v>21</v>
      </c>
      <c r="O1410" t="s">
        <v>29</v>
      </c>
      <c r="P1410" t="s">
        <v>18</v>
      </c>
      <c r="Q1410">
        <f>Table1[[#This Row],[Course_Fee_AED]]-Table1[[#This Row],[Amount_Paid_AED]]</f>
        <v>6627</v>
      </c>
      <c r="R1410">
        <f>Table1[[#This Row],[Course_Fee_AED]]-Table1[[#This Row],[pending Revenue]]</f>
        <v>3313</v>
      </c>
    </row>
    <row r="1411" spans="1:18" x14ac:dyDescent="0.25">
      <c r="A1411" t="s">
        <v>1488</v>
      </c>
      <c r="B1411" s="2">
        <v>45639</v>
      </c>
      <c r="C1411" t="s">
        <v>75</v>
      </c>
      <c r="D1411" t="s">
        <v>76</v>
      </c>
      <c r="E1411" t="s">
        <v>26</v>
      </c>
      <c r="F1411" s="5">
        <v>3</v>
      </c>
      <c r="G1411" s="5">
        <v>1</v>
      </c>
      <c r="H1411" s="5">
        <v>11905</v>
      </c>
      <c r="I1411" s="5">
        <v>3</v>
      </c>
      <c r="J1411" s="5">
        <v>11904</v>
      </c>
      <c r="K1411" t="s">
        <v>18</v>
      </c>
      <c r="L1411" t="s">
        <v>40</v>
      </c>
      <c r="M1411" t="s">
        <v>60</v>
      </c>
      <c r="N1411" t="s">
        <v>79</v>
      </c>
      <c r="O1411" t="s">
        <v>71</v>
      </c>
      <c r="P1411" t="s">
        <v>36</v>
      </c>
      <c r="Q1411">
        <f>Table1[[#This Row],[Course_Fee_AED]]-Table1[[#This Row],[Amount_Paid_AED]]</f>
        <v>1</v>
      </c>
      <c r="R1411">
        <f>Table1[[#This Row],[Course_Fee_AED]]-Table1[[#This Row],[pending Revenue]]</f>
        <v>11904</v>
      </c>
    </row>
    <row r="1412" spans="1:18" x14ac:dyDescent="0.25">
      <c r="A1412" t="s">
        <v>1489</v>
      </c>
      <c r="B1412" s="2">
        <v>45544</v>
      </c>
      <c r="C1412" t="s">
        <v>24</v>
      </c>
      <c r="D1412" t="s">
        <v>25</v>
      </c>
      <c r="E1412" t="s">
        <v>17</v>
      </c>
      <c r="F1412" s="5">
        <v>6</v>
      </c>
      <c r="G1412" s="5">
        <v>1</v>
      </c>
      <c r="H1412" s="5">
        <v>6704</v>
      </c>
      <c r="I1412" s="5">
        <v>1</v>
      </c>
      <c r="J1412" s="5">
        <v>2234</v>
      </c>
      <c r="K1412" t="s">
        <v>18</v>
      </c>
      <c r="L1412" t="s">
        <v>19</v>
      </c>
      <c r="M1412" t="s">
        <v>41</v>
      </c>
      <c r="N1412" t="s">
        <v>21</v>
      </c>
      <c r="O1412" t="s">
        <v>43</v>
      </c>
      <c r="P1412" t="s">
        <v>36</v>
      </c>
      <c r="Q1412">
        <f>Table1[[#This Row],[Course_Fee_AED]]-Table1[[#This Row],[Amount_Paid_AED]]</f>
        <v>4470</v>
      </c>
      <c r="R1412">
        <f>Table1[[#This Row],[Course_Fee_AED]]-Table1[[#This Row],[pending Revenue]]</f>
        <v>2234</v>
      </c>
    </row>
    <row r="1413" spans="1:18" x14ac:dyDescent="0.25">
      <c r="A1413" t="s">
        <v>1490</v>
      </c>
      <c r="B1413" s="2">
        <v>45493</v>
      </c>
      <c r="C1413" t="s">
        <v>75</v>
      </c>
      <c r="D1413" t="s">
        <v>76</v>
      </c>
      <c r="E1413" t="s">
        <v>17</v>
      </c>
      <c r="F1413" s="5">
        <v>6</v>
      </c>
      <c r="G1413" s="5">
        <v>1</v>
      </c>
      <c r="H1413" s="5">
        <v>12713</v>
      </c>
      <c r="I1413" s="5">
        <v>2</v>
      </c>
      <c r="J1413" s="5">
        <v>8474</v>
      </c>
      <c r="K1413" t="s">
        <v>18</v>
      </c>
      <c r="L1413" t="s">
        <v>19</v>
      </c>
      <c r="M1413" t="s">
        <v>63</v>
      </c>
      <c r="N1413" t="s">
        <v>79</v>
      </c>
      <c r="O1413" t="s">
        <v>29</v>
      </c>
      <c r="P1413" t="s">
        <v>18</v>
      </c>
      <c r="Q1413">
        <f>Table1[[#This Row],[Course_Fee_AED]]-Table1[[#This Row],[Amount_Paid_AED]]</f>
        <v>4239</v>
      </c>
      <c r="R1413">
        <f>Table1[[#This Row],[Course_Fee_AED]]-Table1[[#This Row],[pending Revenue]]</f>
        <v>8474</v>
      </c>
    </row>
    <row r="1414" spans="1:18" x14ac:dyDescent="0.25">
      <c r="A1414" t="s">
        <v>1491</v>
      </c>
      <c r="B1414" s="2">
        <v>45641</v>
      </c>
      <c r="C1414" t="s">
        <v>92</v>
      </c>
      <c r="D1414" t="s">
        <v>93</v>
      </c>
      <c r="E1414" t="s">
        <v>17</v>
      </c>
      <c r="F1414" s="5">
        <v>6</v>
      </c>
      <c r="G1414" s="5">
        <v>1</v>
      </c>
      <c r="H1414" s="5">
        <v>5701</v>
      </c>
      <c r="I1414" s="5">
        <v>3</v>
      </c>
      <c r="J1414" s="5">
        <v>5700</v>
      </c>
      <c r="K1414" t="s">
        <v>18</v>
      </c>
      <c r="L1414" t="s">
        <v>57</v>
      </c>
      <c r="M1414" t="s">
        <v>63</v>
      </c>
      <c r="N1414" t="s">
        <v>116</v>
      </c>
      <c r="O1414" t="s">
        <v>87</v>
      </c>
      <c r="P1414" t="s">
        <v>36</v>
      </c>
      <c r="Q1414">
        <f>Table1[[#This Row],[Course_Fee_AED]]-Table1[[#This Row],[Amount_Paid_AED]]</f>
        <v>1</v>
      </c>
      <c r="R1414">
        <f>Table1[[#This Row],[Course_Fee_AED]]-Table1[[#This Row],[pending Revenue]]</f>
        <v>5700</v>
      </c>
    </row>
    <row r="1415" spans="1:18" x14ac:dyDescent="0.25">
      <c r="A1415" t="s">
        <v>1492</v>
      </c>
      <c r="B1415" s="2">
        <v>45513</v>
      </c>
      <c r="C1415" t="s">
        <v>38</v>
      </c>
      <c r="D1415" t="s">
        <v>39</v>
      </c>
      <c r="E1415" t="s">
        <v>26</v>
      </c>
      <c r="F1415" s="5">
        <v>3</v>
      </c>
      <c r="G1415" s="5">
        <v>1</v>
      </c>
      <c r="H1415" s="5">
        <v>5294</v>
      </c>
      <c r="I1415" s="5">
        <v>2</v>
      </c>
      <c r="J1415" s="5">
        <v>3528</v>
      </c>
      <c r="K1415" t="s">
        <v>18</v>
      </c>
      <c r="L1415" t="s">
        <v>57</v>
      </c>
      <c r="M1415" t="s">
        <v>63</v>
      </c>
      <c r="N1415" t="s">
        <v>95</v>
      </c>
      <c r="O1415" t="s">
        <v>35</v>
      </c>
      <c r="P1415" t="s">
        <v>18</v>
      </c>
      <c r="Q1415">
        <f>Table1[[#This Row],[Course_Fee_AED]]-Table1[[#This Row],[Amount_Paid_AED]]</f>
        <v>1766</v>
      </c>
      <c r="R1415">
        <f>Table1[[#This Row],[Course_Fee_AED]]-Table1[[#This Row],[pending Revenue]]</f>
        <v>3528</v>
      </c>
    </row>
    <row r="1416" spans="1:18" x14ac:dyDescent="0.25">
      <c r="A1416" t="s">
        <v>1493</v>
      </c>
      <c r="B1416" s="2">
        <v>45605</v>
      </c>
      <c r="C1416" t="s">
        <v>31</v>
      </c>
      <c r="D1416" t="s">
        <v>32</v>
      </c>
      <c r="E1416" t="s">
        <v>17</v>
      </c>
      <c r="F1416" s="5">
        <v>6</v>
      </c>
      <c r="G1416" s="5">
        <v>1</v>
      </c>
      <c r="H1416" s="5">
        <v>7181</v>
      </c>
      <c r="I1416" s="5">
        <v>3</v>
      </c>
      <c r="J1416" s="5">
        <v>7179</v>
      </c>
      <c r="K1416" t="s">
        <v>18</v>
      </c>
      <c r="L1416" t="s">
        <v>19</v>
      </c>
      <c r="M1416" t="s">
        <v>20</v>
      </c>
      <c r="N1416" t="s">
        <v>154</v>
      </c>
      <c r="O1416" t="s">
        <v>64</v>
      </c>
      <c r="P1416" t="s">
        <v>18</v>
      </c>
      <c r="Q1416">
        <f>Table1[[#This Row],[Course_Fee_AED]]-Table1[[#This Row],[Amount_Paid_AED]]</f>
        <v>2</v>
      </c>
      <c r="R1416">
        <f>Table1[[#This Row],[Course_Fee_AED]]-Table1[[#This Row],[pending Revenue]]</f>
        <v>7179</v>
      </c>
    </row>
    <row r="1417" spans="1:18" x14ac:dyDescent="0.25">
      <c r="A1417" t="s">
        <v>1494</v>
      </c>
      <c r="B1417" s="2">
        <v>45469</v>
      </c>
      <c r="C1417" t="s">
        <v>15</v>
      </c>
      <c r="D1417" t="s">
        <v>16</v>
      </c>
      <c r="E1417" t="s">
        <v>17</v>
      </c>
      <c r="F1417" s="5">
        <v>6</v>
      </c>
      <c r="G1417" s="5">
        <v>1</v>
      </c>
      <c r="H1417" s="5">
        <v>6712</v>
      </c>
      <c r="I1417" s="5">
        <v>3</v>
      </c>
      <c r="J1417" s="5">
        <v>6711</v>
      </c>
      <c r="K1417" t="s">
        <v>18</v>
      </c>
      <c r="L1417" t="s">
        <v>19</v>
      </c>
      <c r="M1417" t="s">
        <v>41</v>
      </c>
      <c r="N1417" t="s">
        <v>95</v>
      </c>
      <c r="O1417" t="s">
        <v>68</v>
      </c>
      <c r="P1417" t="s">
        <v>36</v>
      </c>
      <c r="Q1417">
        <f>Table1[[#This Row],[Course_Fee_AED]]-Table1[[#This Row],[Amount_Paid_AED]]</f>
        <v>1</v>
      </c>
      <c r="R1417">
        <f>Table1[[#This Row],[Course_Fee_AED]]-Table1[[#This Row],[pending Revenue]]</f>
        <v>6711</v>
      </c>
    </row>
    <row r="1418" spans="1:18" x14ac:dyDescent="0.25">
      <c r="A1418" t="s">
        <v>1495</v>
      </c>
      <c r="B1418" s="2">
        <v>45586</v>
      </c>
      <c r="C1418" t="s">
        <v>51</v>
      </c>
      <c r="D1418" t="s">
        <v>52</v>
      </c>
      <c r="E1418" t="s">
        <v>17</v>
      </c>
      <c r="F1418" s="5">
        <v>6</v>
      </c>
      <c r="G1418" s="5">
        <v>1</v>
      </c>
      <c r="H1418" s="5">
        <v>5819</v>
      </c>
      <c r="I1418" s="5">
        <v>3</v>
      </c>
      <c r="J1418" s="5">
        <v>5817</v>
      </c>
      <c r="K1418" t="s">
        <v>18</v>
      </c>
      <c r="L1418" t="s">
        <v>19</v>
      </c>
      <c r="M1418" t="s">
        <v>63</v>
      </c>
      <c r="N1418" t="s">
        <v>61</v>
      </c>
      <c r="O1418" t="s">
        <v>68</v>
      </c>
      <c r="P1418" t="s">
        <v>36</v>
      </c>
      <c r="Q1418">
        <f>Table1[[#This Row],[Course_Fee_AED]]-Table1[[#This Row],[Amount_Paid_AED]]</f>
        <v>2</v>
      </c>
      <c r="R1418">
        <f>Table1[[#This Row],[Course_Fee_AED]]-Table1[[#This Row],[pending Revenue]]</f>
        <v>5817</v>
      </c>
    </row>
    <row r="1419" spans="1:18" x14ac:dyDescent="0.25">
      <c r="A1419" t="s">
        <v>1496</v>
      </c>
      <c r="B1419" s="2">
        <v>45535</v>
      </c>
      <c r="C1419" t="s">
        <v>100</v>
      </c>
      <c r="D1419" t="s">
        <v>101</v>
      </c>
      <c r="E1419" t="s">
        <v>26</v>
      </c>
      <c r="F1419" s="5">
        <v>3</v>
      </c>
      <c r="G1419" s="5">
        <v>1</v>
      </c>
      <c r="H1419" s="5">
        <v>4218</v>
      </c>
      <c r="I1419" s="5">
        <v>1</v>
      </c>
      <c r="J1419" s="5">
        <v>1406</v>
      </c>
      <c r="K1419" t="s">
        <v>18</v>
      </c>
      <c r="L1419" t="s">
        <v>19</v>
      </c>
      <c r="M1419" t="s">
        <v>47</v>
      </c>
      <c r="N1419" t="s">
        <v>28</v>
      </c>
      <c r="O1419" t="s">
        <v>22</v>
      </c>
      <c r="P1419" t="s">
        <v>36</v>
      </c>
      <c r="Q1419">
        <f>Table1[[#This Row],[Course_Fee_AED]]-Table1[[#This Row],[Amount_Paid_AED]]</f>
        <v>2812</v>
      </c>
      <c r="R1419">
        <f>Table1[[#This Row],[Course_Fee_AED]]-Table1[[#This Row],[pending Revenue]]</f>
        <v>1406</v>
      </c>
    </row>
    <row r="1420" spans="1:18" x14ac:dyDescent="0.25">
      <c r="A1420" t="s">
        <v>1497</v>
      </c>
      <c r="B1420" s="2">
        <v>45351</v>
      </c>
      <c r="C1420" t="s">
        <v>15</v>
      </c>
      <c r="D1420" t="s">
        <v>16</v>
      </c>
      <c r="E1420" t="s">
        <v>17</v>
      </c>
      <c r="F1420" s="5">
        <v>6</v>
      </c>
      <c r="G1420" s="5">
        <v>1</v>
      </c>
      <c r="H1420" s="5">
        <v>4211</v>
      </c>
      <c r="I1420" s="5">
        <v>1</v>
      </c>
      <c r="J1420" s="5">
        <v>1403</v>
      </c>
      <c r="K1420" t="s">
        <v>18</v>
      </c>
      <c r="L1420" t="s">
        <v>40</v>
      </c>
      <c r="M1420" t="s">
        <v>41</v>
      </c>
      <c r="N1420" t="s">
        <v>21</v>
      </c>
      <c r="O1420" t="s">
        <v>43</v>
      </c>
      <c r="P1420" t="s">
        <v>18</v>
      </c>
      <c r="Q1420">
        <f>Table1[[#This Row],[Course_Fee_AED]]-Table1[[#This Row],[Amount_Paid_AED]]</f>
        <v>2808</v>
      </c>
      <c r="R1420">
        <f>Table1[[#This Row],[Course_Fee_AED]]-Table1[[#This Row],[pending Revenue]]</f>
        <v>1403</v>
      </c>
    </row>
    <row r="1421" spans="1:18" x14ac:dyDescent="0.25">
      <c r="A1421" t="s">
        <v>1498</v>
      </c>
      <c r="B1421" s="2">
        <v>45518</v>
      </c>
      <c r="C1421" t="s">
        <v>38</v>
      </c>
      <c r="D1421" t="s">
        <v>39</v>
      </c>
      <c r="E1421" t="s">
        <v>17</v>
      </c>
      <c r="F1421" s="5">
        <v>6</v>
      </c>
      <c r="G1421" s="5">
        <v>1</v>
      </c>
      <c r="H1421" s="5">
        <v>4144</v>
      </c>
      <c r="I1421" s="5">
        <v>2</v>
      </c>
      <c r="J1421" s="5">
        <v>2762</v>
      </c>
      <c r="K1421" t="s">
        <v>18</v>
      </c>
      <c r="L1421" t="s">
        <v>19</v>
      </c>
      <c r="M1421" t="s">
        <v>63</v>
      </c>
      <c r="N1421" t="s">
        <v>95</v>
      </c>
      <c r="O1421" t="s">
        <v>29</v>
      </c>
      <c r="P1421" t="s">
        <v>18</v>
      </c>
      <c r="Q1421">
        <f>Table1[[#This Row],[Course_Fee_AED]]-Table1[[#This Row],[Amount_Paid_AED]]</f>
        <v>1382</v>
      </c>
      <c r="R1421">
        <f>Table1[[#This Row],[Course_Fee_AED]]-Table1[[#This Row],[pending Revenue]]</f>
        <v>2762</v>
      </c>
    </row>
    <row r="1422" spans="1:18" x14ac:dyDescent="0.25">
      <c r="A1422" t="s">
        <v>1499</v>
      </c>
      <c r="B1422" s="2">
        <v>45576</v>
      </c>
      <c r="C1422" t="s">
        <v>106</v>
      </c>
      <c r="D1422" t="s">
        <v>107</v>
      </c>
      <c r="E1422" t="s">
        <v>17</v>
      </c>
      <c r="F1422" s="5">
        <v>6</v>
      </c>
      <c r="G1422" s="5">
        <v>1</v>
      </c>
      <c r="H1422" s="5">
        <v>7597</v>
      </c>
      <c r="I1422" s="5">
        <v>2</v>
      </c>
      <c r="J1422" s="5">
        <v>5064</v>
      </c>
      <c r="K1422" t="s">
        <v>18</v>
      </c>
      <c r="L1422" t="s">
        <v>57</v>
      </c>
      <c r="M1422" t="s">
        <v>20</v>
      </c>
      <c r="N1422" t="s">
        <v>48</v>
      </c>
      <c r="O1422" t="s">
        <v>29</v>
      </c>
      <c r="P1422" t="s">
        <v>36</v>
      </c>
      <c r="Q1422">
        <f>Table1[[#This Row],[Course_Fee_AED]]-Table1[[#This Row],[Amount_Paid_AED]]</f>
        <v>2533</v>
      </c>
      <c r="R1422">
        <f>Table1[[#This Row],[Course_Fee_AED]]-Table1[[#This Row],[pending Revenue]]</f>
        <v>5064</v>
      </c>
    </row>
    <row r="1423" spans="1:18" x14ac:dyDescent="0.25">
      <c r="A1423" t="s">
        <v>1500</v>
      </c>
      <c r="B1423" s="2">
        <v>45388</v>
      </c>
      <c r="C1423" t="s">
        <v>24</v>
      </c>
      <c r="D1423" t="s">
        <v>25</v>
      </c>
      <c r="E1423" t="s">
        <v>26</v>
      </c>
      <c r="F1423" s="5">
        <v>3</v>
      </c>
      <c r="G1423" s="5">
        <v>1</v>
      </c>
      <c r="H1423" s="5">
        <v>6533</v>
      </c>
      <c r="I1423" s="5">
        <v>3</v>
      </c>
      <c r="J1423" s="5">
        <v>6531</v>
      </c>
      <c r="K1423" t="s">
        <v>18</v>
      </c>
      <c r="L1423" t="s">
        <v>57</v>
      </c>
      <c r="M1423" t="s">
        <v>27</v>
      </c>
      <c r="N1423" t="s">
        <v>34</v>
      </c>
      <c r="O1423" t="s">
        <v>58</v>
      </c>
      <c r="P1423" t="s">
        <v>36</v>
      </c>
      <c r="Q1423">
        <f>Table1[[#This Row],[Course_Fee_AED]]-Table1[[#This Row],[Amount_Paid_AED]]</f>
        <v>2</v>
      </c>
      <c r="R1423">
        <f>Table1[[#This Row],[Course_Fee_AED]]-Table1[[#This Row],[pending Revenue]]</f>
        <v>6531</v>
      </c>
    </row>
    <row r="1424" spans="1:18" x14ac:dyDescent="0.25">
      <c r="A1424" t="s">
        <v>1501</v>
      </c>
      <c r="B1424" s="2">
        <v>45425</v>
      </c>
      <c r="C1424" t="s">
        <v>51</v>
      </c>
      <c r="D1424" t="s">
        <v>52</v>
      </c>
      <c r="E1424" t="s">
        <v>17</v>
      </c>
      <c r="F1424" s="5">
        <v>6</v>
      </c>
      <c r="G1424" s="5">
        <v>1</v>
      </c>
      <c r="H1424" s="5">
        <v>5266</v>
      </c>
      <c r="I1424" s="5">
        <v>2</v>
      </c>
      <c r="J1424" s="5">
        <v>3510</v>
      </c>
      <c r="K1424" t="s">
        <v>18</v>
      </c>
      <c r="L1424" t="s">
        <v>19</v>
      </c>
      <c r="M1424" t="s">
        <v>41</v>
      </c>
      <c r="N1424" t="s">
        <v>21</v>
      </c>
      <c r="O1424" t="s">
        <v>35</v>
      </c>
      <c r="P1424" t="s">
        <v>18</v>
      </c>
      <c r="Q1424">
        <f>Table1[[#This Row],[Course_Fee_AED]]-Table1[[#This Row],[Amount_Paid_AED]]</f>
        <v>1756</v>
      </c>
      <c r="R1424">
        <f>Table1[[#This Row],[Course_Fee_AED]]-Table1[[#This Row],[pending Revenue]]</f>
        <v>3510</v>
      </c>
    </row>
    <row r="1425" spans="1:18" x14ac:dyDescent="0.25">
      <c r="A1425" t="s">
        <v>1502</v>
      </c>
      <c r="B1425" s="2">
        <v>45505</v>
      </c>
      <c r="C1425" t="s">
        <v>92</v>
      </c>
      <c r="D1425" t="s">
        <v>93</v>
      </c>
      <c r="E1425" t="s">
        <v>17</v>
      </c>
      <c r="F1425" s="5">
        <v>6</v>
      </c>
      <c r="G1425" s="5">
        <v>1</v>
      </c>
      <c r="H1425" s="5">
        <v>5933</v>
      </c>
      <c r="I1425" s="5">
        <v>1</v>
      </c>
      <c r="J1425" s="5">
        <v>1977</v>
      </c>
      <c r="K1425" t="s">
        <v>18</v>
      </c>
      <c r="L1425" t="s">
        <v>40</v>
      </c>
      <c r="M1425" t="s">
        <v>41</v>
      </c>
      <c r="N1425" t="s">
        <v>42</v>
      </c>
      <c r="O1425" t="s">
        <v>64</v>
      </c>
      <c r="P1425" t="s">
        <v>18</v>
      </c>
      <c r="Q1425">
        <f>Table1[[#This Row],[Course_Fee_AED]]-Table1[[#This Row],[Amount_Paid_AED]]</f>
        <v>3956</v>
      </c>
      <c r="R1425">
        <f>Table1[[#This Row],[Course_Fee_AED]]-Table1[[#This Row],[pending Revenue]]</f>
        <v>1977</v>
      </c>
    </row>
    <row r="1426" spans="1:18" x14ac:dyDescent="0.25">
      <c r="A1426" t="s">
        <v>1503</v>
      </c>
      <c r="B1426" s="2">
        <v>45574</v>
      </c>
      <c r="C1426" t="s">
        <v>24</v>
      </c>
      <c r="D1426" t="s">
        <v>25</v>
      </c>
      <c r="E1426" t="s">
        <v>26</v>
      </c>
      <c r="F1426" s="5">
        <v>3</v>
      </c>
      <c r="G1426" s="5">
        <v>1</v>
      </c>
      <c r="H1426" s="5">
        <v>5138</v>
      </c>
      <c r="I1426" s="5">
        <v>3</v>
      </c>
      <c r="J1426" s="5">
        <v>5136</v>
      </c>
      <c r="K1426" t="s">
        <v>18</v>
      </c>
      <c r="L1426" t="s">
        <v>57</v>
      </c>
      <c r="M1426" t="s">
        <v>27</v>
      </c>
      <c r="N1426" t="s">
        <v>95</v>
      </c>
      <c r="O1426" t="s">
        <v>49</v>
      </c>
      <c r="P1426" t="s">
        <v>36</v>
      </c>
      <c r="Q1426">
        <f>Table1[[#This Row],[Course_Fee_AED]]-Table1[[#This Row],[Amount_Paid_AED]]</f>
        <v>2</v>
      </c>
      <c r="R1426">
        <f>Table1[[#This Row],[Course_Fee_AED]]-Table1[[#This Row],[pending Revenue]]</f>
        <v>5136</v>
      </c>
    </row>
    <row r="1427" spans="1:18" x14ac:dyDescent="0.25">
      <c r="A1427" t="s">
        <v>1504</v>
      </c>
      <c r="B1427" s="2">
        <v>45477</v>
      </c>
      <c r="C1427" t="s">
        <v>92</v>
      </c>
      <c r="D1427" t="s">
        <v>93</v>
      </c>
      <c r="E1427" t="s">
        <v>26</v>
      </c>
      <c r="F1427" s="5">
        <v>3</v>
      </c>
      <c r="G1427" s="5">
        <v>1</v>
      </c>
      <c r="H1427" s="5">
        <v>5827</v>
      </c>
      <c r="I1427" s="5">
        <v>3</v>
      </c>
      <c r="J1427" s="5">
        <v>5826</v>
      </c>
      <c r="K1427" t="s">
        <v>18</v>
      </c>
      <c r="L1427" t="s">
        <v>40</v>
      </c>
      <c r="M1427" t="s">
        <v>63</v>
      </c>
      <c r="N1427" t="s">
        <v>28</v>
      </c>
      <c r="O1427" t="s">
        <v>35</v>
      </c>
      <c r="P1427" t="s">
        <v>36</v>
      </c>
      <c r="Q1427">
        <f>Table1[[#This Row],[Course_Fee_AED]]-Table1[[#This Row],[Amount_Paid_AED]]</f>
        <v>1</v>
      </c>
      <c r="R1427">
        <f>Table1[[#This Row],[Course_Fee_AED]]-Table1[[#This Row],[pending Revenue]]</f>
        <v>5826</v>
      </c>
    </row>
    <row r="1428" spans="1:18" x14ac:dyDescent="0.25">
      <c r="A1428" t="s">
        <v>1505</v>
      </c>
      <c r="B1428" s="2">
        <v>45478</v>
      </c>
      <c r="C1428" t="s">
        <v>55</v>
      </c>
      <c r="D1428" t="s">
        <v>56</v>
      </c>
      <c r="E1428" t="s">
        <v>17</v>
      </c>
      <c r="F1428" s="5">
        <v>6</v>
      </c>
      <c r="G1428" s="5">
        <v>1</v>
      </c>
      <c r="H1428" s="5">
        <v>11417</v>
      </c>
      <c r="I1428" s="5">
        <v>1</v>
      </c>
      <c r="J1428" s="5">
        <v>3805</v>
      </c>
      <c r="K1428" t="s">
        <v>18</v>
      </c>
      <c r="L1428" t="s">
        <v>57</v>
      </c>
      <c r="M1428" t="s">
        <v>63</v>
      </c>
      <c r="N1428" t="s">
        <v>34</v>
      </c>
      <c r="O1428" t="s">
        <v>35</v>
      </c>
      <c r="P1428" t="s">
        <v>36</v>
      </c>
      <c r="Q1428">
        <f>Table1[[#This Row],[Course_Fee_AED]]-Table1[[#This Row],[Amount_Paid_AED]]</f>
        <v>7612</v>
      </c>
      <c r="R1428">
        <f>Table1[[#This Row],[Course_Fee_AED]]-Table1[[#This Row],[pending Revenue]]</f>
        <v>3805</v>
      </c>
    </row>
    <row r="1429" spans="1:18" x14ac:dyDescent="0.25">
      <c r="A1429" t="s">
        <v>1506</v>
      </c>
      <c r="B1429" s="2">
        <v>45350</v>
      </c>
      <c r="C1429" t="s">
        <v>15</v>
      </c>
      <c r="D1429" t="s">
        <v>16</v>
      </c>
      <c r="E1429" t="s">
        <v>26</v>
      </c>
      <c r="F1429" s="5">
        <v>3</v>
      </c>
      <c r="G1429" s="5">
        <v>1</v>
      </c>
      <c r="H1429" s="5">
        <v>4547</v>
      </c>
      <c r="I1429" s="5">
        <v>3</v>
      </c>
      <c r="J1429" s="5">
        <v>4545</v>
      </c>
      <c r="K1429" t="s">
        <v>18</v>
      </c>
      <c r="L1429" t="s">
        <v>40</v>
      </c>
      <c r="M1429" t="s">
        <v>27</v>
      </c>
      <c r="N1429" t="s">
        <v>73</v>
      </c>
      <c r="O1429" t="s">
        <v>71</v>
      </c>
      <c r="P1429" t="s">
        <v>36</v>
      </c>
      <c r="Q1429">
        <f>Table1[[#This Row],[Course_Fee_AED]]-Table1[[#This Row],[Amount_Paid_AED]]</f>
        <v>2</v>
      </c>
      <c r="R1429">
        <f>Table1[[#This Row],[Course_Fee_AED]]-Table1[[#This Row],[pending Revenue]]</f>
        <v>4545</v>
      </c>
    </row>
    <row r="1430" spans="1:18" x14ac:dyDescent="0.25">
      <c r="A1430" t="s">
        <v>1507</v>
      </c>
      <c r="B1430" s="2">
        <v>45554</v>
      </c>
      <c r="C1430" t="s">
        <v>92</v>
      </c>
      <c r="D1430" t="s">
        <v>93</v>
      </c>
      <c r="E1430" t="s">
        <v>17</v>
      </c>
      <c r="F1430" s="5">
        <v>6</v>
      </c>
      <c r="G1430" s="5">
        <v>1</v>
      </c>
      <c r="H1430" s="5">
        <v>6029</v>
      </c>
      <c r="I1430" s="5">
        <v>1</v>
      </c>
      <c r="J1430" s="5">
        <v>2009</v>
      </c>
      <c r="K1430" t="s">
        <v>18</v>
      </c>
      <c r="L1430" t="s">
        <v>40</v>
      </c>
      <c r="M1430" t="s">
        <v>20</v>
      </c>
      <c r="N1430" t="s">
        <v>116</v>
      </c>
      <c r="O1430" t="s">
        <v>64</v>
      </c>
      <c r="P1430" t="s">
        <v>36</v>
      </c>
      <c r="Q1430">
        <f>Table1[[#This Row],[Course_Fee_AED]]-Table1[[#This Row],[Amount_Paid_AED]]</f>
        <v>4020</v>
      </c>
      <c r="R1430">
        <f>Table1[[#This Row],[Course_Fee_AED]]-Table1[[#This Row],[pending Revenue]]</f>
        <v>2009</v>
      </c>
    </row>
    <row r="1431" spans="1:18" x14ac:dyDescent="0.25">
      <c r="A1431" t="s">
        <v>1508</v>
      </c>
      <c r="B1431" s="2">
        <v>45390</v>
      </c>
      <c r="C1431" t="s">
        <v>66</v>
      </c>
      <c r="D1431" t="s">
        <v>56</v>
      </c>
      <c r="E1431" t="s">
        <v>26</v>
      </c>
      <c r="F1431" s="5">
        <v>3</v>
      </c>
      <c r="G1431" s="5">
        <v>1</v>
      </c>
      <c r="H1431" s="5">
        <v>11089</v>
      </c>
      <c r="I1431" s="5">
        <v>3</v>
      </c>
      <c r="J1431" s="5">
        <v>11088</v>
      </c>
      <c r="K1431" t="s">
        <v>18</v>
      </c>
      <c r="L1431" t="s">
        <v>40</v>
      </c>
      <c r="M1431" t="s">
        <v>41</v>
      </c>
      <c r="N1431" t="s">
        <v>28</v>
      </c>
      <c r="O1431" t="s">
        <v>29</v>
      </c>
      <c r="P1431" t="s">
        <v>18</v>
      </c>
      <c r="Q1431">
        <f>Table1[[#This Row],[Course_Fee_AED]]-Table1[[#This Row],[Amount_Paid_AED]]</f>
        <v>1</v>
      </c>
      <c r="R1431">
        <f>Table1[[#This Row],[Course_Fee_AED]]-Table1[[#This Row],[pending Revenue]]</f>
        <v>11088</v>
      </c>
    </row>
    <row r="1432" spans="1:18" x14ac:dyDescent="0.25">
      <c r="A1432" t="s">
        <v>1509</v>
      </c>
      <c r="B1432" s="2">
        <v>45609</v>
      </c>
      <c r="C1432" t="s">
        <v>113</v>
      </c>
      <c r="D1432" t="s">
        <v>93</v>
      </c>
      <c r="E1432" t="s">
        <v>17</v>
      </c>
      <c r="F1432" s="5">
        <v>6</v>
      </c>
      <c r="G1432" s="5">
        <v>1</v>
      </c>
      <c r="H1432" s="5">
        <v>4917</v>
      </c>
      <c r="I1432" s="5">
        <v>2</v>
      </c>
      <c r="J1432" s="5">
        <v>3278</v>
      </c>
      <c r="K1432" t="s">
        <v>18</v>
      </c>
      <c r="L1432" t="s">
        <v>19</v>
      </c>
      <c r="M1432" t="s">
        <v>41</v>
      </c>
      <c r="N1432" t="s">
        <v>21</v>
      </c>
      <c r="O1432" t="s">
        <v>35</v>
      </c>
      <c r="P1432" t="s">
        <v>18</v>
      </c>
      <c r="Q1432">
        <f>Table1[[#This Row],[Course_Fee_AED]]-Table1[[#This Row],[Amount_Paid_AED]]</f>
        <v>1639</v>
      </c>
      <c r="R1432">
        <f>Table1[[#This Row],[Course_Fee_AED]]-Table1[[#This Row],[pending Revenue]]</f>
        <v>3278</v>
      </c>
    </row>
    <row r="1433" spans="1:18" x14ac:dyDescent="0.25">
      <c r="A1433" t="s">
        <v>1510</v>
      </c>
      <c r="B1433" s="2">
        <v>45409</v>
      </c>
      <c r="C1433" t="s">
        <v>106</v>
      </c>
      <c r="D1433" t="s">
        <v>107</v>
      </c>
      <c r="E1433" t="s">
        <v>26</v>
      </c>
      <c r="F1433" s="5">
        <v>3</v>
      </c>
      <c r="G1433" s="5">
        <v>1</v>
      </c>
      <c r="H1433" s="5">
        <v>8952</v>
      </c>
      <c r="I1433" s="5">
        <v>3</v>
      </c>
      <c r="J1433" s="5">
        <v>8952</v>
      </c>
      <c r="K1433" t="s">
        <v>33</v>
      </c>
      <c r="L1433" t="s">
        <v>19</v>
      </c>
      <c r="M1433" t="s">
        <v>41</v>
      </c>
      <c r="N1433" t="s">
        <v>70</v>
      </c>
      <c r="O1433" t="s">
        <v>58</v>
      </c>
      <c r="P1433" t="s">
        <v>36</v>
      </c>
      <c r="Q1433">
        <f>Table1[[#This Row],[Course_Fee_AED]]-Table1[[#This Row],[Amount_Paid_AED]]</f>
        <v>0</v>
      </c>
      <c r="R1433">
        <f>Table1[[#This Row],[Course_Fee_AED]]-Table1[[#This Row],[pending Revenue]]</f>
        <v>8952</v>
      </c>
    </row>
    <row r="1434" spans="1:18" x14ac:dyDescent="0.25">
      <c r="A1434" t="s">
        <v>1511</v>
      </c>
      <c r="B1434" s="2">
        <v>45475</v>
      </c>
      <c r="C1434" t="s">
        <v>15</v>
      </c>
      <c r="D1434" t="s">
        <v>16</v>
      </c>
      <c r="E1434" t="s">
        <v>17</v>
      </c>
      <c r="F1434" s="5">
        <v>6</v>
      </c>
      <c r="G1434" s="5">
        <v>1</v>
      </c>
      <c r="H1434" s="5">
        <v>6481</v>
      </c>
      <c r="I1434" s="5">
        <v>2</v>
      </c>
      <c r="J1434" s="5">
        <v>4320</v>
      </c>
      <c r="K1434" t="s">
        <v>18</v>
      </c>
      <c r="L1434" t="s">
        <v>57</v>
      </c>
      <c r="M1434" t="s">
        <v>41</v>
      </c>
      <c r="N1434" t="s">
        <v>73</v>
      </c>
      <c r="O1434" t="s">
        <v>87</v>
      </c>
      <c r="P1434" t="s">
        <v>36</v>
      </c>
      <c r="Q1434">
        <f>Table1[[#This Row],[Course_Fee_AED]]-Table1[[#This Row],[Amount_Paid_AED]]</f>
        <v>2161</v>
      </c>
      <c r="R1434">
        <f>Table1[[#This Row],[Course_Fee_AED]]-Table1[[#This Row],[pending Revenue]]</f>
        <v>4320</v>
      </c>
    </row>
    <row r="1435" spans="1:18" x14ac:dyDescent="0.25">
      <c r="A1435" t="s">
        <v>1512</v>
      </c>
      <c r="B1435" s="2">
        <v>45525</v>
      </c>
      <c r="C1435" t="s">
        <v>51</v>
      </c>
      <c r="D1435" t="s">
        <v>52</v>
      </c>
      <c r="E1435" t="s">
        <v>26</v>
      </c>
      <c r="F1435" s="5">
        <v>3</v>
      </c>
      <c r="G1435" s="5">
        <v>1</v>
      </c>
      <c r="H1435" s="5">
        <v>3880</v>
      </c>
      <c r="I1435" s="5">
        <v>3</v>
      </c>
      <c r="J1435" s="5">
        <v>3879</v>
      </c>
      <c r="K1435" t="s">
        <v>18</v>
      </c>
      <c r="L1435" t="s">
        <v>57</v>
      </c>
      <c r="M1435" t="s">
        <v>20</v>
      </c>
      <c r="N1435" t="s">
        <v>34</v>
      </c>
      <c r="O1435" t="s">
        <v>87</v>
      </c>
      <c r="P1435" t="s">
        <v>36</v>
      </c>
      <c r="Q1435">
        <f>Table1[[#This Row],[Course_Fee_AED]]-Table1[[#This Row],[Amount_Paid_AED]]</f>
        <v>1</v>
      </c>
      <c r="R1435">
        <f>Table1[[#This Row],[Course_Fee_AED]]-Table1[[#This Row],[pending Revenue]]</f>
        <v>3879</v>
      </c>
    </row>
    <row r="1436" spans="1:18" x14ac:dyDescent="0.25">
      <c r="A1436" t="s">
        <v>1513</v>
      </c>
      <c r="B1436" s="2">
        <v>45597</v>
      </c>
      <c r="C1436" t="s">
        <v>38</v>
      </c>
      <c r="D1436" t="s">
        <v>39</v>
      </c>
      <c r="E1436" t="s">
        <v>26</v>
      </c>
      <c r="F1436" s="5">
        <v>3</v>
      </c>
      <c r="G1436" s="5">
        <v>1</v>
      </c>
      <c r="H1436" s="5">
        <v>6270</v>
      </c>
      <c r="I1436" s="5">
        <v>1</v>
      </c>
      <c r="J1436" s="5">
        <v>2090</v>
      </c>
      <c r="K1436" t="s">
        <v>18</v>
      </c>
      <c r="L1436" t="s">
        <v>19</v>
      </c>
      <c r="M1436" t="s">
        <v>20</v>
      </c>
      <c r="N1436" t="s">
        <v>53</v>
      </c>
      <c r="O1436" t="s">
        <v>22</v>
      </c>
      <c r="P1436" t="s">
        <v>18</v>
      </c>
      <c r="Q1436">
        <f>Table1[[#This Row],[Course_Fee_AED]]-Table1[[#This Row],[Amount_Paid_AED]]</f>
        <v>4180</v>
      </c>
      <c r="R1436">
        <f>Table1[[#This Row],[Course_Fee_AED]]-Table1[[#This Row],[pending Revenue]]</f>
        <v>2090</v>
      </c>
    </row>
    <row r="1437" spans="1:18" x14ac:dyDescent="0.25">
      <c r="A1437" t="s">
        <v>1514</v>
      </c>
      <c r="B1437" s="2">
        <v>45493</v>
      </c>
      <c r="C1437" t="s">
        <v>38</v>
      </c>
      <c r="D1437" t="s">
        <v>39</v>
      </c>
      <c r="E1437" t="s">
        <v>26</v>
      </c>
      <c r="F1437" s="5">
        <v>3</v>
      </c>
      <c r="G1437" s="5">
        <v>1</v>
      </c>
      <c r="H1437" s="5">
        <v>5016</v>
      </c>
      <c r="I1437" s="5">
        <v>2</v>
      </c>
      <c r="J1437" s="5">
        <v>3344</v>
      </c>
      <c r="K1437" t="s">
        <v>18</v>
      </c>
      <c r="L1437" t="s">
        <v>19</v>
      </c>
      <c r="M1437" t="s">
        <v>20</v>
      </c>
      <c r="N1437" t="s">
        <v>53</v>
      </c>
      <c r="O1437" t="s">
        <v>64</v>
      </c>
      <c r="P1437" t="s">
        <v>36</v>
      </c>
      <c r="Q1437">
        <f>Table1[[#This Row],[Course_Fee_AED]]-Table1[[#This Row],[Amount_Paid_AED]]</f>
        <v>1672</v>
      </c>
      <c r="R1437">
        <f>Table1[[#This Row],[Course_Fee_AED]]-Table1[[#This Row],[pending Revenue]]</f>
        <v>3344</v>
      </c>
    </row>
    <row r="1438" spans="1:18" x14ac:dyDescent="0.25">
      <c r="A1438" t="s">
        <v>1515</v>
      </c>
      <c r="B1438" s="2">
        <v>45518</v>
      </c>
      <c r="C1438" t="s">
        <v>55</v>
      </c>
      <c r="D1438" t="s">
        <v>56</v>
      </c>
      <c r="E1438" t="s">
        <v>26</v>
      </c>
      <c r="F1438" s="5">
        <v>3</v>
      </c>
      <c r="G1438" s="5">
        <v>1</v>
      </c>
      <c r="H1438" s="5">
        <v>7735</v>
      </c>
      <c r="I1438" s="5">
        <v>3</v>
      </c>
      <c r="J1438" s="5">
        <v>7734</v>
      </c>
      <c r="K1438" t="s">
        <v>18</v>
      </c>
      <c r="L1438" t="s">
        <v>19</v>
      </c>
      <c r="M1438" t="s">
        <v>20</v>
      </c>
      <c r="N1438" t="s">
        <v>73</v>
      </c>
      <c r="O1438" t="s">
        <v>35</v>
      </c>
      <c r="P1438" t="s">
        <v>36</v>
      </c>
      <c r="Q1438">
        <f>Table1[[#This Row],[Course_Fee_AED]]-Table1[[#This Row],[Amount_Paid_AED]]</f>
        <v>1</v>
      </c>
      <c r="R1438">
        <f>Table1[[#This Row],[Course_Fee_AED]]-Table1[[#This Row],[pending Revenue]]</f>
        <v>7734</v>
      </c>
    </row>
    <row r="1439" spans="1:18" x14ac:dyDescent="0.25">
      <c r="A1439" t="s">
        <v>1516</v>
      </c>
      <c r="B1439" s="2">
        <v>45619</v>
      </c>
      <c r="C1439" t="s">
        <v>82</v>
      </c>
      <c r="D1439" t="s">
        <v>83</v>
      </c>
      <c r="E1439" t="s">
        <v>26</v>
      </c>
      <c r="F1439" s="5">
        <v>3</v>
      </c>
      <c r="G1439" s="5">
        <v>1</v>
      </c>
      <c r="H1439" s="5">
        <v>9657</v>
      </c>
      <c r="I1439" s="5">
        <v>3</v>
      </c>
      <c r="J1439" s="5">
        <v>9657</v>
      </c>
      <c r="K1439" t="s">
        <v>33</v>
      </c>
      <c r="L1439" t="s">
        <v>57</v>
      </c>
      <c r="M1439" t="s">
        <v>20</v>
      </c>
      <c r="N1439" t="s">
        <v>70</v>
      </c>
      <c r="O1439" t="s">
        <v>64</v>
      </c>
      <c r="P1439" t="s">
        <v>18</v>
      </c>
      <c r="Q1439">
        <f>Table1[[#This Row],[Course_Fee_AED]]-Table1[[#This Row],[Amount_Paid_AED]]</f>
        <v>0</v>
      </c>
      <c r="R1439">
        <f>Table1[[#This Row],[Course_Fee_AED]]-Table1[[#This Row],[pending Revenue]]</f>
        <v>9657</v>
      </c>
    </row>
    <row r="1440" spans="1:18" x14ac:dyDescent="0.25">
      <c r="A1440" t="s">
        <v>1517</v>
      </c>
      <c r="B1440" s="2">
        <v>45501</v>
      </c>
      <c r="C1440" t="s">
        <v>45</v>
      </c>
      <c r="D1440" t="s">
        <v>46</v>
      </c>
      <c r="E1440" t="s">
        <v>17</v>
      </c>
      <c r="F1440" s="5">
        <v>6</v>
      </c>
      <c r="G1440" s="5">
        <v>1</v>
      </c>
      <c r="H1440" s="5">
        <v>4606</v>
      </c>
      <c r="I1440" s="5">
        <v>1</v>
      </c>
      <c r="J1440" s="5">
        <v>1535</v>
      </c>
      <c r="K1440" t="s">
        <v>18</v>
      </c>
      <c r="L1440" t="s">
        <v>19</v>
      </c>
      <c r="M1440" t="s">
        <v>63</v>
      </c>
      <c r="N1440" t="s">
        <v>34</v>
      </c>
      <c r="O1440" t="s">
        <v>29</v>
      </c>
      <c r="P1440" t="s">
        <v>36</v>
      </c>
      <c r="Q1440">
        <f>Table1[[#This Row],[Course_Fee_AED]]-Table1[[#This Row],[Amount_Paid_AED]]</f>
        <v>3071</v>
      </c>
      <c r="R1440">
        <f>Table1[[#This Row],[Course_Fee_AED]]-Table1[[#This Row],[pending Revenue]]</f>
        <v>1535</v>
      </c>
    </row>
    <row r="1441" spans="1:18" x14ac:dyDescent="0.25">
      <c r="A1441" t="s">
        <v>1518</v>
      </c>
      <c r="B1441" s="2">
        <v>45508</v>
      </c>
      <c r="C1441" t="s">
        <v>100</v>
      </c>
      <c r="D1441" t="s">
        <v>101</v>
      </c>
      <c r="E1441" t="s">
        <v>26</v>
      </c>
      <c r="F1441" s="5">
        <v>3</v>
      </c>
      <c r="G1441" s="5">
        <v>1</v>
      </c>
      <c r="H1441" s="5">
        <v>5876</v>
      </c>
      <c r="I1441" s="5">
        <v>3</v>
      </c>
      <c r="J1441" s="5">
        <v>5874</v>
      </c>
      <c r="K1441" t="s">
        <v>18</v>
      </c>
      <c r="L1441" t="s">
        <v>40</v>
      </c>
      <c r="M1441" t="s">
        <v>41</v>
      </c>
      <c r="N1441" t="s">
        <v>61</v>
      </c>
      <c r="O1441" t="s">
        <v>49</v>
      </c>
      <c r="P1441" t="s">
        <v>18</v>
      </c>
      <c r="Q1441">
        <f>Table1[[#This Row],[Course_Fee_AED]]-Table1[[#This Row],[Amount_Paid_AED]]</f>
        <v>2</v>
      </c>
      <c r="R1441">
        <f>Table1[[#This Row],[Course_Fee_AED]]-Table1[[#This Row],[pending Revenue]]</f>
        <v>5874</v>
      </c>
    </row>
    <row r="1442" spans="1:18" x14ac:dyDescent="0.25">
      <c r="A1442" t="s">
        <v>1519</v>
      </c>
      <c r="B1442" s="2">
        <v>45387</v>
      </c>
      <c r="C1442" t="s">
        <v>15</v>
      </c>
      <c r="D1442" t="s">
        <v>16</v>
      </c>
      <c r="E1442" t="s">
        <v>26</v>
      </c>
      <c r="F1442" s="5">
        <v>3</v>
      </c>
      <c r="G1442" s="5">
        <v>1</v>
      </c>
      <c r="H1442" s="5">
        <v>5195</v>
      </c>
      <c r="I1442" s="5">
        <v>2</v>
      </c>
      <c r="J1442" s="5">
        <v>3462</v>
      </c>
      <c r="K1442" t="s">
        <v>18</v>
      </c>
      <c r="L1442" t="s">
        <v>40</v>
      </c>
      <c r="M1442" t="s">
        <v>27</v>
      </c>
      <c r="N1442" t="s">
        <v>73</v>
      </c>
      <c r="O1442" t="s">
        <v>49</v>
      </c>
      <c r="P1442" t="s">
        <v>18</v>
      </c>
      <c r="Q1442">
        <f>Table1[[#This Row],[Course_Fee_AED]]-Table1[[#This Row],[Amount_Paid_AED]]</f>
        <v>1733</v>
      </c>
      <c r="R1442">
        <f>Table1[[#This Row],[Course_Fee_AED]]-Table1[[#This Row],[pending Revenue]]</f>
        <v>3462</v>
      </c>
    </row>
    <row r="1443" spans="1:18" x14ac:dyDescent="0.25">
      <c r="A1443" t="s">
        <v>1520</v>
      </c>
      <c r="B1443" s="2">
        <v>45319</v>
      </c>
      <c r="C1443" t="s">
        <v>38</v>
      </c>
      <c r="D1443" t="s">
        <v>39</v>
      </c>
      <c r="E1443" t="s">
        <v>26</v>
      </c>
      <c r="F1443" s="5">
        <v>3</v>
      </c>
      <c r="G1443" s="5">
        <v>1</v>
      </c>
      <c r="H1443" s="5">
        <v>6523</v>
      </c>
      <c r="I1443" s="5">
        <v>1</v>
      </c>
      <c r="J1443" s="5">
        <v>2174</v>
      </c>
      <c r="K1443" t="s">
        <v>18</v>
      </c>
      <c r="L1443" t="s">
        <v>57</v>
      </c>
      <c r="M1443" t="s">
        <v>41</v>
      </c>
      <c r="N1443" t="s">
        <v>73</v>
      </c>
      <c r="O1443" t="s">
        <v>35</v>
      </c>
      <c r="P1443" t="s">
        <v>36</v>
      </c>
      <c r="Q1443">
        <f>Table1[[#This Row],[Course_Fee_AED]]-Table1[[#This Row],[Amount_Paid_AED]]</f>
        <v>4349</v>
      </c>
      <c r="R1443">
        <f>Table1[[#This Row],[Course_Fee_AED]]-Table1[[#This Row],[pending Revenue]]</f>
        <v>2174</v>
      </c>
    </row>
    <row r="1444" spans="1:18" x14ac:dyDescent="0.25">
      <c r="A1444" t="s">
        <v>1521</v>
      </c>
      <c r="B1444" s="2">
        <v>45652</v>
      </c>
      <c r="C1444" t="s">
        <v>92</v>
      </c>
      <c r="D1444" t="s">
        <v>93</v>
      </c>
      <c r="E1444" t="s">
        <v>17</v>
      </c>
      <c r="F1444" s="5">
        <v>6</v>
      </c>
      <c r="G1444" s="5">
        <v>1</v>
      </c>
      <c r="H1444" s="5">
        <v>5632</v>
      </c>
      <c r="I1444" s="5">
        <v>2</v>
      </c>
      <c r="J1444" s="5">
        <v>3754</v>
      </c>
      <c r="K1444" t="s">
        <v>18</v>
      </c>
      <c r="L1444" t="s">
        <v>40</v>
      </c>
      <c r="M1444" t="s">
        <v>63</v>
      </c>
      <c r="N1444" t="s">
        <v>116</v>
      </c>
      <c r="O1444" t="s">
        <v>49</v>
      </c>
      <c r="P1444" t="s">
        <v>36</v>
      </c>
      <c r="Q1444">
        <f>Table1[[#This Row],[Course_Fee_AED]]-Table1[[#This Row],[Amount_Paid_AED]]</f>
        <v>1878</v>
      </c>
      <c r="R1444">
        <f>Table1[[#This Row],[Course_Fee_AED]]-Table1[[#This Row],[pending Revenue]]</f>
        <v>3754</v>
      </c>
    </row>
    <row r="1445" spans="1:18" x14ac:dyDescent="0.25">
      <c r="A1445" t="s">
        <v>1522</v>
      </c>
      <c r="B1445" s="2">
        <v>45323</v>
      </c>
      <c r="C1445" t="s">
        <v>31</v>
      </c>
      <c r="D1445" t="s">
        <v>32</v>
      </c>
      <c r="E1445" t="s">
        <v>26</v>
      </c>
      <c r="F1445" s="5">
        <v>3</v>
      </c>
      <c r="G1445" s="5">
        <v>1</v>
      </c>
      <c r="H1445" s="5">
        <v>7611</v>
      </c>
      <c r="I1445" s="5">
        <v>1</v>
      </c>
      <c r="J1445" s="5">
        <v>2537</v>
      </c>
      <c r="K1445" t="s">
        <v>18</v>
      </c>
      <c r="L1445" t="s">
        <v>57</v>
      </c>
      <c r="M1445" t="s">
        <v>20</v>
      </c>
      <c r="N1445" t="s">
        <v>48</v>
      </c>
      <c r="O1445" t="s">
        <v>87</v>
      </c>
      <c r="P1445" t="s">
        <v>18</v>
      </c>
      <c r="Q1445">
        <f>Table1[[#This Row],[Course_Fee_AED]]-Table1[[#This Row],[Amount_Paid_AED]]</f>
        <v>5074</v>
      </c>
      <c r="R1445">
        <f>Table1[[#This Row],[Course_Fee_AED]]-Table1[[#This Row],[pending Revenue]]</f>
        <v>2537</v>
      </c>
    </row>
    <row r="1446" spans="1:18" x14ac:dyDescent="0.25">
      <c r="A1446" t="s">
        <v>1523</v>
      </c>
      <c r="B1446" s="2">
        <v>45640</v>
      </c>
      <c r="C1446" t="s">
        <v>31</v>
      </c>
      <c r="D1446" t="s">
        <v>32</v>
      </c>
      <c r="E1446" t="s">
        <v>17</v>
      </c>
      <c r="F1446" s="5">
        <v>6</v>
      </c>
      <c r="G1446" s="5">
        <v>1</v>
      </c>
      <c r="H1446" s="5">
        <v>6183</v>
      </c>
      <c r="I1446" s="5">
        <v>1</v>
      </c>
      <c r="J1446" s="5">
        <v>2061</v>
      </c>
      <c r="K1446" t="s">
        <v>18</v>
      </c>
      <c r="L1446" t="s">
        <v>19</v>
      </c>
      <c r="M1446" t="s">
        <v>20</v>
      </c>
      <c r="N1446" t="s">
        <v>154</v>
      </c>
      <c r="O1446" t="s">
        <v>22</v>
      </c>
      <c r="P1446" t="s">
        <v>36</v>
      </c>
      <c r="Q1446">
        <f>Table1[[#This Row],[Course_Fee_AED]]-Table1[[#This Row],[Amount_Paid_AED]]</f>
        <v>4122</v>
      </c>
      <c r="R1446">
        <f>Table1[[#This Row],[Course_Fee_AED]]-Table1[[#This Row],[pending Revenue]]</f>
        <v>2061</v>
      </c>
    </row>
    <row r="1447" spans="1:18" x14ac:dyDescent="0.25">
      <c r="A1447" t="s">
        <v>1524</v>
      </c>
      <c r="B1447" s="2">
        <v>45517</v>
      </c>
      <c r="C1447" t="s">
        <v>106</v>
      </c>
      <c r="D1447" t="s">
        <v>107</v>
      </c>
      <c r="E1447" t="s">
        <v>26</v>
      </c>
      <c r="F1447" s="5">
        <v>3</v>
      </c>
      <c r="G1447" s="5">
        <v>1</v>
      </c>
      <c r="H1447" s="5">
        <v>7116</v>
      </c>
      <c r="I1447" s="5">
        <v>1</v>
      </c>
      <c r="J1447" s="5">
        <v>2372</v>
      </c>
      <c r="K1447" t="s">
        <v>18</v>
      </c>
      <c r="L1447" t="s">
        <v>40</v>
      </c>
      <c r="M1447" t="s">
        <v>60</v>
      </c>
      <c r="N1447" t="s">
        <v>116</v>
      </c>
      <c r="O1447" t="s">
        <v>22</v>
      </c>
      <c r="P1447" t="s">
        <v>36</v>
      </c>
      <c r="Q1447">
        <f>Table1[[#This Row],[Course_Fee_AED]]-Table1[[#This Row],[Amount_Paid_AED]]</f>
        <v>4744</v>
      </c>
      <c r="R1447">
        <f>Table1[[#This Row],[Course_Fee_AED]]-Table1[[#This Row],[pending Revenue]]</f>
        <v>2372</v>
      </c>
    </row>
    <row r="1448" spans="1:18" x14ac:dyDescent="0.25">
      <c r="A1448" t="s">
        <v>1525</v>
      </c>
      <c r="B1448" s="2">
        <v>45293</v>
      </c>
      <c r="C1448" t="s">
        <v>82</v>
      </c>
      <c r="D1448" t="s">
        <v>83</v>
      </c>
      <c r="E1448" t="s">
        <v>26</v>
      </c>
      <c r="F1448" s="5">
        <v>3</v>
      </c>
      <c r="G1448" s="5">
        <v>1</v>
      </c>
      <c r="H1448" s="5">
        <v>11379</v>
      </c>
      <c r="I1448" s="5">
        <v>2</v>
      </c>
      <c r="J1448" s="5">
        <v>7586</v>
      </c>
      <c r="K1448" t="s">
        <v>18</v>
      </c>
      <c r="L1448" t="s">
        <v>40</v>
      </c>
      <c r="M1448" t="s">
        <v>60</v>
      </c>
      <c r="N1448" t="s">
        <v>95</v>
      </c>
      <c r="O1448" t="s">
        <v>29</v>
      </c>
      <c r="P1448" t="s">
        <v>36</v>
      </c>
      <c r="Q1448">
        <f>Table1[[#This Row],[Course_Fee_AED]]-Table1[[#This Row],[Amount_Paid_AED]]</f>
        <v>3793</v>
      </c>
      <c r="R1448">
        <f>Table1[[#This Row],[Course_Fee_AED]]-Table1[[#This Row],[pending Revenue]]</f>
        <v>7586</v>
      </c>
    </row>
    <row r="1449" spans="1:18" x14ac:dyDescent="0.25">
      <c r="A1449" t="s">
        <v>1526</v>
      </c>
      <c r="B1449" s="2">
        <v>45645</v>
      </c>
      <c r="C1449" t="s">
        <v>66</v>
      </c>
      <c r="D1449" t="s">
        <v>56</v>
      </c>
      <c r="E1449" t="s">
        <v>26</v>
      </c>
      <c r="F1449" s="5">
        <v>3</v>
      </c>
      <c r="G1449" s="5">
        <v>1</v>
      </c>
      <c r="H1449" s="5">
        <v>10166</v>
      </c>
      <c r="I1449" s="5">
        <v>3</v>
      </c>
      <c r="J1449" s="5">
        <v>10164</v>
      </c>
      <c r="K1449" t="s">
        <v>18</v>
      </c>
      <c r="L1449" t="s">
        <v>19</v>
      </c>
      <c r="M1449" t="s">
        <v>27</v>
      </c>
      <c r="N1449" t="s">
        <v>90</v>
      </c>
      <c r="O1449" t="s">
        <v>64</v>
      </c>
      <c r="P1449" t="s">
        <v>18</v>
      </c>
      <c r="Q1449">
        <f>Table1[[#This Row],[Course_Fee_AED]]-Table1[[#This Row],[Amount_Paid_AED]]</f>
        <v>2</v>
      </c>
      <c r="R1449">
        <f>Table1[[#This Row],[Course_Fee_AED]]-Table1[[#This Row],[pending Revenue]]</f>
        <v>10164</v>
      </c>
    </row>
    <row r="1450" spans="1:18" x14ac:dyDescent="0.25">
      <c r="A1450" t="s">
        <v>1527</v>
      </c>
      <c r="B1450" s="2">
        <v>45479</v>
      </c>
      <c r="C1450" t="s">
        <v>31</v>
      </c>
      <c r="D1450" t="s">
        <v>32</v>
      </c>
      <c r="E1450" t="s">
        <v>26</v>
      </c>
      <c r="F1450" s="5">
        <v>3</v>
      </c>
      <c r="G1450" s="5">
        <v>1</v>
      </c>
      <c r="H1450" s="5">
        <v>5221</v>
      </c>
      <c r="I1450" s="5">
        <v>3</v>
      </c>
      <c r="J1450" s="5">
        <v>5220</v>
      </c>
      <c r="K1450" t="s">
        <v>18</v>
      </c>
      <c r="L1450" t="s">
        <v>40</v>
      </c>
      <c r="M1450" t="s">
        <v>27</v>
      </c>
      <c r="N1450" t="s">
        <v>116</v>
      </c>
      <c r="O1450" t="s">
        <v>71</v>
      </c>
      <c r="P1450" t="s">
        <v>18</v>
      </c>
      <c r="Q1450">
        <f>Table1[[#This Row],[Course_Fee_AED]]-Table1[[#This Row],[Amount_Paid_AED]]</f>
        <v>1</v>
      </c>
      <c r="R1450">
        <f>Table1[[#This Row],[Course_Fee_AED]]-Table1[[#This Row],[pending Revenue]]</f>
        <v>5220</v>
      </c>
    </row>
    <row r="1451" spans="1:18" x14ac:dyDescent="0.25">
      <c r="A1451" t="s">
        <v>1528</v>
      </c>
      <c r="B1451" s="2">
        <v>45563</v>
      </c>
      <c r="C1451" t="s">
        <v>38</v>
      </c>
      <c r="D1451" t="s">
        <v>39</v>
      </c>
      <c r="E1451" t="s">
        <v>17</v>
      </c>
      <c r="F1451" s="5">
        <v>6</v>
      </c>
      <c r="G1451" s="5">
        <v>1</v>
      </c>
      <c r="H1451" s="5">
        <v>4488</v>
      </c>
      <c r="I1451" s="5">
        <v>2</v>
      </c>
      <c r="J1451" s="5">
        <v>2992</v>
      </c>
      <c r="K1451" t="s">
        <v>18</v>
      </c>
      <c r="L1451" t="s">
        <v>19</v>
      </c>
      <c r="M1451" t="s">
        <v>60</v>
      </c>
      <c r="N1451" t="s">
        <v>70</v>
      </c>
      <c r="O1451" t="s">
        <v>35</v>
      </c>
      <c r="P1451" t="s">
        <v>18</v>
      </c>
      <c r="Q1451">
        <f>Table1[[#This Row],[Course_Fee_AED]]-Table1[[#This Row],[Amount_Paid_AED]]</f>
        <v>1496</v>
      </c>
      <c r="R1451">
        <f>Table1[[#This Row],[Course_Fee_AED]]-Table1[[#This Row],[pending Revenue]]</f>
        <v>2992</v>
      </c>
    </row>
    <row r="1452" spans="1:18" x14ac:dyDescent="0.25">
      <c r="A1452" t="s">
        <v>1529</v>
      </c>
      <c r="B1452" s="2">
        <v>45511</v>
      </c>
      <c r="C1452" t="s">
        <v>24</v>
      </c>
      <c r="D1452" t="s">
        <v>25</v>
      </c>
      <c r="E1452" t="s">
        <v>26</v>
      </c>
      <c r="F1452" s="5">
        <v>3</v>
      </c>
      <c r="G1452" s="5">
        <v>1</v>
      </c>
      <c r="H1452" s="5">
        <v>5039</v>
      </c>
      <c r="I1452" s="5">
        <v>1</v>
      </c>
      <c r="J1452" s="5">
        <v>1679</v>
      </c>
      <c r="K1452" t="s">
        <v>18</v>
      </c>
      <c r="L1452" t="s">
        <v>57</v>
      </c>
      <c r="M1452" t="s">
        <v>63</v>
      </c>
      <c r="N1452" t="s">
        <v>34</v>
      </c>
      <c r="O1452" t="s">
        <v>29</v>
      </c>
      <c r="P1452" t="s">
        <v>18</v>
      </c>
      <c r="Q1452">
        <f>Table1[[#This Row],[Course_Fee_AED]]-Table1[[#This Row],[Amount_Paid_AED]]</f>
        <v>3360</v>
      </c>
      <c r="R1452">
        <f>Table1[[#This Row],[Course_Fee_AED]]-Table1[[#This Row],[pending Revenue]]</f>
        <v>1679</v>
      </c>
    </row>
    <row r="1453" spans="1:18" x14ac:dyDescent="0.25">
      <c r="A1453" t="s">
        <v>1530</v>
      </c>
      <c r="B1453" s="2">
        <v>45566</v>
      </c>
      <c r="C1453" t="s">
        <v>75</v>
      </c>
      <c r="D1453" t="s">
        <v>76</v>
      </c>
      <c r="E1453" t="s">
        <v>17</v>
      </c>
      <c r="F1453" s="5">
        <v>6</v>
      </c>
      <c r="G1453" s="5">
        <v>1</v>
      </c>
      <c r="H1453" s="5">
        <v>14505</v>
      </c>
      <c r="I1453" s="5">
        <v>2</v>
      </c>
      <c r="J1453" s="5">
        <v>9670</v>
      </c>
      <c r="K1453" t="s">
        <v>18</v>
      </c>
      <c r="L1453" t="s">
        <v>40</v>
      </c>
      <c r="M1453" t="s">
        <v>60</v>
      </c>
      <c r="N1453" t="s">
        <v>73</v>
      </c>
      <c r="O1453" t="s">
        <v>29</v>
      </c>
      <c r="P1453" t="s">
        <v>18</v>
      </c>
      <c r="Q1453">
        <f>Table1[[#This Row],[Course_Fee_AED]]-Table1[[#This Row],[Amount_Paid_AED]]</f>
        <v>4835</v>
      </c>
      <c r="R1453">
        <f>Table1[[#This Row],[Course_Fee_AED]]-Table1[[#This Row],[pending Revenue]]</f>
        <v>9670</v>
      </c>
    </row>
    <row r="1454" spans="1:18" x14ac:dyDescent="0.25">
      <c r="A1454" t="s">
        <v>1531</v>
      </c>
      <c r="B1454" s="2">
        <v>45608</v>
      </c>
      <c r="C1454" t="s">
        <v>66</v>
      </c>
      <c r="D1454" t="s">
        <v>56</v>
      </c>
      <c r="E1454" t="s">
        <v>17</v>
      </c>
      <c r="F1454" s="5">
        <v>6</v>
      </c>
      <c r="G1454" s="5">
        <v>1</v>
      </c>
      <c r="H1454" s="5">
        <v>11470</v>
      </c>
      <c r="I1454" s="5">
        <v>3</v>
      </c>
      <c r="J1454" s="5">
        <v>11469</v>
      </c>
      <c r="K1454" t="s">
        <v>18</v>
      </c>
      <c r="L1454" t="s">
        <v>19</v>
      </c>
      <c r="M1454" t="s">
        <v>41</v>
      </c>
      <c r="N1454" t="s">
        <v>95</v>
      </c>
      <c r="O1454" t="s">
        <v>71</v>
      </c>
      <c r="P1454" t="s">
        <v>18</v>
      </c>
      <c r="Q1454">
        <f>Table1[[#This Row],[Course_Fee_AED]]-Table1[[#This Row],[Amount_Paid_AED]]</f>
        <v>1</v>
      </c>
      <c r="R1454">
        <f>Table1[[#This Row],[Course_Fee_AED]]-Table1[[#This Row],[pending Revenue]]</f>
        <v>11469</v>
      </c>
    </row>
    <row r="1455" spans="1:18" x14ac:dyDescent="0.25">
      <c r="A1455" t="s">
        <v>1532</v>
      </c>
      <c r="B1455" s="2">
        <v>45501</v>
      </c>
      <c r="C1455" t="s">
        <v>24</v>
      </c>
      <c r="D1455" t="s">
        <v>25</v>
      </c>
      <c r="E1455" t="s">
        <v>26</v>
      </c>
      <c r="F1455" s="5">
        <v>3</v>
      </c>
      <c r="G1455" s="5">
        <v>1</v>
      </c>
      <c r="H1455" s="5">
        <v>5758</v>
      </c>
      <c r="I1455" s="5">
        <v>3</v>
      </c>
      <c r="J1455" s="5">
        <v>5757</v>
      </c>
      <c r="K1455" t="s">
        <v>18</v>
      </c>
      <c r="L1455" t="s">
        <v>19</v>
      </c>
      <c r="M1455" t="s">
        <v>47</v>
      </c>
      <c r="N1455" t="s">
        <v>90</v>
      </c>
      <c r="O1455" t="s">
        <v>58</v>
      </c>
      <c r="P1455" t="s">
        <v>18</v>
      </c>
      <c r="Q1455">
        <f>Table1[[#This Row],[Course_Fee_AED]]-Table1[[#This Row],[Amount_Paid_AED]]</f>
        <v>1</v>
      </c>
      <c r="R1455">
        <f>Table1[[#This Row],[Course_Fee_AED]]-Table1[[#This Row],[pending Revenue]]</f>
        <v>5757</v>
      </c>
    </row>
    <row r="1456" spans="1:18" x14ac:dyDescent="0.25">
      <c r="A1456" t="s">
        <v>1533</v>
      </c>
      <c r="B1456" s="2">
        <v>45548</v>
      </c>
      <c r="C1456" t="s">
        <v>51</v>
      </c>
      <c r="D1456" t="s">
        <v>52</v>
      </c>
      <c r="E1456" t="s">
        <v>17</v>
      </c>
      <c r="F1456" s="5">
        <v>6</v>
      </c>
      <c r="G1456" s="5">
        <v>1</v>
      </c>
      <c r="H1456" s="5">
        <v>4141</v>
      </c>
      <c r="I1456" s="5">
        <v>2</v>
      </c>
      <c r="J1456" s="5">
        <v>2760</v>
      </c>
      <c r="K1456" t="s">
        <v>18</v>
      </c>
      <c r="L1456" t="s">
        <v>40</v>
      </c>
      <c r="M1456" t="s">
        <v>27</v>
      </c>
      <c r="N1456" t="s">
        <v>61</v>
      </c>
      <c r="O1456" t="s">
        <v>29</v>
      </c>
      <c r="P1456" t="s">
        <v>18</v>
      </c>
      <c r="Q1456">
        <f>Table1[[#This Row],[Course_Fee_AED]]-Table1[[#This Row],[Amount_Paid_AED]]</f>
        <v>1381</v>
      </c>
      <c r="R1456">
        <f>Table1[[#This Row],[Course_Fee_AED]]-Table1[[#This Row],[pending Revenue]]</f>
        <v>2760</v>
      </c>
    </row>
    <row r="1457" spans="1:18" x14ac:dyDescent="0.25">
      <c r="A1457" t="s">
        <v>1534</v>
      </c>
      <c r="B1457" s="2">
        <v>45542</v>
      </c>
      <c r="C1457" t="s">
        <v>38</v>
      </c>
      <c r="D1457" t="s">
        <v>39</v>
      </c>
      <c r="E1457" t="s">
        <v>17</v>
      </c>
      <c r="F1457" s="5">
        <v>6</v>
      </c>
      <c r="G1457" s="5">
        <v>1</v>
      </c>
      <c r="H1457" s="5">
        <v>6686</v>
      </c>
      <c r="I1457" s="5">
        <v>1</v>
      </c>
      <c r="J1457" s="5">
        <v>2228</v>
      </c>
      <c r="K1457" t="s">
        <v>18</v>
      </c>
      <c r="L1457" t="s">
        <v>57</v>
      </c>
      <c r="M1457" t="s">
        <v>20</v>
      </c>
      <c r="N1457" t="s">
        <v>42</v>
      </c>
      <c r="O1457" t="s">
        <v>43</v>
      </c>
      <c r="P1457" t="s">
        <v>36</v>
      </c>
      <c r="Q1457">
        <f>Table1[[#This Row],[Course_Fee_AED]]-Table1[[#This Row],[Amount_Paid_AED]]</f>
        <v>4458</v>
      </c>
      <c r="R1457">
        <f>Table1[[#This Row],[Course_Fee_AED]]-Table1[[#This Row],[pending Revenue]]</f>
        <v>2228</v>
      </c>
    </row>
    <row r="1458" spans="1:18" x14ac:dyDescent="0.25">
      <c r="A1458" t="s">
        <v>1535</v>
      </c>
      <c r="B1458" s="2">
        <v>45655</v>
      </c>
      <c r="C1458" t="s">
        <v>113</v>
      </c>
      <c r="D1458" t="s">
        <v>93</v>
      </c>
      <c r="E1458" t="s">
        <v>26</v>
      </c>
      <c r="F1458" s="5">
        <v>3</v>
      </c>
      <c r="G1458" s="5">
        <v>1</v>
      </c>
      <c r="H1458" s="5">
        <v>3494</v>
      </c>
      <c r="I1458" s="5">
        <v>3</v>
      </c>
      <c r="J1458" s="5">
        <v>3492</v>
      </c>
      <c r="K1458" t="s">
        <v>18</v>
      </c>
      <c r="L1458" t="s">
        <v>57</v>
      </c>
      <c r="M1458" t="s">
        <v>60</v>
      </c>
      <c r="N1458" t="s">
        <v>61</v>
      </c>
      <c r="O1458" t="s">
        <v>43</v>
      </c>
      <c r="P1458" t="s">
        <v>18</v>
      </c>
      <c r="Q1458">
        <f>Table1[[#This Row],[Course_Fee_AED]]-Table1[[#This Row],[Amount_Paid_AED]]</f>
        <v>2</v>
      </c>
      <c r="R1458">
        <f>Table1[[#This Row],[Course_Fee_AED]]-Table1[[#This Row],[pending Revenue]]</f>
        <v>3492</v>
      </c>
    </row>
    <row r="1459" spans="1:18" x14ac:dyDescent="0.25">
      <c r="A1459" t="s">
        <v>1536</v>
      </c>
      <c r="B1459" s="2">
        <v>45391</v>
      </c>
      <c r="C1459" t="s">
        <v>75</v>
      </c>
      <c r="D1459" t="s">
        <v>76</v>
      </c>
      <c r="E1459" t="s">
        <v>26</v>
      </c>
      <c r="F1459" s="5">
        <v>3</v>
      </c>
      <c r="G1459" s="5">
        <v>1</v>
      </c>
      <c r="H1459" s="5">
        <v>12381</v>
      </c>
      <c r="I1459" s="5">
        <v>2</v>
      </c>
      <c r="J1459" s="5">
        <v>8254</v>
      </c>
      <c r="K1459" t="s">
        <v>18</v>
      </c>
      <c r="L1459" t="s">
        <v>57</v>
      </c>
      <c r="M1459" t="s">
        <v>20</v>
      </c>
      <c r="N1459" t="s">
        <v>28</v>
      </c>
      <c r="O1459" t="s">
        <v>29</v>
      </c>
      <c r="P1459" t="s">
        <v>36</v>
      </c>
      <c r="Q1459">
        <f>Table1[[#This Row],[Course_Fee_AED]]-Table1[[#This Row],[Amount_Paid_AED]]</f>
        <v>4127</v>
      </c>
      <c r="R1459">
        <f>Table1[[#This Row],[Course_Fee_AED]]-Table1[[#This Row],[pending Revenue]]</f>
        <v>8254</v>
      </c>
    </row>
    <row r="1460" spans="1:18" x14ac:dyDescent="0.25">
      <c r="A1460" t="s">
        <v>1537</v>
      </c>
      <c r="B1460" s="2">
        <v>45469</v>
      </c>
      <c r="C1460" t="s">
        <v>106</v>
      </c>
      <c r="D1460" t="s">
        <v>107</v>
      </c>
      <c r="E1460" t="s">
        <v>26</v>
      </c>
      <c r="F1460" s="5">
        <v>3</v>
      </c>
      <c r="G1460" s="5">
        <v>1</v>
      </c>
      <c r="H1460" s="5">
        <v>5540</v>
      </c>
      <c r="I1460" s="5">
        <v>1</v>
      </c>
      <c r="J1460" s="5">
        <v>1846</v>
      </c>
      <c r="K1460" t="s">
        <v>18</v>
      </c>
      <c r="L1460" t="s">
        <v>57</v>
      </c>
      <c r="M1460" t="s">
        <v>27</v>
      </c>
      <c r="N1460" t="s">
        <v>79</v>
      </c>
      <c r="O1460" t="s">
        <v>29</v>
      </c>
      <c r="P1460" t="s">
        <v>18</v>
      </c>
      <c r="Q1460">
        <f>Table1[[#This Row],[Course_Fee_AED]]-Table1[[#This Row],[Amount_Paid_AED]]</f>
        <v>3694</v>
      </c>
      <c r="R1460">
        <f>Table1[[#This Row],[Course_Fee_AED]]-Table1[[#This Row],[pending Revenue]]</f>
        <v>1846</v>
      </c>
    </row>
    <row r="1461" spans="1:18" x14ac:dyDescent="0.25">
      <c r="A1461" t="s">
        <v>1538</v>
      </c>
      <c r="B1461" s="2">
        <v>45493</v>
      </c>
      <c r="C1461" t="s">
        <v>113</v>
      </c>
      <c r="D1461" t="s">
        <v>93</v>
      </c>
      <c r="E1461" t="s">
        <v>17</v>
      </c>
      <c r="F1461" s="5">
        <v>6</v>
      </c>
      <c r="G1461" s="5">
        <v>1</v>
      </c>
      <c r="H1461" s="5">
        <v>3428</v>
      </c>
      <c r="I1461" s="5">
        <v>2</v>
      </c>
      <c r="J1461" s="5">
        <v>2284</v>
      </c>
      <c r="K1461" t="s">
        <v>18</v>
      </c>
      <c r="L1461" t="s">
        <v>57</v>
      </c>
      <c r="M1461" t="s">
        <v>47</v>
      </c>
      <c r="N1461" t="s">
        <v>48</v>
      </c>
      <c r="O1461" t="s">
        <v>49</v>
      </c>
      <c r="P1461" t="s">
        <v>18</v>
      </c>
      <c r="Q1461">
        <f>Table1[[#This Row],[Course_Fee_AED]]-Table1[[#This Row],[Amount_Paid_AED]]</f>
        <v>1144</v>
      </c>
      <c r="R1461">
        <f>Table1[[#This Row],[Course_Fee_AED]]-Table1[[#This Row],[pending Revenue]]</f>
        <v>2284</v>
      </c>
    </row>
    <row r="1462" spans="1:18" x14ac:dyDescent="0.25">
      <c r="A1462" t="s">
        <v>1539</v>
      </c>
      <c r="B1462" s="2">
        <v>45441</v>
      </c>
      <c r="C1462" t="s">
        <v>55</v>
      </c>
      <c r="D1462" t="s">
        <v>56</v>
      </c>
      <c r="E1462" t="s">
        <v>17</v>
      </c>
      <c r="F1462" s="5">
        <v>6</v>
      </c>
      <c r="G1462" s="5">
        <v>1</v>
      </c>
      <c r="H1462" s="5">
        <v>10632</v>
      </c>
      <c r="I1462" s="5">
        <v>3</v>
      </c>
      <c r="J1462" s="5">
        <v>10632</v>
      </c>
      <c r="K1462" t="s">
        <v>33</v>
      </c>
      <c r="L1462" t="s">
        <v>57</v>
      </c>
      <c r="M1462" t="s">
        <v>60</v>
      </c>
      <c r="N1462" t="s">
        <v>95</v>
      </c>
      <c r="O1462" t="s">
        <v>58</v>
      </c>
      <c r="P1462" t="s">
        <v>18</v>
      </c>
      <c r="Q1462">
        <f>Table1[[#This Row],[Course_Fee_AED]]-Table1[[#This Row],[Amount_Paid_AED]]</f>
        <v>0</v>
      </c>
      <c r="R1462">
        <f>Table1[[#This Row],[Course_Fee_AED]]-Table1[[#This Row],[pending Revenue]]</f>
        <v>10632</v>
      </c>
    </row>
    <row r="1463" spans="1:18" x14ac:dyDescent="0.25">
      <c r="A1463" t="s">
        <v>1540</v>
      </c>
      <c r="B1463" s="2">
        <v>45512</v>
      </c>
      <c r="C1463" t="s">
        <v>15</v>
      </c>
      <c r="D1463" t="s">
        <v>16</v>
      </c>
      <c r="E1463" t="s">
        <v>26</v>
      </c>
      <c r="F1463" s="5">
        <v>3</v>
      </c>
      <c r="G1463" s="5">
        <v>1</v>
      </c>
      <c r="H1463" s="5">
        <v>5957</v>
      </c>
      <c r="I1463" s="5">
        <v>1</v>
      </c>
      <c r="J1463" s="5">
        <v>1985</v>
      </c>
      <c r="K1463" t="s">
        <v>18</v>
      </c>
      <c r="L1463" t="s">
        <v>57</v>
      </c>
      <c r="M1463" t="s">
        <v>63</v>
      </c>
      <c r="N1463" t="s">
        <v>61</v>
      </c>
      <c r="O1463" t="s">
        <v>35</v>
      </c>
      <c r="P1463" t="s">
        <v>36</v>
      </c>
      <c r="Q1463">
        <f>Table1[[#This Row],[Course_Fee_AED]]-Table1[[#This Row],[Amount_Paid_AED]]</f>
        <v>3972</v>
      </c>
      <c r="R1463">
        <f>Table1[[#This Row],[Course_Fee_AED]]-Table1[[#This Row],[pending Revenue]]</f>
        <v>1985</v>
      </c>
    </row>
    <row r="1464" spans="1:18" x14ac:dyDescent="0.25">
      <c r="A1464" t="s">
        <v>1541</v>
      </c>
      <c r="B1464" s="2">
        <v>45317</v>
      </c>
      <c r="C1464" t="s">
        <v>51</v>
      </c>
      <c r="D1464" t="s">
        <v>52</v>
      </c>
      <c r="E1464" t="s">
        <v>17</v>
      </c>
      <c r="F1464" s="5">
        <v>6</v>
      </c>
      <c r="G1464" s="5">
        <v>1</v>
      </c>
      <c r="H1464" s="5">
        <v>5961</v>
      </c>
      <c r="I1464" s="5">
        <v>3</v>
      </c>
      <c r="J1464" s="5">
        <v>5961</v>
      </c>
      <c r="K1464" t="s">
        <v>33</v>
      </c>
      <c r="L1464" t="s">
        <v>19</v>
      </c>
      <c r="M1464" t="s">
        <v>60</v>
      </c>
      <c r="N1464" t="s">
        <v>70</v>
      </c>
      <c r="O1464" t="s">
        <v>49</v>
      </c>
      <c r="P1464" t="s">
        <v>18</v>
      </c>
      <c r="Q1464">
        <f>Table1[[#This Row],[Course_Fee_AED]]-Table1[[#This Row],[Amount_Paid_AED]]</f>
        <v>0</v>
      </c>
      <c r="R1464">
        <f>Table1[[#This Row],[Course_Fee_AED]]-Table1[[#This Row],[pending Revenue]]</f>
        <v>5961</v>
      </c>
    </row>
    <row r="1465" spans="1:18" x14ac:dyDescent="0.25">
      <c r="A1465" t="s">
        <v>1542</v>
      </c>
      <c r="B1465" s="2">
        <v>45425</v>
      </c>
      <c r="C1465" t="s">
        <v>24</v>
      </c>
      <c r="D1465" t="s">
        <v>25</v>
      </c>
      <c r="E1465" t="s">
        <v>17</v>
      </c>
      <c r="F1465" s="5">
        <v>6</v>
      </c>
      <c r="G1465" s="5">
        <v>1</v>
      </c>
      <c r="H1465" s="5">
        <v>5311</v>
      </c>
      <c r="I1465" s="5">
        <v>2</v>
      </c>
      <c r="J1465" s="5">
        <v>3540</v>
      </c>
      <c r="K1465" t="s">
        <v>18</v>
      </c>
      <c r="L1465" t="s">
        <v>57</v>
      </c>
      <c r="M1465" t="s">
        <v>41</v>
      </c>
      <c r="N1465" t="s">
        <v>73</v>
      </c>
      <c r="O1465" t="s">
        <v>64</v>
      </c>
      <c r="P1465" t="s">
        <v>36</v>
      </c>
      <c r="Q1465">
        <f>Table1[[#This Row],[Course_Fee_AED]]-Table1[[#This Row],[Amount_Paid_AED]]</f>
        <v>1771</v>
      </c>
      <c r="R1465">
        <f>Table1[[#This Row],[Course_Fee_AED]]-Table1[[#This Row],[pending Revenue]]</f>
        <v>3540</v>
      </c>
    </row>
    <row r="1466" spans="1:18" x14ac:dyDescent="0.25">
      <c r="A1466" t="s">
        <v>1543</v>
      </c>
      <c r="B1466" s="2">
        <v>45417</v>
      </c>
      <c r="C1466" t="s">
        <v>100</v>
      </c>
      <c r="D1466" t="s">
        <v>101</v>
      </c>
      <c r="E1466" t="s">
        <v>26</v>
      </c>
      <c r="F1466" s="5">
        <v>3</v>
      </c>
      <c r="G1466" s="5">
        <v>1</v>
      </c>
      <c r="H1466" s="5">
        <v>5491</v>
      </c>
      <c r="I1466" s="5">
        <v>3</v>
      </c>
      <c r="J1466" s="5">
        <v>5490</v>
      </c>
      <c r="K1466" t="s">
        <v>18</v>
      </c>
      <c r="L1466" t="s">
        <v>57</v>
      </c>
      <c r="M1466" t="s">
        <v>27</v>
      </c>
      <c r="N1466" t="s">
        <v>79</v>
      </c>
      <c r="O1466" t="s">
        <v>68</v>
      </c>
      <c r="P1466" t="s">
        <v>18</v>
      </c>
      <c r="Q1466">
        <f>Table1[[#This Row],[Course_Fee_AED]]-Table1[[#This Row],[Amount_Paid_AED]]</f>
        <v>1</v>
      </c>
      <c r="R1466">
        <f>Table1[[#This Row],[Course_Fee_AED]]-Table1[[#This Row],[pending Revenue]]</f>
        <v>5490</v>
      </c>
    </row>
    <row r="1467" spans="1:18" x14ac:dyDescent="0.25">
      <c r="A1467" t="s">
        <v>1544</v>
      </c>
      <c r="B1467" s="2">
        <v>45625</v>
      </c>
      <c r="C1467" t="s">
        <v>106</v>
      </c>
      <c r="D1467" t="s">
        <v>107</v>
      </c>
      <c r="E1467" t="s">
        <v>26</v>
      </c>
      <c r="F1467" s="5">
        <v>3</v>
      </c>
      <c r="G1467" s="5">
        <v>1</v>
      </c>
      <c r="H1467" s="5">
        <v>5889</v>
      </c>
      <c r="I1467" s="5">
        <v>2</v>
      </c>
      <c r="J1467" s="5">
        <v>3926</v>
      </c>
      <c r="K1467" t="s">
        <v>18</v>
      </c>
      <c r="L1467" t="s">
        <v>19</v>
      </c>
      <c r="M1467" t="s">
        <v>60</v>
      </c>
      <c r="N1467" t="s">
        <v>95</v>
      </c>
      <c r="O1467" t="s">
        <v>87</v>
      </c>
      <c r="P1467" t="s">
        <v>18</v>
      </c>
      <c r="Q1467">
        <f>Table1[[#This Row],[Course_Fee_AED]]-Table1[[#This Row],[Amount_Paid_AED]]</f>
        <v>1963</v>
      </c>
      <c r="R1467">
        <f>Table1[[#This Row],[Course_Fee_AED]]-Table1[[#This Row],[pending Revenue]]</f>
        <v>3926</v>
      </c>
    </row>
    <row r="1468" spans="1:18" x14ac:dyDescent="0.25">
      <c r="A1468" t="s">
        <v>1545</v>
      </c>
      <c r="B1468" s="2">
        <v>45357</v>
      </c>
      <c r="C1468" t="s">
        <v>24</v>
      </c>
      <c r="D1468" t="s">
        <v>25</v>
      </c>
      <c r="E1468" t="s">
        <v>17</v>
      </c>
      <c r="F1468" s="5">
        <v>6</v>
      </c>
      <c r="G1468" s="5">
        <v>1</v>
      </c>
      <c r="H1468" s="5">
        <v>5896</v>
      </c>
      <c r="I1468" s="5">
        <v>3</v>
      </c>
      <c r="J1468" s="5">
        <v>5895</v>
      </c>
      <c r="K1468" t="s">
        <v>18</v>
      </c>
      <c r="L1468" t="s">
        <v>40</v>
      </c>
      <c r="M1468" t="s">
        <v>47</v>
      </c>
      <c r="N1468" t="s">
        <v>53</v>
      </c>
      <c r="O1468" t="s">
        <v>22</v>
      </c>
      <c r="P1468" t="s">
        <v>18</v>
      </c>
      <c r="Q1468">
        <f>Table1[[#This Row],[Course_Fee_AED]]-Table1[[#This Row],[Amount_Paid_AED]]</f>
        <v>1</v>
      </c>
      <c r="R1468">
        <f>Table1[[#This Row],[Course_Fee_AED]]-Table1[[#This Row],[pending Revenue]]</f>
        <v>5895</v>
      </c>
    </row>
    <row r="1469" spans="1:18" x14ac:dyDescent="0.25">
      <c r="A1469" t="s">
        <v>1546</v>
      </c>
      <c r="B1469" s="2">
        <v>45622</v>
      </c>
      <c r="C1469" t="s">
        <v>51</v>
      </c>
      <c r="D1469" t="s">
        <v>52</v>
      </c>
      <c r="E1469" t="s">
        <v>17</v>
      </c>
      <c r="F1469" s="5">
        <v>6</v>
      </c>
      <c r="G1469" s="5">
        <v>1</v>
      </c>
      <c r="H1469" s="5">
        <v>4808</v>
      </c>
      <c r="I1469" s="5">
        <v>2</v>
      </c>
      <c r="J1469" s="5">
        <v>3204</v>
      </c>
      <c r="K1469" t="s">
        <v>18</v>
      </c>
      <c r="L1469" t="s">
        <v>57</v>
      </c>
      <c r="M1469" t="s">
        <v>41</v>
      </c>
      <c r="N1469" t="s">
        <v>48</v>
      </c>
      <c r="O1469" t="s">
        <v>64</v>
      </c>
      <c r="P1469" t="s">
        <v>18</v>
      </c>
      <c r="Q1469">
        <f>Table1[[#This Row],[Course_Fee_AED]]-Table1[[#This Row],[Amount_Paid_AED]]</f>
        <v>1604</v>
      </c>
      <c r="R1469">
        <f>Table1[[#This Row],[Course_Fee_AED]]-Table1[[#This Row],[pending Revenue]]</f>
        <v>3204</v>
      </c>
    </row>
    <row r="1470" spans="1:18" x14ac:dyDescent="0.25">
      <c r="A1470" t="s">
        <v>1547</v>
      </c>
      <c r="B1470" s="2">
        <v>45330</v>
      </c>
      <c r="C1470" t="s">
        <v>82</v>
      </c>
      <c r="D1470" t="s">
        <v>83</v>
      </c>
      <c r="E1470" t="s">
        <v>26</v>
      </c>
      <c r="F1470" s="5">
        <v>3</v>
      </c>
      <c r="G1470" s="5">
        <v>1</v>
      </c>
      <c r="H1470" s="5">
        <v>13268</v>
      </c>
      <c r="I1470" s="5">
        <v>1</v>
      </c>
      <c r="J1470" s="5">
        <v>4422</v>
      </c>
      <c r="K1470" t="s">
        <v>18</v>
      </c>
      <c r="L1470" t="s">
        <v>57</v>
      </c>
      <c r="M1470" t="s">
        <v>60</v>
      </c>
      <c r="N1470" t="s">
        <v>116</v>
      </c>
      <c r="O1470" t="s">
        <v>35</v>
      </c>
      <c r="P1470" t="s">
        <v>18</v>
      </c>
      <c r="Q1470">
        <f>Table1[[#This Row],[Course_Fee_AED]]-Table1[[#This Row],[Amount_Paid_AED]]</f>
        <v>8846</v>
      </c>
      <c r="R1470">
        <f>Table1[[#This Row],[Course_Fee_AED]]-Table1[[#This Row],[pending Revenue]]</f>
        <v>4422</v>
      </c>
    </row>
    <row r="1471" spans="1:18" x14ac:dyDescent="0.25">
      <c r="A1471" t="s">
        <v>1548</v>
      </c>
      <c r="B1471" s="2">
        <v>45639</v>
      </c>
      <c r="C1471" t="s">
        <v>38</v>
      </c>
      <c r="D1471" t="s">
        <v>39</v>
      </c>
      <c r="E1471" t="s">
        <v>17</v>
      </c>
      <c r="F1471" s="5">
        <v>6</v>
      </c>
      <c r="G1471" s="5">
        <v>1</v>
      </c>
      <c r="H1471" s="5">
        <v>6756</v>
      </c>
      <c r="I1471" s="5">
        <v>2</v>
      </c>
      <c r="J1471" s="5">
        <v>4504</v>
      </c>
      <c r="K1471" t="s">
        <v>18</v>
      </c>
      <c r="L1471" t="s">
        <v>57</v>
      </c>
      <c r="M1471" t="s">
        <v>20</v>
      </c>
      <c r="N1471" t="s">
        <v>79</v>
      </c>
      <c r="O1471" t="s">
        <v>68</v>
      </c>
      <c r="P1471" t="s">
        <v>18</v>
      </c>
      <c r="Q1471">
        <f>Table1[[#This Row],[Course_Fee_AED]]-Table1[[#This Row],[Amount_Paid_AED]]</f>
        <v>2252</v>
      </c>
      <c r="R1471">
        <f>Table1[[#This Row],[Course_Fee_AED]]-Table1[[#This Row],[pending Revenue]]</f>
        <v>4504</v>
      </c>
    </row>
    <row r="1472" spans="1:18" x14ac:dyDescent="0.25">
      <c r="A1472" t="s">
        <v>1549</v>
      </c>
      <c r="B1472" s="2">
        <v>45324</v>
      </c>
      <c r="C1472" t="s">
        <v>92</v>
      </c>
      <c r="D1472" t="s">
        <v>93</v>
      </c>
      <c r="E1472" t="s">
        <v>17</v>
      </c>
      <c r="F1472" s="5">
        <v>6</v>
      </c>
      <c r="G1472" s="5">
        <v>1</v>
      </c>
      <c r="H1472" s="5">
        <v>6262</v>
      </c>
      <c r="I1472" s="5">
        <v>1</v>
      </c>
      <c r="J1472" s="5">
        <v>2087</v>
      </c>
      <c r="K1472" t="s">
        <v>18</v>
      </c>
      <c r="L1472" t="s">
        <v>57</v>
      </c>
      <c r="M1472" t="s">
        <v>63</v>
      </c>
      <c r="N1472" t="s">
        <v>95</v>
      </c>
      <c r="O1472" t="s">
        <v>22</v>
      </c>
      <c r="P1472" t="s">
        <v>36</v>
      </c>
      <c r="Q1472">
        <f>Table1[[#This Row],[Course_Fee_AED]]-Table1[[#This Row],[Amount_Paid_AED]]</f>
        <v>4175</v>
      </c>
      <c r="R1472">
        <f>Table1[[#This Row],[Course_Fee_AED]]-Table1[[#This Row],[pending Revenue]]</f>
        <v>2087</v>
      </c>
    </row>
    <row r="1473" spans="1:18" x14ac:dyDescent="0.25">
      <c r="A1473" t="s">
        <v>1550</v>
      </c>
      <c r="B1473" s="2">
        <v>45511</v>
      </c>
      <c r="C1473" t="s">
        <v>51</v>
      </c>
      <c r="D1473" t="s">
        <v>52</v>
      </c>
      <c r="E1473" t="s">
        <v>26</v>
      </c>
      <c r="F1473" s="5">
        <v>3</v>
      </c>
      <c r="G1473" s="5">
        <v>1</v>
      </c>
      <c r="H1473" s="5">
        <v>5963</v>
      </c>
      <c r="I1473" s="5">
        <v>1</v>
      </c>
      <c r="J1473" s="5">
        <v>1987</v>
      </c>
      <c r="K1473" t="s">
        <v>18</v>
      </c>
      <c r="L1473" t="s">
        <v>57</v>
      </c>
      <c r="M1473" t="s">
        <v>27</v>
      </c>
      <c r="N1473" t="s">
        <v>86</v>
      </c>
      <c r="O1473" t="s">
        <v>87</v>
      </c>
      <c r="P1473" t="s">
        <v>18</v>
      </c>
      <c r="Q1473">
        <f>Table1[[#This Row],[Course_Fee_AED]]-Table1[[#This Row],[Amount_Paid_AED]]</f>
        <v>3976</v>
      </c>
      <c r="R1473">
        <f>Table1[[#This Row],[Course_Fee_AED]]-Table1[[#This Row],[pending Revenue]]</f>
        <v>1987</v>
      </c>
    </row>
    <row r="1474" spans="1:18" x14ac:dyDescent="0.25">
      <c r="A1474" t="s">
        <v>1551</v>
      </c>
      <c r="B1474" s="2">
        <v>45599</v>
      </c>
      <c r="C1474" t="s">
        <v>45</v>
      </c>
      <c r="D1474" t="s">
        <v>46</v>
      </c>
      <c r="E1474" t="s">
        <v>26</v>
      </c>
      <c r="F1474" s="5">
        <v>3</v>
      </c>
      <c r="G1474" s="5">
        <v>1</v>
      </c>
      <c r="H1474" s="5">
        <v>4516</v>
      </c>
      <c r="I1474" s="5">
        <v>1</v>
      </c>
      <c r="J1474" s="5">
        <v>1505</v>
      </c>
      <c r="K1474" t="s">
        <v>18</v>
      </c>
      <c r="L1474" t="s">
        <v>57</v>
      </c>
      <c r="M1474" t="s">
        <v>41</v>
      </c>
      <c r="N1474" t="s">
        <v>21</v>
      </c>
      <c r="O1474" t="s">
        <v>87</v>
      </c>
      <c r="P1474" t="s">
        <v>18</v>
      </c>
      <c r="Q1474">
        <f>Table1[[#This Row],[Course_Fee_AED]]-Table1[[#This Row],[Amount_Paid_AED]]</f>
        <v>3011</v>
      </c>
      <c r="R1474">
        <f>Table1[[#This Row],[Course_Fee_AED]]-Table1[[#This Row],[pending Revenue]]</f>
        <v>1505</v>
      </c>
    </row>
    <row r="1475" spans="1:18" x14ac:dyDescent="0.25">
      <c r="A1475" t="s">
        <v>1552</v>
      </c>
      <c r="B1475" s="2">
        <v>45293</v>
      </c>
      <c r="C1475" t="s">
        <v>82</v>
      </c>
      <c r="D1475" t="s">
        <v>83</v>
      </c>
      <c r="E1475" t="s">
        <v>26</v>
      </c>
      <c r="F1475" s="5">
        <v>3</v>
      </c>
      <c r="G1475" s="5">
        <v>1</v>
      </c>
      <c r="H1475" s="5">
        <v>11180</v>
      </c>
      <c r="I1475" s="5">
        <v>3</v>
      </c>
      <c r="J1475" s="5">
        <v>11178</v>
      </c>
      <c r="K1475" t="s">
        <v>18</v>
      </c>
      <c r="L1475" t="s">
        <v>40</v>
      </c>
      <c r="M1475" t="s">
        <v>63</v>
      </c>
      <c r="N1475" t="s">
        <v>90</v>
      </c>
      <c r="O1475" t="s">
        <v>29</v>
      </c>
      <c r="P1475" t="s">
        <v>36</v>
      </c>
      <c r="Q1475">
        <f>Table1[[#This Row],[Course_Fee_AED]]-Table1[[#This Row],[Amount_Paid_AED]]</f>
        <v>2</v>
      </c>
      <c r="R1475">
        <f>Table1[[#This Row],[Course_Fee_AED]]-Table1[[#This Row],[pending Revenue]]</f>
        <v>11178</v>
      </c>
    </row>
    <row r="1476" spans="1:18" x14ac:dyDescent="0.25">
      <c r="A1476" t="s">
        <v>1553</v>
      </c>
      <c r="B1476" s="2">
        <v>45545</v>
      </c>
      <c r="C1476" t="s">
        <v>106</v>
      </c>
      <c r="D1476" t="s">
        <v>107</v>
      </c>
      <c r="E1476" t="s">
        <v>26</v>
      </c>
      <c r="F1476" s="5">
        <v>3</v>
      </c>
      <c r="G1476" s="5">
        <v>1</v>
      </c>
      <c r="H1476" s="5">
        <v>7223</v>
      </c>
      <c r="I1476" s="5">
        <v>1</v>
      </c>
      <c r="J1476" s="5">
        <v>2407</v>
      </c>
      <c r="K1476" t="s">
        <v>18</v>
      </c>
      <c r="L1476" t="s">
        <v>19</v>
      </c>
      <c r="M1476" t="s">
        <v>63</v>
      </c>
      <c r="N1476" t="s">
        <v>61</v>
      </c>
      <c r="O1476" t="s">
        <v>22</v>
      </c>
      <c r="P1476" t="s">
        <v>18</v>
      </c>
      <c r="Q1476">
        <f>Table1[[#This Row],[Course_Fee_AED]]-Table1[[#This Row],[Amount_Paid_AED]]</f>
        <v>4816</v>
      </c>
      <c r="R1476">
        <f>Table1[[#This Row],[Course_Fee_AED]]-Table1[[#This Row],[pending Revenue]]</f>
        <v>2407</v>
      </c>
    </row>
    <row r="1477" spans="1:18" x14ac:dyDescent="0.25">
      <c r="A1477" t="s">
        <v>1554</v>
      </c>
      <c r="B1477" s="2">
        <v>45419</v>
      </c>
      <c r="C1477" t="s">
        <v>51</v>
      </c>
      <c r="D1477" t="s">
        <v>52</v>
      </c>
      <c r="E1477" t="s">
        <v>17</v>
      </c>
      <c r="F1477" s="5">
        <v>6</v>
      </c>
      <c r="G1477" s="5">
        <v>1</v>
      </c>
      <c r="H1477" s="5">
        <v>4888</v>
      </c>
      <c r="I1477" s="5">
        <v>1</v>
      </c>
      <c r="J1477" s="5">
        <v>1629</v>
      </c>
      <c r="K1477" t="s">
        <v>18</v>
      </c>
      <c r="L1477" t="s">
        <v>19</v>
      </c>
      <c r="M1477" t="s">
        <v>27</v>
      </c>
      <c r="N1477" t="s">
        <v>21</v>
      </c>
      <c r="O1477" t="s">
        <v>68</v>
      </c>
      <c r="P1477" t="s">
        <v>18</v>
      </c>
      <c r="Q1477">
        <f>Table1[[#This Row],[Course_Fee_AED]]-Table1[[#This Row],[Amount_Paid_AED]]</f>
        <v>3259</v>
      </c>
      <c r="R1477">
        <f>Table1[[#This Row],[Course_Fee_AED]]-Table1[[#This Row],[pending Revenue]]</f>
        <v>1629</v>
      </c>
    </row>
    <row r="1478" spans="1:18" x14ac:dyDescent="0.25">
      <c r="A1478" t="s">
        <v>1555</v>
      </c>
      <c r="B1478" s="2">
        <v>45511</v>
      </c>
      <c r="C1478" t="s">
        <v>66</v>
      </c>
      <c r="D1478" t="s">
        <v>56</v>
      </c>
      <c r="E1478" t="s">
        <v>17</v>
      </c>
      <c r="F1478" s="5">
        <v>6</v>
      </c>
      <c r="G1478" s="5">
        <v>1</v>
      </c>
      <c r="H1478" s="5">
        <v>8715</v>
      </c>
      <c r="I1478" s="5">
        <v>1</v>
      </c>
      <c r="J1478" s="5">
        <v>2905</v>
      </c>
      <c r="K1478" t="s">
        <v>18</v>
      </c>
      <c r="L1478" t="s">
        <v>40</v>
      </c>
      <c r="M1478" t="s">
        <v>20</v>
      </c>
      <c r="N1478" t="s">
        <v>70</v>
      </c>
      <c r="O1478" t="s">
        <v>22</v>
      </c>
      <c r="P1478" t="s">
        <v>36</v>
      </c>
      <c r="Q1478">
        <f>Table1[[#This Row],[Course_Fee_AED]]-Table1[[#This Row],[Amount_Paid_AED]]</f>
        <v>5810</v>
      </c>
      <c r="R1478">
        <f>Table1[[#This Row],[Course_Fee_AED]]-Table1[[#This Row],[pending Revenue]]</f>
        <v>2905</v>
      </c>
    </row>
    <row r="1479" spans="1:18" x14ac:dyDescent="0.25">
      <c r="A1479" t="s">
        <v>1556</v>
      </c>
      <c r="B1479" s="2">
        <v>45602</v>
      </c>
      <c r="C1479" t="s">
        <v>66</v>
      </c>
      <c r="D1479" t="s">
        <v>56</v>
      </c>
      <c r="E1479" t="s">
        <v>17</v>
      </c>
      <c r="F1479" s="5">
        <v>6</v>
      </c>
      <c r="G1479" s="5">
        <v>1</v>
      </c>
      <c r="H1479" s="5">
        <v>9440</v>
      </c>
      <c r="I1479" s="5">
        <v>3</v>
      </c>
      <c r="J1479" s="5">
        <v>9438</v>
      </c>
      <c r="K1479" t="s">
        <v>18</v>
      </c>
      <c r="L1479" t="s">
        <v>57</v>
      </c>
      <c r="M1479" t="s">
        <v>41</v>
      </c>
      <c r="N1479" t="s">
        <v>42</v>
      </c>
      <c r="O1479" t="s">
        <v>68</v>
      </c>
      <c r="P1479" t="s">
        <v>18</v>
      </c>
      <c r="Q1479">
        <f>Table1[[#This Row],[Course_Fee_AED]]-Table1[[#This Row],[Amount_Paid_AED]]</f>
        <v>2</v>
      </c>
      <c r="R1479">
        <f>Table1[[#This Row],[Course_Fee_AED]]-Table1[[#This Row],[pending Revenue]]</f>
        <v>9438</v>
      </c>
    </row>
    <row r="1480" spans="1:18" x14ac:dyDescent="0.25">
      <c r="A1480" t="s">
        <v>1557</v>
      </c>
      <c r="B1480" s="2">
        <v>45342</v>
      </c>
      <c r="C1480" t="s">
        <v>45</v>
      </c>
      <c r="D1480" t="s">
        <v>46</v>
      </c>
      <c r="E1480" t="s">
        <v>26</v>
      </c>
      <c r="F1480" s="5">
        <v>3</v>
      </c>
      <c r="G1480" s="5">
        <v>1</v>
      </c>
      <c r="H1480" s="5">
        <v>6436</v>
      </c>
      <c r="I1480" s="5">
        <v>2</v>
      </c>
      <c r="J1480" s="5">
        <v>4290</v>
      </c>
      <c r="K1480" t="s">
        <v>18</v>
      </c>
      <c r="L1480" t="s">
        <v>19</v>
      </c>
      <c r="M1480" t="s">
        <v>41</v>
      </c>
      <c r="N1480" t="s">
        <v>95</v>
      </c>
      <c r="O1480" t="s">
        <v>29</v>
      </c>
      <c r="P1480" t="s">
        <v>18</v>
      </c>
      <c r="Q1480">
        <f>Table1[[#This Row],[Course_Fee_AED]]-Table1[[#This Row],[Amount_Paid_AED]]</f>
        <v>2146</v>
      </c>
      <c r="R1480">
        <f>Table1[[#This Row],[Course_Fee_AED]]-Table1[[#This Row],[pending Revenue]]</f>
        <v>4290</v>
      </c>
    </row>
    <row r="1481" spans="1:18" x14ac:dyDescent="0.25">
      <c r="A1481" t="s">
        <v>1558</v>
      </c>
      <c r="B1481" s="2">
        <v>45505</v>
      </c>
      <c r="C1481" t="s">
        <v>100</v>
      </c>
      <c r="D1481" t="s">
        <v>101</v>
      </c>
      <c r="E1481" t="s">
        <v>26</v>
      </c>
      <c r="F1481" s="5">
        <v>3</v>
      </c>
      <c r="G1481" s="5">
        <v>1</v>
      </c>
      <c r="H1481" s="5">
        <v>5716</v>
      </c>
      <c r="I1481" s="5">
        <v>1</v>
      </c>
      <c r="J1481" s="5">
        <v>1905</v>
      </c>
      <c r="K1481" t="s">
        <v>18</v>
      </c>
      <c r="L1481" t="s">
        <v>57</v>
      </c>
      <c r="M1481" t="s">
        <v>27</v>
      </c>
      <c r="N1481" t="s">
        <v>116</v>
      </c>
      <c r="O1481" t="s">
        <v>64</v>
      </c>
      <c r="P1481" t="s">
        <v>36</v>
      </c>
      <c r="Q1481">
        <f>Table1[[#This Row],[Course_Fee_AED]]-Table1[[#This Row],[Amount_Paid_AED]]</f>
        <v>3811</v>
      </c>
      <c r="R1481">
        <f>Table1[[#This Row],[Course_Fee_AED]]-Table1[[#This Row],[pending Revenue]]</f>
        <v>1905</v>
      </c>
    </row>
    <row r="1482" spans="1:18" x14ac:dyDescent="0.25">
      <c r="A1482" t="s">
        <v>1559</v>
      </c>
      <c r="B1482" s="2">
        <v>45654</v>
      </c>
      <c r="C1482" t="s">
        <v>92</v>
      </c>
      <c r="D1482" t="s">
        <v>93</v>
      </c>
      <c r="E1482" t="s">
        <v>17</v>
      </c>
      <c r="F1482" s="5">
        <v>6</v>
      </c>
      <c r="G1482" s="5">
        <v>1</v>
      </c>
      <c r="H1482" s="5">
        <v>6828</v>
      </c>
      <c r="I1482" s="5">
        <v>1</v>
      </c>
      <c r="J1482" s="5">
        <v>2276</v>
      </c>
      <c r="K1482" t="s">
        <v>18</v>
      </c>
      <c r="L1482" t="s">
        <v>57</v>
      </c>
      <c r="M1482" t="s">
        <v>41</v>
      </c>
      <c r="N1482" t="s">
        <v>42</v>
      </c>
      <c r="O1482" t="s">
        <v>49</v>
      </c>
      <c r="P1482" t="s">
        <v>18</v>
      </c>
      <c r="Q1482">
        <f>Table1[[#This Row],[Course_Fee_AED]]-Table1[[#This Row],[Amount_Paid_AED]]</f>
        <v>4552</v>
      </c>
      <c r="R1482">
        <f>Table1[[#This Row],[Course_Fee_AED]]-Table1[[#This Row],[pending Revenue]]</f>
        <v>2276</v>
      </c>
    </row>
    <row r="1483" spans="1:18" x14ac:dyDescent="0.25">
      <c r="A1483" t="s">
        <v>1560</v>
      </c>
      <c r="B1483" s="2">
        <v>45488</v>
      </c>
      <c r="C1483" t="s">
        <v>92</v>
      </c>
      <c r="D1483" t="s">
        <v>93</v>
      </c>
      <c r="E1483" t="s">
        <v>17</v>
      </c>
      <c r="F1483" s="5">
        <v>6</v>
      </c>
      <c r="G1483" s="5">
        <v>1</v>
      </c>
      <c r="H1483" s="5">
        <v>7472</v>
      </c>
      <c r="I1483" s="5">
        <v>1</v>
      </c>
      <c r="J1483" s="5">
        <v>2490</v>
      </c>
      <c r="K1483" t="s">
        <v>18</v>
      </c>
      <c r="L1483" t="s">
        <v>19</v>
      </c>
      <c r="M1483" t="s">
        <v>47</v>
      </c>
      <c r="N1483" t="s">
        <v>48</v>
      </c>
      <c r="O1483" t="s">
        <v>64</v>
      </c>
      <c r="P1483" t="s">
        <v>18</v>
      </c>
      <c r="Q1483">
        <f>Table1[[#This Row],[Course_Fee_AED]]-Table1[[#This Row],[Amount_Paid_AED]]</f>
        <v>4982</v>
      </c>
      <c r="R1483">
        <f>Table1[[#This Row],[Course_Fee_AED]]-Table1[[#This Row],[pending Revenue]]</f>
        <v>2490</v>
      </c>
    </row>
    <row r="1484" spans="1:18" x14ac:dyDescent="0.25">
      <c r="A1484" t="s">
        <v>1561</v>
      </c>
      <c r="B1484" s="2">
        <v>45306</v>
      </c>
      <c r="C1484" t="s">
        <v>55</v>
      </c>
      <c r="D1484" t="s">
        <v>56</v>
      </c>
      <c r="E1484" t="s">
        <v>17</v>
      </c>
      <c r="F1484" s="5">
        <v>6</v>
      </c>
      <c r="G1484" s="5">
        <v>1</v>
      </c>
      <c r="H1484" s="5">
        <v>7326</v>
      </c>
      <c r="I1484" s="5">
        <v>1</v>
      </c>
      <c r="J1484" s="5">
        <v>2442</v>
      </c>
      <c r="K1484" t="s">
        <v>18</v>
      </c>
      <c r="L1484" t="s">
        <v>40</v>
      </c>
      <c r="M1484" t="s">
        <v>60</v>
      </c>
      <c r="N1484" t="s">
        <v>95</v>
      </c>
      <c r="O1484" t="s">
        <v>22</v>
      </c>
      <c r="P1484" t="s">
        <v>18</v>
      </c>
      <c r="Q1484">
        <f>Table1[[#This Row],[Course_Fee_AED]]-Table1[[#This Row],[Amount_Paid_AED]]</f>
        <v>4884</v>
      </c>
      <c r="R1484">
        <f>Table1[[#This Row],[Course_Fee_AED]]-Table1[[#This Row],[pending Revenue]]</f>
        <v>2442</v>
      </c>
    </row>
    <row r="1485" spans="1:18" x14ac:dyDescent="0.25">
      <c r="A1485" t="s">
        <v>1562</v>
      </c>
      <c r="B1485" s="2">
        <v>45500</v>
      </c>
      <c r="C1485" t="s">
        <v>92</v>
      </c>
      <c r="D1485" t="s">
        <v>93</v>
      </c>
      <c r="E1485" t="s">
        <v>26</v>
      </c>
      <c r="F1485" s="5">
        <v>3</v>
      </c>
      <c r="G1485" s="5">
        <v>1</v>
      </c>
      <c r="H1485" s="5">
        <v>5390</v>
      </c>
      <c r="I1485" s="5">
        <v>1</v>
      </c>
      <c r="J1485" s="5">
        <v>1796</v>
      </c>
      <c r="K1485" t="s">
        <v>18</v>
      </c>
      <c r="L1485" t="s">
        <v>19</v>
      </c>
      <c r="M1485" t="s">
        <v>27</v>
      </c>
      <c r="N1485" t="s">
        <v>79</v>
      </c>
      <c r="O1485" t="s">
        <v>49</v>
      </c>
      <c r="P1485" t="s">
        <v>18</v>
      </c>
      <c r="Q1485">
        <f>Table1[[#This Row],[Course_Fee_AED]]-Table1[[#This Row],[Amount_Paid_AED]]</f>
        <v>3594</v>
      </c>
      <c r="R1485">
        <f>Table1[[#This Row],[Course_Fee_AED]]-Table1[[#This Row],[pending Revenue]]</f>
        <v>1796</v>
      </c>
    </row>
    <row r="1486" spans="1:18" x14ac:dyDescent="0.25">
      <c r="A1486" t="s">
        <v>1563</v>
      </c>
      <c r="B1486" s="2">
        <v>45634</v>
      </c>
      <c r="C1486" t="s">
        <v>82</v>
      </c>
      <c r="D1486" t="s">
        <v>83</v>
      </c>
      <c r="E1486" t="s">
        <v>17</v>
      </c>
      <c r="F1486" s="5">
        <v>6</v>
      </c>
      <c r="G1486" s="5">
        <v>1</v>
      </c>
      <c r="H1486" s="5">
        <v>14886</v>
      </c>
      <c r="I1486" s="5">
        <v>1</v>
      </c>
      <c r="J1486" s="5">
        <v>4962</v>
      </c>
      <c r="K1486" t="s">
        <v>18</v>
      </c>
      <c r="L1486" t="s">
        <v>19</v>
      </c>
      <c r="M1486" t="s">
        <v>60</v>
      </c>
      <c r="N1486" t="s">
        <v>48</v>
      </c>
      <c r="O1486" t="s">
        <v>43</v>
      </c>
      <c r="P1486" t="s">
        <v>18</v>
      </c>
      <c r="Q1486">
        <f>Table1[[#This Row],[Course_Fee_AED]]-Table1[[#This Row],[Amount_Paid_AED]]</f>
        <v>9924</v>
      </c>
      <c r="R1486">
        <f>Table1[[#This Row],[Course_Fee_AED]]-Table1[[#This Row],[pending Revenue]]</f>
        <v>4962</v>
      </c>
    </row>
    <row r="1487" spans="1:18" x14ac:dyDescent="0.25">
      <c r="A1487" t="s">
        <v>1564</v>
      </c>
      <c r="B1487" s="2">
        <v>45294</v>
      </c>
      <c r="C1487" t="s">
        <v>38</v>
      </c>
      <c r="D1487" t="s">
        <v>39</v>
      </c>
      <c r="E1487" t="s">
        <v>26</v>
      </c>
      <c r="F1487" s="5">
        <v>3</v>
      </c>
      <c r="G1487" s="5">
        <v>1</v>
      </c>
      <c r="H1487" s="5">
        <v>4815</v>
      </c>
      <c r="I1487" s="5">
        <v>1</v>
      </c>
      <c r="J1487" s="5">
        <v>1605</v>
      </c>
      <c r="K1487" t="s">
        <v>18</v>
      </c>
      <c r="L1487" t="s">
        <v>40</v>
      </c>
      <c r="M1487" t="s">
        <v>20</v>
      </c>
      <c r="N1487" t="s">
        <v>154</v>
      </c>
      <c r="O1487" t="s">
        <v>58</v>
      </c>
      <c r="P1487" t="s">
        <v>18</v>
      </c>
      <c r="Q1487">
        <f>Table1[[#This Row],[Course_Fee_AED]]-Table1[[#This Row],[Amount_Paid_AED]]</f>
        <v>3210</v>
      </c>
      <c r="R1487">
        <f>Table1[[#This Row],[Course_Fee_AED]]-Table1[[#This Row],[pending Revenue]]</f>
        <v>1605</v>
      </c>
    </row>
    <row r="1488" spans="1:18" x14ac:dyDescent="0.25">
      <c r="A1488" t="s">
        <v>1565</v>
      </c>
      <c r="B1488" s="2">
        <v>45392</v>
      </c>
      <c r="C1488" t="s">
        <v>55</v>
      </c>
      <c r="D1488" t="s">
        <v>56</v>
      </c>
      <c r="E1488" t="s">
        <v>17</v>
      </c>
      <c r="F1488" s="5">
        <v>6</v>
      </c>
      <c r="G1488" s="5">
        <v>1</v>
      </c>
      <c r="H1488" s="5">
        <v>7336</v>
      </c>
      <c r="I1488" s="5">
        <v>1</v>
      </c>
      <c r="J1488" s="5">
        <v>2445</v>
      </c>
      <c r="K1488" t="s">
        <v>18</v>
      </c>
      <c r="L1488" t="s">
        <v>57</v>
      </c>
      <c r="M1488" t="s">
        <v>60</v>
      </c>
      <c r="N1488" t="s">
        <v>70</v>
      </c>
      <c r="O1488" t="s">
        <v>43</v>
      </c>
      <c r="P1488" t="s">
        <v>18</v>
      </c>
      <c r="Q1488">
        <f>Table1[[#This Row],[Course_Fee_AED]]-Table1[[#This Row],[Amount_Paid_AED]]</f>
        <v>4891</v>
      </c>
      <c r="R1488">
        <f>Table1[[#This Row],[Course_Fee_AED]]-Table1[[#This Row],[pending Revenue]]</f>
        <v>2445</v>
      </c>
    </row>
    <row r="1489" spans="1:18" x14ac:dyDescent="0.25">
      <c r="A1489" t="s">
        <v>1566</v>
      </c>
      <c r="B1489" s="2">
        <v>45324</v>
      </c>
      <c r="C1489" t="s">
        <v>113</v>
      </c>
      <c r="D1489" t="s">
        <v>93</v>
      </c>
      <c r="E1489" t="s">
        <v>17</v>
      </c>
      <c r="F1489" s="5">
        <v>6</v>
      </c>
      <c r="G1489" s="5">
        <v>1</v>
      </c>
      <c r="H1489" s="5">
        <v>3860</v>
      </c>
      <c r="I1489" s="5">
        <v>3</v>
      </c>
      <c r="J1489" s="5">
        <v>3858</v>
      </c>
      <c r="K1489" t="s">
        <v>18</v>
      </c>
      <c r="L1489" t="s">
        <v>57</v>
      </c>
      <c r="M1489" t="s">
        <v>20</v>
      </c>
      <c r="N1489" t="s">
        <v>70</v>
      </c>
      <c r="O1489" t="s">
        <v>43</v>
      </c>
      <c r="P1489" t="s">
        <v>18</v>
      </c>
      <c r="Q1489">
        <f>Table1[[#This Row],[Course_Fee_AED]]-Table1[[#This Row],[Amount_Paid_AED]]</f>
        <v>2</v>
      </c>
      <c r="R1489">
        <f>Table1[[#This Row],[Course_Fee_AED]]-Table1[[#This Row],[pending Revenue]]</f>
        <v>3858</v>
      </c>
    </row>
    <row r="1490" spans="1:18" x14ac:dyDescent="0.25">
      <c r="A1490" t="s">
        <v>1567</v>
      </c>
      <c r="B1490" s="2">
        <v>45484</v>
      </c>
      <c r="C1490" t="s">
        <v>24</v>
      </c>
      <c r="D1490" t="s">
        <v>25</v>
      </c>
      <c r="E1490" t="s">
        <v>26</v>
      </c>
      <c r="F1490" s="5">
        <v>3</v>
      </c>
      <c r="G1490" s="5">
        <v>1</v>
      </c>
      <c r="H1490" s="5">
        <v>6800</v>
      </c>
      <c r="I1490" s="5">
        <v>2</v>
      </c>
      <c r="J1490" s="5">
        <v>4532</v>
      </c>
      <c r="K1490" t="s">
        <v>18</v>
      </c>
      <c r="L1490" t="s">
        <v>19</v>
      </c>
      <c r="M1490" t="s">
        <v>47</v>
      </c>
      <c r="N1490" t="s">
        <v>73</v>
      </c>
      <c r="O1490" t="s">
        <v>49</v>
      </c>
      <c r="P1490" t="s">
        <v>36</v>
      </c>
      <c r="Q1490">
        <f>Table1[[#This Row],[Course_Fee_AED]]-Table1[[#This Row],[Amount_Paid_AED]]</f>
        <v>2268</v>
      </c>
      <c r="R1490">
        <f>Table1[[#This Row],[Course_Fee_AED]]-Table1[[#This Row],[pending Revenue]]</f>
        <v>4532</v>
      </c>
    </row>
    <row r="1491" spans="1:18" x14ac:dyDescent="0.25">
      <c r="A1491" t="s">
        <v>1568</v>
      </c>
      <c r="B1491" s="2">
        <v>45593</v>
      </c>
      <c r="C1491" t="s">
        <v>31</v>
      </c>
      <c r="D1491" t="s">
        <v>32</v>
      </c>
      <c r="E1491" t="s">
        <v>17</v>
      </c>
      <c r="F1491" s="5">
        <v>6</v>
      </c>
      <c r="G1491" s="5">
        <v>1</v>
      </c>
      <c r="H1491" s="5">
        <v>5958</v>
      </c>
      <c r="I1491" s="5">
        <v>3</v>
      </c>
      <c r="J1491" s="5">
        <v>5958</v>
      </c>
      <c r="K1491" t="s">
        <v>33</v>
      </c>
      <c r="L1491" t="s">
        <v>19</v>
      </c>
      <c r="M1491" t="s">
        <v>63</v>
      </c>
      <c r="N1491" t="s">
        <v>42</v>
      </c>
      <c r="O1491" t="s">
        <v>35</v>
      </c>
      <c r="P1491" t="s">
        <v>36</v>
      </c>
      <c r="Q1491">
        <f>Table1[[#This Row],[Course_Fee_AED]]-Table1[[#This Row],[Amount_Paid_AED]]</f>
        <v>0</v>
      </c>
      <c r="R1491">
        <f>Table1[[#This Row],[Course_Fee_AED]]-Table1[[#This Row],[pending Revenue]]</f>
        <v>5958</v>
      </c>
    </row>
    <row r="1492" spans="1:18" x14ac:dyDescent="0.25">
      <c r="A1492" t="s">
        <v>1569</v>
      </c>
      <c r="B1492" s="2">
        <v>45537</v>
      </c>
      <c r="C1492" t="s">
        <v>106</v>
      </c>
      <c r="D1492" t="s">
        <v>107</v>
      </c>
      <c r="E1492" t="s">
        <v>17</v>
      </c>
      <c r="F1492" s="5">
        <v>6</v>
      </c>
      <c r="G1492" s="5">
        <v>1</v>
      </c>
      <c r="H1492" s="5">
        <v>5247</v>
      </c>
      <c r="I1492" s="5">
        <v>2</v>
      </c>
      <c r="J1492" s="5">
        <v>3498</v>
      </c>
      <c r="K1492" t="s">
        <v>18</v>
      </c>
      <c r="L1492" t="s">
        <v>19</v>
      </c>
      <c r="M1492" t="s">
        <v>47</v>
      </c>
      <c r="N1492" t="s">
        <v>61</v>
      </c>
      <c r="O1492" t="s">
        <v>64</v>
      </c>
      <c r="P1492" t="s">
        <v>18</v>
      </c>
      <c r="Q1492">
        <f>Table1[[#This Row],[Course_Fee_AED]]-Table1[[#This Row],[Amount_Paid_AED]]</f>
        <v>1749</v>
      </c>
      <c r="R1492">
        <f>Table1[[#This Row],[Course_Fee_AED]]-Table1[[#This Row],[pending Revenue]]</f>
        <v>3498</v>
      </c>
    </row>
    <row r="1493" spans="1:18" x14ac:dyDescent="0.25">
      <c r="A1493" t="s">
        <v>1570</v>
      </c>
      <c r="B1493" s="2">
        <v>45646</v>
      </c>
      <c r="C1493" t="s">
        <v>31</v>
      </c>
      <c r="D1493" t="s">
        <v>32</v>
      </c>
      <c r="E1493" t="s">
        <v>26</v>
      </c>
      <c r="F1493" s="5">
        <v>3</v>
      </c>
      <c r="G1493" s="5">
        <v>1</v>
      </c>
      <c r="H1493" s="5">
        <v>7923</v>
      </c>
      <c r="I1493" s="5">
        <v>3</v>
      </c>
      <c r="J1493" s="5">
        <v>7923</v>
      </c>
      <c r="K1493" t="s">
        <v>33</v>
      </c>
      <c r="L1493" t="s">
        <v>57</v>
      </c>
      <c r="M1493" t="s">
        <v>27</v>
      </c>
      <c r="N1493" t="s">
        <v>70</v>
      </c>
      <c r="O1493" t="s">
        <v>68</v>
      </c>
      <c r="P1493" t="s">
        <v>36</v>
      </c>
      <c r="Q1493">
        <f>Table1[[#This Row],[Course_Fee_AED]]-Table1[[#This Row],[Amount_Paid_AED]]</f>
        <v>0</v>
      </c>
      <c r="R1493">
        <f>Table1[[#This Row],[Course_Fee_AED]]-Table1[[#This Row],[pending Revenue]]</f>
        <v>7923</v>
      </c>
    </row>
    <row r="1494" spans="1:18" x14ac:dyDescent="0.25">
      <c r="A1494" t="s">
        <v>1571</v>
      </c>
      <c r="B1494" s="2">
        <v>45503</v>
      </c>
      <c r="C1494" t="s">
        <v>24</v>
      </c>
      <c r="D1494" t="s">
        <v>25</v>
      </c>
      <c r="E1494" t="s">
        <v>26</v>
      </c>
      <c r="F1494" s="5">
        <v>3</v>
      </c>
      <c r="G1494" s="5">
        <v>1</v>
      </c>
      <c r="H1494" s="5">
        <v>5566</v>
      </c>
      <c r="I1494" s="5">
        <v>3</v>
      </c>
      <c r="J1494" s="5">
        <v>5565</v>
      </c>
      <c r="K1494" t="s">
        <v>18</v>
      </c>
      <c r="L1494" t="s">
        <v>19</v>
      </c>
      <c r="M1494" t="s">
        <v>47</v>
      </c>
      <c r="N1494" t="s">
        <v>90</v>
      </c>
      <c r="O1494" t="s">
        <v>71</v>
      </c>
      <c r="P1494" t="s">
        <v>18</v>
      </c>
      <c r="Q1494">
        <f>Table1[[#This Row],[Course_Fee_AED]]-Table1[[#This Row],[Amount_Paid_AED]]</f>
        <v>1</v>
      </c>
      <c r="R1494">
        <f>Table1[[#This Row],[Course_Fee_AED]]-Table1[[#This Row],[pending Revenue]]</f>
        <v>5565</v>
      </c>
    </row>
    <row r="1495" spans="1:18" x14ac:dyDescent="0.25">
      <c r="A1495" t="s">
        <v>1572</v>
      </c>
      <c r="B1495" s="2">
        <v>45462</v>
      </c>
      <c r="C1495" t="s">
        <v>55</v>
      </c>
      <c r="D1495" t="s">
        <v>56</v>
      </c>
      <c r="E1495" t="s">
        <v>26</v>
      </c>
      <c r="F1495" s="5">
        <v>3</v>
      </c>
      <c r="G1495" s="5">
        <v>1</v>
      </c>
      <c r="H1495" s="5">
        <v>10711</v>
      </c>
      <c r="I1495" s="5">
        <v>2</v>
      </c>
      <c r="J1495" s="5">
        <v>7140</v>
      </c>
      <c r="K1495" t="s">
        <v>18</v>
      </c>
      <c r="L1495" t="s">
        <v>19</v>
      </c>
      <c r="M1495" t="s">
        <v>41</v>
      </c>
      <c r="N1495" t="s">
        <v>116</v>
      </c>
      <c r="O1495" t="s">
        <v>29</v>
      </c>
      <c r="P1495" t="s">
        <v>36</v>
      </c>
      <c r="Q1495">
        <f>Table1[[#This Row],[Course_Fee_AED]]-Table1[[#This Row],[Amount_Paid_AED]]</f>
        <v>3571</v>
      </c>
      <c r="R1495">
        <f>Table1[[#This Row],[Course_Fee_AED]]-Table1[[#This Row],[pending Revenue]]</f>
        <v>7140</v>
      </c>
    </row>
    <row r="1496" spans="1:18" x14ac:dyDescent="0.25">
      <c r="A1496" t="s">
        <v>1573</v>
      </c>
      <c r="B1496" s="2">
        <v>45381</v>
      </c>
      <c r="C1496" t="s">
        <v>113</v>
      </c>
      <c r="D1496" t="s">
        <v>93</v>
      </c>
      <c r="E1496" t="s">
        <v>26</v>
      </c>
      <c r="F1496" s="5">
        <v>3</v>
      </c>
      <c r="G1496" s="5">
        <v>1</v>
      </c>
      <c r="H1496" s="5">
        <v>3596</v>
      </c>
      <c r="I1496" s="5">
        <v>3</v>
      </c>
      <c r="J1496" s="5">
        <v>3594</v>
      </c>
      <c r="K1496" t="s">
        <v>18</v>
      </c>
      <c r="L1496" t="s">
        <v>19</v>
      </c>
      <c r="M1496" t="s">
        <v>27</v>
      </c>
      <c r="N1496" t="s">
        <v>70</v>
      </c>
      <c r="O1496" t="s">
        <v>29</v>
      </c>
      <c r="P1496" t="s">
        <v>36</v>
      </c>
      <c r="Q1496">
        <f>Table1[[#This Row],[Course_Fee_AED]]-Table1[[#This Row],[Amount_Paid_AED]]</f>
        <v>2</v>
      </c>
      <c r="R1496">
        <f>Table1[[#This Row],[Course_Fee_AED]]-Table1[[#This Row],[pending Revenue]]</f>
        <v>3594</v>
      </c>
    </row>
    <row r="1497" spans="1:18" x14ac:dyDescent="0.25">
      <c r="A1497" t="s">
        <v>1574</v>
      </c>
      <c r="B1497" s="2">
        <v>45471</v>
      </c>
      <c r="C1497" t="s">
        <v>51</v>
      </c>
      <c r="D1497" t="s">
        <v>52</v>
      </c>
      <c r="E1497" t="s">
        <v>17</v>
      </c>
      <c r="F1497" s="5">
        <v>6</v>
      </c>
      <c r="G1497" s="5">
        <v>1</v>
      </c>
      <c r="H1497" s="5">
        <v>3667</v>
      </c>
      <c r="I1497" s="5">
        <v>3</v>
      </c>
      <c r="J1497" s="5">
        <v>3666</v>
      </c>
      <c r="K1497" t="s">
        <v>18</v>
      </c>
      <c r="L1497" t="s">
        <v>57</v>
      </c>
      <c r="M1497" t="s">
        <v>63</v>
      </c>
      <c r="N1497" t="s">
        <v>73</v>
      </c>
      <c r="O1497" t="s">
        <v>29</v>
      </c>
      <c r="P1497" t="s">
        <v>18</v>
      </c>
      <c r="Q1497">
        <f>Table1[[#This Row],[Course_Fee_AED]]-Table1[[#This Row],[Amount_Paid_AED]]</f>
        <v>1</v>
      </c>
      <c r="R1497">
        <f>Table1[[#This Row],[Course_Fee_AED]]-Table1[[#This Row],[pending Revenue]]</f>
        <v>3666</v>
      </c>
    </row>
    <row r="1498" spans="1:18" x14ac:dyDescent="0.25">
      <c r="A1498" t="s">
        <v>1575</v>
      </c>
      <c r="B1498" s="2">
        <v>45462</v>
      </c>
      <c r="C1498" t="s">
        <v>31</v>
      </c>
      <c r="D1498" t="s">
        <v>32</v>
      </c>
      <c r="E1498" t="s">
        <v>26</v>
      </c>
      <c r="F1498" s="5">
        <v>3</v>
      </c>
      <c r="G1498" s="5">
        <v>1</v>
      </c>
      <c r="H1498" s="5">
        <v>7346</v>
      </c>
      <c r="I1498" s="5">
        <v>3</v>
      </c>
      <c r="J1498" s="5">
        <v>7344</v>
      </c>
      <c r="K1498" t="s">
        <v>18</v>
      </c>
      <c r="L1498" t="s">
        <v>40</v>
      </c>
      <c r="M1498" t="s">
        <v>60</v>
      </c>
      <c r="N1498" t="s">
        <v>95</v>
      </c>
      <c r="O1498" t="s">
        <v>68</v>
      </c>
      <c r="P1498" t="s">
        <v>36</v>
      </c>
      <c r="Q1498">
        <f>Table1[[#This Row],[Course_Fee_AED]]-Table1[[#This Row],[Amount_Paid_AED]]</f>
        <v>2</v>
      </c>
      <c r="R1498">
        <f>Table1[[#This Row],[Course_Fee_AED]]-Table1[[#This Row],[pending Revenue]]</f>
        <v>7344</v>
      </c>
    </row>
    <row r="1499" spans="1:18" x14ac:dyDescent="0.25">
      <c r="A1499" t="s">
        <v>1576</v>
      </c>
      <c r="B1499" s="2">
        <v>45388</v>
      </c>
      <c r="C1499" t="s">
        <v>113</v>
      </c>
      <c r="D1499" t="s">
        <v>93</v>
      </c>
      <c r="E1499" t="s">
        <v>17</v>
      </c>
      <c r="F1499" s="5">
        <v>6</v>
      </c>
      <c r="G1499" s="5">
        <v>1</v>
      </c>
      <c r="H1499" s="5">
        <v>3056</v>
      </c>
      <c r="I1499" s="5">
        <v>2</v>
      </c>
      <c r="J1499" s="5">
        <v>2036</v>
      </c>
      <c r="K1499" t="s">
        <v>18</v>
      </c>
      <c r="L1499" t="s">
        <v>40</v>
      </c>
      <c r="M1499" t="s">
        <v>27</v>
      </c>
      <c r="N1499" t="s">
        <v>73</v>
      </c>
      <c r="O1499" t="s">
        <v>71</v>
      </c>
      <c r="P1499" t="s">
        <v>18</v>
      </c>
      <c r="Q1499">
        <f>Table1[[#This Row],[Course_Fee_AED]]-Table1[[#This Row],[Amount_Paid_AED]]</f>
        <v>1020</v>
      </c>
      <c r="R1499">
        <f>Table1[[#This Row],[Course_Fee_AED]]-Table1[[#This Row],[pending Revenue]]</f>
        <v>2036</v>
      </c>
    </row>
    <row r="1500" spans="1:18" x14ac:dyDescent="0.25">
      <c r="A1500" t="s">
        <v>1577</v>
      </c>
      <c r="B1500" s="2">
        <v>45474</v>
      </c>
      <c r="C1500" t="s">
        <v>92</v>
      </c>
      <c r="D1500" t="s">
        <v>93</v>
      </c>
      <c r="E1500" t="s">
        <v>17</v>
      </c>
      <c r="F1500" s="5">
        <v>6</v>
      </c>
      <c r="G1500" s="5">
        <v>1</v>
      </c>
      <c r="H1500" s="5">
        <v>4633</v>
      </c>
      <c r="I1500" s="5">
        <v>2</v>
      </c>
      <c r="J1500" s="5">
        <v>3088</v>
      </c>
      <c r="K1500" t="s">
        <v>18</v>
      </c>
      <c r="L1500" t="s">
        <v>57</v>
      </c>
      <c r="M1500" t="s">
        <v>41</v>
      </c>
      <c r="N1500" t="s">
        <v>95</v>
      </c>
      <c r="O1500" t="s">
        <v>43</v>
      </c>
      <c r="P1500" t="s">
        <v>36</v>
      </c>
      <c r="Q1500">
        <f>Table1[[#This Row],[Course_Fee_AED]]-Table1[[#This Row],[Amount_Paid_AED]]</f>
        <v>1545</v>
      </c>
      <c r="R1500">
        <f>Table1[[#This Row],[Course_Fee_AED]]-Table1[[#This Row],[pending Revenue]]</f>
        <v>3088</v>
      </c>
    </row>
    <row r="1501" spans="1:18" x14ac:dyDescent="0.25">
      <c r="A1501" t="s">
        <v>1578</v>
      </c>
      <c r="B1501" s="2">
        <v>45648</v>
      </c>
      <c r="C1501" t="s">
        <v>113</v>
      </c>
      <c r="D1501" t="s">
        <v>93</v>
      </c>
      <c r="E1501" t="s">
        <v>17</v>
      </c>
      <c r="F1501" s="5">
        <v>6</v>
      </c>
      <c r="G1501" s="5">
        <v>1</v>
      </c>
      <c r="H1501" s="5">
        <v>3258</v>
      </c>
      <c r="I1501" s="5">
        <v>1</v>
      </c>
      <c r="J1501" s="5">
        <v>1086</v>
      </c>
      <c r="K1501" t="s">
        <v>18</v>
      </c>
      <c r="L1501" t="s">
        <v>40</v>
      </c>
      <c r="M1501" t="s">
        <v>41</v>
      </c>
      <c r="N1501" t="s">
        <v>116</v>
      </c>
      <c r="O1501" t="s">
        <v>43</v>
      </c>
      <c r="P1501" t="s">
        <v>18</v>
      </c>
      <c r="Q1501">
        <f>Table1[[#This Row],[Course_Fee_AED]]-Table1[[#This Row],[Amount_Paid_AED]]</f>
        <v>2172</v>
      </c>
      <c r="R1501">
        <f>Table1[[#This Row],[Course_Fee_AED]]-Table1[[#This Row],[pending Revenue]]</f>
        <v>1086</v>
      </c>
    </row>
    <row r="1502" spans="1:18" x14ac:dyDescent="0.25">
      <c r="A1502" t="s">
        <v>1579</v>
      </c>
      <c r="B1502" s="2">
        <v>45315</v>
      </c>
      <c r="C1502" t="s">
        <v>66</v>
      </c>
      <c r="D1502" t="s">
        <v>56</v>
      </c>
      <c r="E1502" t="s">
        <v>17</v>
      </c>
      <c r="F1502" s="5">
        <v>6</v>
      </c>
      <c r="G1502" s="5">
        <v>1</v>
      </c>
      <c r="H1502" s="5">
        <v>8491</v>
      </c>
      <c r="I1502" s="5">
        <v>3</v>
      </c>
      <c r="J1502" s="5">
        <v>8490</v>
      </c>
      <c r="K1502" t="s">
        <v>18</v>
      </c>
      <c r="L1502" t="s">
        <v>57</v>
      </c>
      <c r="M1502" t="s">
        <v>41</v>
      </c>
      <c r="N1502" t="s">
        <v>61</v>
      </c>
      <c r="O1502" t="s">
        <v>35</v>
      </c>
      <c r="P1502" t="s">
        <v>18</v>
      </c>
      <c r="Q1502">
        <f>Table1[[#This Row],[Course_Fee_AED]]-Table1[[#This Row],[Amount_Paid_AED]]</f>
        <v>1</v>
      </c>
      <c r="R1502">
        <f>Table1[[#This Row],[Course_Fee_AED]]-Table1[[#This Row],[pending Revenue]]</f>
        <v>8490</v>
      </c>
    </row>
    <row r="1503" spans="1:18" x14ac:dyDescent="0.25">
      <c r="A1503" t="s">
        <v>1580</v>
      </c>
      <c r="B1503" s="2">
        <v>45605</v>
      </c>
      <c r="C1503" t="s">
        <v>15</v>
      </c>
      <c r="D1503" t="s">
        <v>16</v>
      </c>
      <c r="E1503" t="s">
        <v>17</v>
      </c>
      <c r="F1503" s="5">
        <v>6</v>
      </c>
      <c r="G1503" s="5">
        <v>1</v>
      </c>
      <c r="H1503" s="5">
        <v>5667</v>
      </c>
      <c r="I1503" s="5">
        <v>3</v>
      </c>
      <c r="J1503" s="5">
        <v>5667</v>
      </c>
      <c r="K1503" t="s">
        <v>33</v>
      </c>
      <c r="L1503" t="s">
        <v>19</v>
      </c>
      <c r="M1503" t="s">
        <v>63</v>
      </c>
      <c r="N1503" t="s">
        <v>53</v>
      </c>
      <c r="O1503" t="s">
        <v>29</v>
      </c>
      <c r="P1503" t="s">
        <v>36</v>
      </c>
      <c r="Q1503">
        <f>Table1[[#This Row],[Course_Fee_AED]]-Table1[[#This Row],[Amount_Paid_AED]]</f>
        <v>0</v>
      </c>
      <c r="R1503">
        <f>Table1[[#This Row],[Course_Fee_AED]]-Table1[[#This Row],[pending Revenue]]</f>
        <v>5667</v>
      </c>
    </row>
    <row r="1504" spans="1:18" x14ac:dyDescent="0.25">
      <c r="A1504" t="s">
        <v>1581</v>
      </c>
      <c r="B1504" s="2">
        <v>45387</v>
      </c>
      <c r="C1504" t="s">
        <v>51</v>
      </c>
      <c r="D1504" t="s">
        <v>52</v>
      </c>
      <c r="E1504" t="s">
        <v>26</v>
      </c>
      <c r="F1504" s="5">
        <v>3</v>
      </c>
      <c r="G1504" s="5">
        <v>1</v>
      </c>
      <c r="H1504" s="5">
        <v>5757</v>
      </c>
      <c r="I1504" s="5">
        <v>3</v>
      </c>
      <c r="J1504" s="5">
        <v>5757</v>
      </c>
      <c r="K1504" t="s">
        <v>33</v>
      </c>
      <c r="L1504" t="s">
        <v>57</v>
      </c>
      <c r="M1504" t="s">
        <v>63</v>
      </c>
      <c r="N1504" t="s">
        <v>116</v>
      </c>
      <c r="O1504" t="s">
        <v>43</v>
      </c>
      <c r="P1504" t="s">
        <v>18</v>
      </c>
      <c r="Q1504">
        <f>Table1[[#This Row],[Course_Fee_AED]]-Table1[[#This Row],[Amount_Paid_AED]]</f>
        <v>0</v>
      </c>
      <c r="R1504">
        <f>Table1[[#This Row],[Course_Fee_AED]]-Table1[[#This Row],[pending Revenue]]</f>
        <v>5757</v>
      </c>
    </row>
    <row r="1505" spans="1:18" x14ac:dyDescent="0.25">
      <c r="A1505" t="s">
        <v>1582</v>
      </c>
      <c r="B1505" s="2">
        <v>45558</v>
      </c>
      <c r="C1505" t="s">
        <v>51</v>
      </c>
      <c r="D1505" t="s">
        <v>52</v>
      </c>
      <c r="E1505" t="s">
        <v>26</v>
      </c>
      <c r="F1505" s="5">
        <v>3</v>
      </c>
      <c r="G1505" s="5">
        <v>1</v>
      </c>
      <c r="H1505" s="5">
        <v>5967</v>
      </c>
      <c r="I1505" s="5">
        <v>1</v>
      </c>
      <c r="J1505" s="5">
        <v>1989</v>
      </c>
      <c r="K1505" t="s">
        <v>18</v>
      </c>
      <c r="L1505" t="s">
        <v>40</v>
      </c>
      <c r="M1505" t="s">
        <v>47</v>
      </c>
      <c r="N1505" t="s">
        <v>154</v>
      </c>
      <c r="O1505" t="s">
        <v>35</v>
      </c>
      <c r="P1505" t="s">
        <v>18</v>
      </c>
      <c r="Q1505">
        <f>Table1[[#This Row],[Course_Fee_AED]]-Table1[[#This Row],[Amount_Paid_AED]]</f>
        <v>3978</v>
      </c>
      <c r="R1505">
        <f>Table1[[#This Row],[Course_Fee_AED]]-Table1[[#This Row],[pending Revenue]]</f>
        <v>1989</v>
      </c>
    </row>
    <row r="1506" spans="1:18" x14ac:dyDescent="0.25">
      <c r="A1506" t="s">
        <v>1583</v>
      </c>
      <c r="B1506" s="2">
        <v>45425</v>
      </c>
      <c r="C1506" t="s">
        <v>51</v>
      </c>
      <c r="D1506" t="s">
        <v>52</v>
      </c>
      <c r="E1506" t="s">
        <v>26</v>
      </c>
      <c r="F1506" s="5">
        <v>3</v>
      </c>
      <c r="G1506" s="5">
        <v>1</v>
      </c>
      <c r="H1506" s="5">
        <v>4865</v>
      </c>
      <c r="I1506" s="5">
        <v>2</v>
      </c>
      <c r="J1506" s="5">
        <v>3242</v>
      </c>
      <c r="K1506" t="s">
        <v>18</v>
      </c>
      <c r="L1506" t="s">
        <v>57</v>
      </c>
      <c r="M1506" t="s">
        <v>20</v>
      </c>
      <c r="N1506" t="s">
        <v>34</v>
      </c>
      <c r="O1506" t="s">
        <v>49</v>
      </c>
      <c r="P1506" t="s">
        <v>18</v>
      </c>
      <c r="Q1506">
        <f>Table1[[#This Row],[Course_Fee_AED]]-Table1[[#This Row],[Amount_Paid_AED]]</f>
        <v>1623</v>
      </c>
      <c r="R1506">
        <f>Table1[[#This Row],[Course_Fee_AED]]-Table1[[#This Row],[pending Revenue]]</f>
        <v>3242</v>
      </c>
    </row>
    <row r="1507" spans="1:18" x14ac:dyDescent="0.25">
      <c r="A1507" t="s">
        <v>1584</v>
      </c>
      <c r="B1507" s="2">
        <v>45486</v>
      </c>
      <c r="C1507" t="s">
        <v>51</v>
      </c>
      <c r="D1507" t="s">
        <v>52</v>
      </c>
      <c r="E1507" t="s">
        <v>26</v>
      </c>
      <c r="F1507" s="5">
        <v>3</v>
      </c>
      <c r="G1507" s="5">
        <v>1</v>
      </c>
      <c r="H1507" s="5">
        <v>5471</v>
      </c>
      <c r="I1507" s="5">
        <v>2</v>
      </c>
      <c r="J1507" s="5">
        <v>3646</v>
      </c>
      <c r="K1507" t="s">
        <v>18</v>
      </c>
      <c r="L1507" t="s">
        <v>19</v>
      </c>
      <c r="M1507" t="s">
        <v>47</v>
      </c>
      <c r="N1507" t="s">
        <v>21</v>
      </c>
      <c r="O1507" t="s">
        <v>58</v>
      </c>
      <c r="P1507" t="s">
        <v>36</v>
      </c>
      <c r="Q1507">
        <f>Table1[[#This Row],[Course_Fee_AED]]-Table1[[#This Row],[Amount_Paid_AED]]</f>
        <v>1825</v>
      </c>
      <c r="R1507">
        <f>Table1[[#This Row],[Course_Fee_AED]]-Table1[[#This Row],[pending Revenue]]</f>
        <v>3646</v>
      </c>
    </row>
    <row r="1508" spans="1:18" x14ac:dyDescent="0.25">
      <c r="A1508" t="s">
        <v>1585</v>
      </c>
      <c r="B1508" s="2">
        <v>45571</v>
      </c>
      <c r="C1508" t="s">
        <v>66</v>
      </c>
      <c r="D1508" t="s">
        <v>56</v>
      </c>
      <c r="E1508" t="s">
        <v>26</v>
      </c>
      <c r="F1508" s="5">
        <v>3</v>
      </c>
      <c r="G1508" s="5">
        <v>1</v>
      </c>
      <c r="H1508" s="5">
        <v>10910</v>
      </c>
      <c r="I1508" s="5">
        <v>1</v>
      </c>
      <c r="J1508" s="5">
        <v>3636</v>
      </c>
      <c r="K1508" t="s">
        <v>18</v>
      </c>
      <c r="L1508" t="s">
        <v>57</v>
      </c>
      <c r="M1508" t="s">
        <v>41</v>
      </c>
      <c r="N1508" t="s">
        <v>73</v>
      </c>
      <c r="O1508" t="s">
        <v>71</v>
      </c>
      <c r="P1508" t="s">
        <v>18</v>
      </c>
      <c r="Q1508">
        <f>Table1[[#This Row],[Course_Fee_AED]]-Table1[[#This Row],[Amount_Paid_AED]]</f>
        <v>7274</v>
      </c>
      <c r="R1508">
        <f>Table1[[#This Row],[Course_Fee_AED]]-Table1[[#This Row],[pending Revenue]]</f>
        <v>3636</v>
      </c>
    </row>
    <row r="1509" spans="1:18" x14ac:dyDescent="0.25">
      <c r="A1509" t="s">
        <v>1586</v>
      </c>
      <c r="B1509" s="2">
        <v>45364</v>
      </c>
      <c r="C1509" t="s">
        <v>55</v>
      </c>
      <c r="D1509" t="s">
        <v>56</v>
      </c>
      <c r="E1509" t="s">
        <v>26</v>
      </c>
      <c r="F1509" s="5">
        <v>3</v>
      </c>
      <c r="G1509" s="5">
        <v>1</v>
      </c>
      <c r="H1509" s="5">
        <v>10894</v>
      </c>
      <c r="I1509" s="5">
        <v>3</v>
      </c>
      <c r="J1509" s="5">
        <v>10893</v>
      </c>
      <c r="K1509" t="s">
        <v>18</v>
      </c>
      <c r="L1509" t="s">
        <v>40</v>
      </c>
      <c r="M1509" t="s">
        <v>41</v>
      </c>
      <c r="N1509" t="s">
        <v>61</v>
      </c>
      <c r="O1509" t="s">
        <v>58</v>
      </c>
      <c r="P1509" t="s">
        <v>18</v>
      </c>
      <c r="Q1509">
        <f>Table1[[#This Row],[Course_Fee_AED]]-Table1[[#This Row],[Amount_Paid_AED]]</f>
        <v>1</v>
      </c>
      <c r="R1509">
        <f>Table1[[#This Row],[Course_Fee_AED]]-Table1[[#This Row],[pending Revenue]]</f>
        <v>10893</v>
      </c>
    </row>
    <row r="1510" spans="1:18" x14ac:dyDescent="0.25">
      <c r="A1510" t="s">
        <v>1587</v>
      </c>
      <c r="B1510" s="2">
        <v>45372</v>
      </c>
      <c r="C1510" t="s">
        <v>113</v>
      </c>
      <c r="D1510" t="s">
        <v>93</v>
      </c>
      <c r="E1510" t="s">
        <v>17</v>
      </c>
      <c r="F1510" s="5">
        <v>6</v>
      </c>
      <c r="G1510" s="5">
        <v>1</v>
      </c>
      <c r="H1510" s="5">
        <v>4616</v>
      </c>
      <c r="I1510" s="5">
        <v>2</v>
      </c>
      <c r="J1510" s="5">
        <v>3076</v>
      </c>
      <c r="K1510" t="s">
        <v>18</v>
      </c>
      <c r="L1510" t="s">
        <v>19</v>
      </c>
      <c r="M1510" t="s">
        <v>60</v>
      </c>
      <c r="N1510" t="s">
        <v>116</v>
      </c>
      <c r="O1510" t="s">
        <v>87</v>
      </c>
      <c r="P1510" t="s">
        <v>18</v>
      </c>
      <c r="Q1510">
        <f>Table1[[#This Row],[Course_Fee_AED]]-Table1[[#This Row],[Amount_Paid_AED]]</f>
        <v>1540</v>
      </c>
      <c r="R1510">
        <f>Table1[[#This Row],[Course_Fee_AED]]-Table1[[#This Row],[pending Revenue]]</f>
        <v>3076</v>
      </c>
    </row>
    <row r="1511" spans="1:18" x14ac:dyDescent="0.25">
      <c r="A1511" t="s">
        <v>1588</v>
      </c>
      <c r="B1511" s="2">
        <v>45324</v>
      </c>
      <c r="C1511" t="s">
        <v>51</v>
      </c>
      <c r="D1511" t="s">
        <v>52</v>
      </c>
      <c r="E1511" t="s">
        <v>17</v>
      </c>
      <c r="F1511" s="5">
        <v>6</v>
      </c>
      <c r="G1511" s="5">
        <v>1</v>
      </c>
      <c r="H1511" s="5">
        <v>5493</v>
      </c>
      <c r="I1511" s="5">
        <v>1</v>
      </c>
      <c r="J1511" s="5">
        <v>1831</v>
      </c>
      <c r="K1511" t="s">
        <v>18</v>
      </c>
      <c r="L1511" t="s">
        <v>40</v>
      </c>
      <c r="M1511" t="s">
        <v>27</v>
      </c>
      <c r="N1511" t="s">
        <v>86</v>
      </c>
      <c r="O1511" t="s">
        <v>64</v>
      </c>
      <c r="P1511" t="s">
        <v>36</v>
      </c>
      <c r="Q1511">
        <f>Table1[[#This Row],[Course_Fee_AED]]-Table1[[#This Row],[Amount_Paid_AED]]</f>
        <v>3662</v>
      </c>
      <c r="R1511">
        <f>Table1[[#This Row],[Course_Fee_AED]]-Table1[[#This Row],[pending Revenue]]</f>
        <v>1831</v>
      </c>
    </row>
    <row r="1512" spans="1:18" x14ac:dyDescent="0.25">
      <c r="A1512" t="s">
        <v>1589</v>
      </c>
      <c r="B1512" s="2">
        <v>45540</v>
      </c>
      <c r="C1512" t="s">
        <v>51</v>
      </c>
      <c r="D1512" t="s">
        <v>52</v>
      </c>
      <c r="E1512" t="s">
        <v>26</v>
      </c>
      <c r="F1512" s="5">
        <v>3</v>
      </c>
      <c r="G1512" s="5">
        <v>1</v>
      </c>
      <c r="H1512" s="5">
        <v>4367</v>
      </c>
      <c r="I1512" s="5">
        <v>3</v>
      </c>
      <c r="J1512" s="5">
        <v>4365</v>
      </c>
      <c r="K1512" t="s">
        <v>18</v>
      </c>
      <c r="L1512" t="s">
        <v>19</v>
      </c>
      <c r="M1512" t="s">
        <v>60</v>
      </c>
      <c r="N1512" t="s">
        <v>42</v>
      </c>
      <c r="O1512" t="s">
        <v>49</v>
      </c>
      <c r="P1512" t="s">
        <v>18</v>
      </c>
      <c r="Q1512">
        <f>Table1[[#This Row],[Course_Fee_AED]]-Table1[[#This Row],[Amount_Paid_AED]]</f>
        <v>2</v>
      </c>
      <c r="R1512">
        <f>Table1[[#This Row],[Course_Fee_AED]]-Table1[[#This Row],[pending Revenue]]</f>
        <v>4365</v>
      </c>
    </row>
    <row r="1513" spans="1:18" x14ac:dyDescent="0.25">
      <c r="A1513" t="s">
        <v>1590</v>
      </c>
      <c r="B1513" s="2">
        <v>45402</v>
      </c>
      <c r="C1513" t="s">
        <v>55</v>
      </c>
      <c r="D1513" t="s">
        <v>56</v>
      </c>
      <c r="E1513" t="s">
        <v>26</v>
      </c>
      <c r="F1513" s="5">
        <v>3</v>
      </c>
      <c r="G1513" s="5">
        <v>1</v>
      </c>
      <c r="H1513" s="5">
        <v>9345</v>
      </c>
      <c r="I1513" s="5">
        <v>1</v>
      </c>
      <c r="J1513" s="5">
        <v>3115</v>
      </c>
      <c r="K1513" t="s">
        <v>18</v>
      </c>
      <c r="L1513" t="s">
        <v>57</v>
      </c>
      <c r="M1513" t="s">
        <v>20</v>
      </c>
      <c r="N1513" t="s">
        <v>28</v>
      </c>
      <c r="O1513" t="s">
        <v>87</v>
      </c>
      <c r="P1513" t="s">
        <v>18</v>
      </c>
      <c r="Q1513">
        <f>Table1[[#This Row],[Course_Fee_AED]]-Table1[[#This Row],[Amount_Paid_AED]]</f>
        <v>6230</v>
      </c>
      <c r="R1513">
        <f>Table1[[#This Row],[Course_Fee_AED]]-Table1[[#This Row],[pending Revenue]]</f>
        <v>3115</v>
      </c>
    </row>
    <row r="1514" spans="1:18" x14ac:dyDescent="0.25">
      <c r="A1514" t="s">
        <v>1591</v>
      </c>
      <c r="B1514" s="2">
        <v>45412</v>
      </c>
      <c r="C1514" t="s">
        <v>92</v>
      </c>
      <c r="D1514" t="s">
        <v>93</v>
      </c>
      <c r="E1514" t="s">
        <v>26</v>
      </c>
      <c r="F1514" s="5">
        <v>3</v>
      </c>
      <c r="G1514" s="5">
        <v>1</v>
      </c>
      <c r="H1514" s="5">
        <v>6708</v>
      </c>
      <c r="I1514" s="5">
        <v>2</v>
      </c>
      <c r="J1514" s="5">
        <v>4472</v>
      </c>
      <c r="K1514" t="s">
        <v>18</v>
      </c>
      <c r="L1514" t="s">
        <v>57</v>
      </c>
      <c r="M1514" t="s">
        <v>41</v>
      </c>
      <c r="N1514" t="s">
        <v>86</v>
      </c>
      <c r="O1514" t="s">
        <v>49</v>
      </c>
      <c r="P1514" t="s">
        <v>36</v>
      </c>
      <c r="Q1514">
        <f>Table1[[#This Row],[Course_Fee_AED]]-Table1[[#This Row],[Amount_Paid_AED]]</f>
        <v>2236</v>
      </c>
      <c r="R1514">
        <f>Table1[[#This Row],[Course_Fee_AED]]-Table1[[#This Row],[pending Revenue]]</f>
        <v>4472</v>
      </c>
    </row>
    <row r="1515" spans="1:18" x14ac:dyDescent="0.25">
      <c r="A1515" t="s">
        <v>1592</v>
      </c>
      <c r="B1515" s="2">
        <v>45392</v>
      </c>
      <c r="C1515" t="s">
        <v>51</v>
      </c>
      <c r="D1515" t="s">
        <v>52</v>
      </c>
      <c r="E1515" t="s">
        <v>17</v>
      </c>
      <c r="F1515" s="5">
        <v>6</v>
      </c>
      <c r="G1515" s="5">
        <v>1</v>
      </c>
      <c r="H1515" s="5">
        <v>3646</v>
      </c>
      <c r="I1515" s="5">
        <v>2</v>
      </c>
      <c r="J1515" s="5">
        <v>2430</v>
      </c>
      <c r="K1515" t="s">
        <v>18</v>
      </c>
      <c r="L1515" t="s">
        <v>40</v>
      </c>
      <c r="M1515" t="s">
        <v>20</v>
      </c>
      <c r="N1515" t="s">
        <v>53</v>
      </c>
      <c r="O1515" t="s">
        <v>43</v>
      </c>
      <c r="P1515" t="s">
        <v>36</v>
      </c>
      <c r="Q1515">
        <f>Table1[[#This Row],[Course_Fee_AED]]-Table1[[#This Row],[Amount_Paid_AED]]</f>
        <v>1216</v>
      </c>
      <c r="R1515">
        <f>Table1[[#This Row],[Course_Fee_AED]]-Table1[[#This Row],[pending Revenue]]</f>
        <v>2430</v>
      </c>
    </row>
    <row r="1516" spans="1:18" x14ac:dyDescent="0.25">
      <c r="A1516" t="s">
        <v>1593</v>
      </c>
      <c r="B1516" s="2">
        <v>45452</v>
      </c>
      <c r="C1516" t="s">
        <v>92</v>
      </c>
      <c r="D1516" t="s">
        <v>93</v>
      </c>
      <c r="E1516" t="s">
        <v>26</v>
      </c>
      <c r="F1516" s="5">
        <v>3</v>
      </c>
      <c r="G1516" s="5">
        <v>1</v>
      </c>
      <c r="H1516" s="5">
        <v>6889</v>
      </c>
      <c r="I1516" s="5">
        <v>3</v>
      </c>
      <c r="J1516" s="5">
        <v>6888</v>
      </c>
      <c r="K1516" t="s">
        <v>18</v>
      </c>
      <c r="L1516" t="s">
        <v>19</v>
      </c>
      <c r="M1516" t="s">
        <v>60</v>
      </c>
      <c r="N1516" t="s">
        <v>61</v>
      </c>
      <c r="O1516" t="s">
        <v>29</v>
      </c>
      <c r="P1516" t="s">
        <v>18</v>
      </c>
      <c r="Q1516">
        <f>Table1[[#This Row],[Course_Fee_AED]]-Table1[[#This Row],[Amount_Paid_AED]]</f>
        <v>1</v>
      </c>
      <c r="R1516">
        <f>Table1[[#This Row],[Course_Fee_AED]]-Table1[[#This Row],[pending Revenue]]</f>
        <v>6888</v>
      </c>
    </row>
    <row r="1517" spans="1:18" x14ac:dyDescent="0.25">
      <c r="A1517" t="s">
        <v>1594</v>
      </c>
      <c r="B1517" s="2">
        <v>45457</v>
      </c>
      <c r="C1517" t="s">
        <v>24</v>
      </c>
      <c r="D1517" t="s">
        <v>25</v>
      </c>
      <c r="E1517" t="s">
        <v>17</v>
      </c>
      <c r="F1517" s="5">
        <v>6</v>
      </c>
      <c r="G1517" s="5">
        <v>1</v>
      </c>
      <c r="H1517" s="5">
        <v>5805</v>
      </c>
      <c r="I1517" s="5">
        <v>1</v>
      </c>
      <c r="J1517" s="5">
        <v>1935</v>
      </c>
      <c r="K1517" t="s">
        <v>18</v>
      </c>
      <c r="L1517" t="s">
        <v>57</v>
      </c>
      <c r="M1517" t="s">
        <v>60</v>
      </c>
      <c r="N1517" t="s">
        <v>154</v>
      </c>
      <c r="O1517" t="s">
        <v>43</v>
      </c>
      <c r="P1517" t="s">
        <v>36</v>
      </c>
      <c r="Q1517">
        <f>Table1[[#This Row],[Course_Fee_AED]]-Table1[[#This Row],[Amount_Paid_AED]]</f>
        <v>3870</v>
      </c>
      <c r="R1517">
        <f>Table1[[#This Row],[Course_Fee_AED]]-Table1[[#This Row],[pending Revenue]]</f>
        <v>1935</v>
      </c>
    </row>
    <row r="1518" spans="1:18" x14ac:dyDescent="0.25">
      <c r="A1518" t="s">
        <v>1595</v>
      </c>
      <c r="B1518" s="2">
        <v>45375</v>
      </c>
      <c r="C1518" t="s">
        <v>92</v>
      </c>
      <c r="D1518" t="s">
        <v>93</v>
      </c>
      <c r="E1518" t="s">
        <v>17</v>
      </c>
      <c r="F1518" s="5">
        <v>6</v>
      </c>
      <c r="G1518" s="5">
        <v>1</v>
      </c>
      <c r="H1518" s="5">
        <v>6369</v>
      </c>
      <c r="I1518" s="5">
        <v>2</v>
      </c>
      <c r="J1518" s="5">
        <v>4246</v>
      </c>
      <c r="K1518" t="s">
        <v>18</v>
      </c>
      <c r="L1518" t="s">
        <v>19</v>
      </c>
      <c r="M1518" t="s">
        <v>41</v>
      </c>
      <c r="N1518" t="s">
        <v>95</v>
      </c>
      <c r="O1518" t="s">
        <v>22</v>
      </c>
      <c r="P1518" t="s">
        <v>36</v>
      </c>
      <c r="Q1518">
        <f>Table1[[#This Row],[Course_Fee_AED]]-Table1[[#This Row],[Amount_Paid_AED]]</f>
        <v>2123</v>
      </c>
      <c r="R1518">
        <f>Table1[[#This Row],[Course_Fee_AED]]-Table1[[#This Row],[pending Revenue]]</f>
        <v>4246</v>
      </c>
    </row>
    <row r="1519" spans="1:18" x14ac:dyDescent="0.25">
      <c r="A1519" t="s">
        <v>1596</v>
      </c>
      <c r="B1519" s="2">
        <v>45462</v>
      </c>
      <c r="C1519" t="s">
        <v>55</v>
      </c>
      <c r="D1519" t="s">
        <v>56</v>
      </c>
      <c r="E1519" t="s">
        <v>26</v>
      </c>
      <c r="F1519" s="5">
        <v>3</v>
      </c>
      <c r="G1519" s="5">
        <v>1</v>
      </c>
      <c r="H1519" s="5">
        <v>9344</v>
      </c>
      <c r="I1519" s="5">
        <v>2</v>
      </c>
      <c r="J1519" s="5">
        <v>6228</v>
      </c>
      <c r="K1519" t="s">
        <v>18</v>
      </c>
      <c r="L1519" t="s">
        <v>57</v>
      </c>
      <c r="M1519" t="s">
        <v>27</v>
      </c>
      <c r="N1519" t="s">
        <v>73</v>
      </c>
      <c r="O1519" t="s">
        <v>71</v>
      </c>
      <c r="P1519" t="s">
        <v>36</v>
      </c>
      <c r="Q1519">
        <f>Table1[[#This Row],[Course_Fee_AED]]-Table1[[#This Row],[Amount_Paid_AED]]</f>
        <v>3116</v>
      </c>
      <c r="R1519">
        <f>Table1[[#This Row],[Course_Fee_AED]]-Table1[[#This Row],[pending Revenue]]</f>
        <v>6228</v>
      </c>
    </row>
    <row r="1520" spans="1:18" x14ac:dyDescent="0.25">
      <c r="A1520" t="s">
        <v>1597</v>
      </c>
      <c r="B1520" s="2">
        <v>45551</v>
      </c>
      <c r="C1520" t="s">
        <v>75</v>
      </c>
      <c r="D1520" t="s">
        <v>76</v>
      </c>
      <c r="E1520" t="s">
        <v>26</v>
      </c>
      <c r="F1520" s="5">
        <v>3</v>
      </c>
      <c r="G1520" s="5">
        <v>1</v>
      </c>
      <c r="H1520" s="5">
        <v>14162</v>
      </c>
      <c r="I1520" s="5">
        <v>3</v>
      </c>
      <c r="J1520" s="5">
        <v>14160</v>
      </c>
      <c r="K1520" t="s">
        <v>18</v>
      </c>
      <c r="L1520" t="s">
        <v>57</v>
      </c>
      <c r="M1520" t="s">
        <v>60</v>
      </c>
      <c r="N1520" t="s">
        <v>90</v>
      </c>
      <c r="O1520" t="s">
        <v>87</v>
      </c>
      <c r="P1520" t="s">
        <v>36</v>
      </c>
      <c r="Q1520">
        <f>Table1[[#This Row],[Course_Fee_AED]]-Table1[[#This Row],[Amount_Paid_AED]]</f>
        <v>2</v>
      </c>
      <c r="R1520">
        <f>Table1[[#This Row],[Course_Fee_AED]]-Table1[[#This Row],[pending Revenue]]</f>
        <v>14160</v>
      </c>
    </row>
    <row r="1521" spans="1:18" x14ac:dyDescent="0.25">
      <c r="A1521" t="s">
        <v>1598</v>
      </c>
      <c r="B1521" s="2">
        <v>45611</v>
      </c>
      <c r="C1521" t="s">
        <v>92</v>
      </c>
      <c r="D1521" t="s">
        <v>93</v>
      </c>
      <c r="E1521" t="s">
        <v>17</v>
      </c>
      <c r="F1521" s="5">
        <v>6</v>
      </c>
      <c r="G1521" s="5">
        <v>1</v>
      </c>
      <c r="H1521" s="5">
        <v>5616</v>
      </c>
      <c r="I1521" s="5">
        <v>2</v>
      </c>
      <c r="J1521" s="5">
        <v>3744</v>
      </c>
      <c r="K1521" t="s">
        <v>18</v>
      </c>
      <c r="L1521" t="s">
        <v>57</v>
      </c>
      <c r="M1521" t="s">
        <v>41</v>
      </c>
      <c r="N1521" t="s">
        <v>21</v>
      </c>
      <c r="O1521" t="s">
        <v>71</v>
      </c>
      <c r="P1521" t="s">
        <v>36</v>
      </c>
      <c r="Q1521">
        <f>Table1[[#This Row],[Course_Fee_AED]]-Table1[[#This Row],[Amount_Paid_AED]]</f>
        <v>1872</v>
      </c>
      <c r="R1521">
        <f>Table1[[#This Row],[Course_Fee_AED]]-Table1[[#This Row],[pending Revenue]]</f>
        <v>3744</v>
      </c>
    </row>
    <row r="1522" spans="1:18" x14ac:dyDescent="0.25">
      <c r="A1522" t="s">
        <v>1599</v>
      </c>
      <c r="B1522" s="2">
        <v>45322</v>
      </c>
      <c r="C1522" t="s">
        <v>92</v>
      </c>
      <c r="D1522" t="s">
        <v>93</v>
      </c>
      <c r="E1522" t="s">
        <v>17</v>
      </c>
      <c r="F1522" s="5">
        <v>6</v>
      </c>
      <c r="G1522" s="5">
        <v>1</v>
      </c>
      <c r="H1522" s="5">
        <v>6306</v>
      </c>
      <c r="I1522" s="5">
        <v>1</v>
      </c>
      <c r="J1522" s="5">
        <v>2102</v>
      </c>
      <c r="K1522" t="s">
        <v>18</v>
      </c>
      <c r="L1522" t="s">
        <v>19</v>
      </c>
      <c r="M1522" t="s">
        <v>60</v>
      </c>
      <c r="N1522" t="s">
        <v>79</v>
      </c>
      <c r="O1522" t="s">
        <v>68</v>
      </c>
      <c r="P1522" t="s">
        <v>18</v>
      </c>
      <c r="Q1522">
        <f>Table1[[#This Row],[Course_Fee_AED]]-Table1[[#This Row],[Amount_Paid_AED]]</f>
        <v>4204</v>
      </c>
      <c r="R1522">
        <f>Table1[[#This Row],[Course_Fee_AED]]-Table1[[#This Row],[pending Revenue]]</f>
        <v>2102</v>
      </c>
    </row>
    <row r="1523" spans="1:18" x14ac:dyDescent="0.25">
      <c r="A1523" t="s">
        <v>1600</v>
      </c>
      <c r="B1523" s="2">
        <v>45596</v>
      </c>
      <c r="C1523" t="s">
        <v>51</v>
      </c>
      <c r="D1523" t="s">
        <v>52</v>
      </c>
      <c r="E1523" t="s">
        <v>17</v>
      </c>
      <c r="F1523" s="5">
        <v>6</v>
      </c>
      <c r="G1523" s="5">
        <v>1</v>
      </c>
      <c r="H1523" s="5">
        <v>3893</v>
      </c>
      <c r="I1523" s="5">
        <v>1</v>
      </c>
      <c r="J1523" s="5">
        <v>1297</v>
      </c>
      <c r="K1523" t="s">
        <v>18</v>
      </c>
      <c r="L1523" t="s">
        <v>57</v>
      </c>
      <c r="M1523" t="s">
        <v>41</v>
      </c>
      <c r="N1523" t="s">
        <v>116</v>
      </c>
      <c r="O1523" t="s">
        <v>64</v>
      </c>
      <c r="P1523" t="s">
        <v>36</v>
      </c>
      <c r="Q1523">
        <f>Table1[[#This Row],[Course_Fee_AED]]-Table1[[#This Row],[Amount_Paid_AED]]</f>
        <v>2596</v>
      </c>
      <c r="R1523">
        <f>Table1[[#This Row],[Course_Fee_AED]]-Table1[[#This Row],[pending Revenue]]</f>
        <v>1297</v>
      </c>
    </row>
    <row r="1524" spans="1:18" x14ac:dyDescent="0.25">
      <c r="A1524" t="s">
        <v>1601</v>
      </c>
      <c r="B1524" s="2">
        <v>45346</v>
      </c>
      <c r="C1524" t="s">
        <v>66</v>
      </c>
      <c r="D1524" t="s">
        <v>56</v>
      </c>
      <c r="E1524" t="s">
        <v>17</v>
      </c>
      <c r="F1524" s="5">
        <v>6</v>
      </c>
      <c r="G1524" s="5">
        <v>1</v>
      </c>
      <c r="H1524" s="5">
        <v>8363</v>
      </c>
      <c r="I1524" s="5">
        <v>2</v>
      </c>
      <c r="J1524" s="5">
        <v>5574</v>
      </c>
      <c r="K1524" t="s">
        <v>18</v>
      </c>
      <c r="L1524" t="s">
        <v>40</v>
      </c>
      <c r="M1524" t="s">
        <v>20</v>
      </c>
      <c r="N1524" t="s">
        <v>79</v>
      </c>
      <c r="O1524" t="s">
        <v>43</v>
      </c>
      <c r="P1524" t="s">
        <v>18</v>
      </c>
      <c r="Q1524">
        <f>Table1[[#This Row],[Course_Fee_AED]]-Table1[[#This Row],[Amount_Paid_AED]]</f>
        <v>2789</v>
      </c>
      <c r="R1524">
        <f>Table1[[#This Row],[Course_Fee_AED]]-Table1[[#This Row],[pending Revenue]]</f>
        <v>5574</v>
      </c>
    </row>
    <row r="1525" spans="1:18" x14ac:dyDescent="0.25">
      <c r="A1525" t="s">
        <v>1602</v>
      </c>
      <c r="B1525" s="2">
        <v>45305</v>
      </c>
      <c r="C1525" t="s">
        <v>31</v>
      </c>
      <c r="D1525" t="s">
        <v>32</v>
      </c>
      <c r="E1525" t="s">
        <v>26</v>
      </c>
      <c r="F1525" s="5">
        <v>3</v>
      </c>
      <c r="G1525" s="5">
        <v>1</v>
      </c>
      <c r="H1525" s="5">
        <v>7671</v>
      </c>
      <c r="I1525" s="5">
        <v>3</v>
      </c>
      <c r="J1525" s="5">
        <v>7671</v>
      </c>
      <c r="K1525" t="s">
        <v>33</v>
      </c>
      <c r="L1525" t="s">
        <v>57</v>
      </c>
      <c r="M1525" t="s">
        <v>63</v>
      </c>
      <c r="N1525" t="s">
        <v>34</v>
      </c>
      <c r="O1525" t="s">
        <v>49</v>
      </c>
      <c r="P1525" t="s">
        <v>18</v>
      </c>
      <c r="Q1525">
        <f>Table1[[#This Row],[Course_Fee_AED]]-Table1[[#This Row],[Amount_Paid_AED]]</f>
        <v>0</v>
      </c>
      <c r="R1525">
        <f>Table1[[#This Row],[Course_Fee_AED]]-Table1[[#This Row],[pending Revenue]]</f>
        <v>7671</v>
      </c>
    </row>
    <row r="1526" spans="1:18" x14ac:dyDescent="0.25">
      <c r="A1526" t="s">
        <v>1603</v>
      </c>
      <c r="B1526" s="2">
        <v>45645</v>
      </c>
      <c r="C1526" t="s">
        <v>82</v>
      </c>
      <c r="D1526" t="s">
        <v>83</v>
      </c>
      <c r="E1526" t="s">
        <v>17</v>
      </c>
      <c r="F1526" s="5">
        <v>6</v>
      </c>
      <c r="G1526" s="5">
        <v>1</v>
      </c>
      <c r="H1526" s="5">
        <v>12892</v>
      </c>
      <c r="I1526" s="5">
        <v>2</v>
      </c>
      <c r="J1526" s="5">
        <v>8594</v>
      </c>
      <c r="K1526" t="s">
        <v>18</v>
      </c>
      <c r="L1526" t="s">
        <v>57</v>
      </c>
      <c r="M1526" t="s">
        <v>20</v>
      </c>
      <c r="N1526" t="s">
        <v>95</v>
      </c>
      <c r="O1526" t="s">
        <v>22</v>
      </c>
      <c r="P1526" t="s">
        <v>18</v>
      </c>
      <c r="Q1526">
        <f>Table1[[#This Row],[Course_Fee_AED]]-Table1[[#This Row],[Amount_Paid_AED]]</f>
        <v>4298</v>
      </c>
      <c r="R1526">
        <f>Table1[[#This Row],[Course_Fee_AED]]-Table1[[#This Row],[pending Revenue]]</f>
        <v>8594</v>
      </c>
    </row>
    <row r="1527" spans="1:18" x14ac:dyDescent="0.25">
      <c r="A1527" t="s">
        <v>1604</v>
      </c>
      <c r="B1527" s="2">
        <v>45624</v>
      </c>
      <c r="C1527" t="s">
        <v>31</v>
      </c>
      <c r="D1527" t="s">
        <v>32</v>
      </c>
      <c r="E1527" t="s">
        <v>26</v>
      </c>
      <c r="F1527" s="5">
        <v>3</v>
      </c>
      <c r="G1527" s="5">
        <v>1</v>
      </c>
      <c r="H1527" s="5">
        <v>6671</v>
      </c>
      <c r="I1527" s="5">
        <v>3</v>
      </c>
      <c r="J1527" s="5">
        <v>6669</v>
      </c>
      <c r="K1527" t="s">
        <v>18</v>
      </c>
      <c r="L1527" t="s">
        <v>57</v>
      </c>
      <c r="M1527" t="s">
        <v>41</v>
      </c>
      <c r="N1527" t="s">
        <v>70</v>
      </c>
      <c r="O1527" t="s">
        <v>64</v>
      </c>
      <c r="P1527" t="s">
        <v>36</v>
      </c>
      <c r="Q1527">
        <f>Table1[[#This Row],[Course_Fee_AED]]-Table1[[#This Row],[Amount_Paid_AED]]</f>
        <v>2</v>
      </c>
      <c r="R1527">
        <f>Table1[[#This Row],[Course_Fee_AED]]-Table1[[#This Row],[pending Revenue]]</f>
        <v>6669</v>
      </c>
    </row>
    <row r="1528" spans="1:18" x14ac:dyDescent="0.25">
      <c r="A1528" t="s">
        <v>1605</v>
      </c>
      <c r="B1528" s="2">
        <v>45563</v>
      </c>
      <c r="C1528" t="s">
        <v>45</v>
      </c>
      <c r="D1528" t="s">
        <v>46</v>
      </c>
      <c r="E1528" t="s">
        <v>17</v>
      </c>
      <c r="F1528" s="5">
        <v>6</v>
      </c>
      <c r="G1528" s="5">
        <v>1</v>
      </c>
      <c r="H1528" s="5">
        <v>4976</v>
      </c>
      <c r="I1528" s="5">
        <v>3</v>
      </c>
      <c r="J1528" s="5">
        <v>4974</v>
      </c>
      <c r="K1528" t="s">
        <v>18</v>
      </c>
      <c r="L1528" t="s">
        <v>40</v>
      </c>
      <c r="M1528" t="s">
        <v>27</v>
      </c>
      <c r="N1528" t="s">
        <v>28</v>
      </c>
      <c r="O1528" t="s">
        <v>68</v>
      </c>
      <c r="P1528" t="s">
        <v>36</v>
      </c>
      <c r="Q1528">
        <f>Table1[[#This Row],[Course_Fee_AED]]-Table1[[#This Row],[Amount_Paid_AED]]</f>
        <v>2</v>
      </c>
      <c r="R1528">
        <f>Table1[[#This Row],[Course_Fee_AED]]-Table1[[#This Row],[pending Revenue]]</f>
        <v>4974</v>
      </c>
    </row>
    <row r="1529" spans="1:18" x14ac:dyDescent="0.25">
      <c r="A1529" t="s">
        <v>1606</v>
      </c>
      <c r="B1529" s="2">
        <v>45524</v>
      </c>
      <c r="C1529" t="s">
        <v>38</v>
      </c>
      <c r="D1529" t="s">
        <v>39</v>
      </c>
      <c r="E1529" t="s">
        <v>26</v>
      </c>
      <c r="F1529" s="5">
        <v>3</v>
      </c>
      <c r="G1529" s="5">
        <v>1</v>
      </c>
      <c r="H1529" s="5">
        <v>4468</v>
      </c>
      <c r="I1529" s="5">
        <v>3</v>
      </c>
      <c r="J1529" s="5">
        <v>4467</v>
      </c>
      <c r="K1529" t="s">
        <v>18</v>
      </c>
      <c r="L1529" t="s">
        <v>57</v>
      </c>
      <c r="M1529" t="s">
        <v>41</v>
      </c>
      <c r="N1529" t="s">
        <v>116</v>
      </c>
      <c r="O1529" t="s">
        <v>64</v>
      </c>
      <c r="P1529" t="s">
        <v>18</v>
      </c>
      <c r="Q1529">
        <f>Table1[[#This Row],[Course_Fee_AED]]-Table1[[#This Row],[Amount_Paid_AED]]</f>
        <v>1</v>
      </c>
      <c r="R1529">
        <f>Table1[[#This Row],[Course_Fee_AED]]-Table1[[#This Row],[pending Revenue]]</f>
        <v>4467</v>
      </c>
    </row>
    <row r="1530" spans="1:18" x14ac:dyDescent="0.25">
      <c r="A1530" t="s">
        <v>1607</v>
      </c>
      <c r="B1530" s="2">
        <v>45426</v>
      </c>
      <c r="C1530" t="s">
        <v>106</v>
      </c>
      <c r="D1530" t="s">
        <v>107</v>
      </c>
      <c r="E1530" t="s">
        <v>17</v>
      </c>
      <c r="F1530" s="5">
        <v>6</v>
      </c>
      <c r="G1530" s="5">
        <v>1</v>
      </c>
      <c r="H1530" s="5">
        <v>5581</v>
      </c>
      <c r="I1530" s="5">
        <v>2</v>
      </c>
      <c r="J1530" s="5">
        <v>3720</v>
      </c>
      <c r="K1530" t="s">
        <v>18</v>
      </c>
      <c r="L1530" t="s">
        <v>57</v>
      </c>
      <c r="M1530" t="s">
        <v>47</v>
      </c>
      <c r="N1530" t="s">
        <v>116</v>
      </c>
      <c r="O1530" t="s">
        <v>64</v>
      </c>
      <c r="P1530" t="s">
        <v>36</v>
      </c>
      <c r="Q1530">
        <f>Table1[[#This Row],[Course_Fee_AED]]-Table1[[#This Row],[Amount_Paid_AED]]</f>
        <v>1861</v>
      </c>
      <c r="R1530">
        <f>Table1[[#This Row],[Course_Fee_AED]]-Table1[[#This Row],[pending Revenue]]</f>
        <v>3720</v>
      </c>
    </row>
    <row r="1531" spans="1:18" x14ac:dyDescent="0.25">
      <c r="A1531" t="s">
        <v>1608</v>
      </c>
      <c r="B1531" s="2">
        <v>45640</v>
      </c>
      <c r="C1531" t="s">
        <v>38</v>
      </c>
      <c r="D1531" t="s">
        <v>39</v>
      </c>
      <c r="E1531" t="s">
        <v>26</v>
      </c>
      <c r="F1531" s="5">
        <v>3</v>
      </c>
      <c r="G1531" s="5">
        <v>1</v>
      </c>
      <c r="H1531" s="5">
        <v>6935</v>
      </c>
      <c r="I1531" s="5">
        <v>3</v>
      </c>
      <c r="J1531" s="5">
        <v>6933</v>
      </c>
      <c r="K1531" t="s">
        <v>18</v>
      </c>
      <c r="L1531" t="s">
        <v>57</v>
      </c>
      <c r="M1531" t="s">
        <v>27</v>
      </c>
      <c r="N1531" t="s">
        <v>61</v>
      </c>
      <c r="O1531" t="s">
        <v>58</v>
      </c>
      <c r="P1531" t="s">
        <v>18</v>
      </c>
      <c r="Q1531">
        <f>Table1[[#This Row],[Course_Fee_AED]]-Table1[[#This Row],[Amount_Paid_AED]]</f>
        <v>2</v>
      </c>
      <c r="R1531">
        <f>Table1[[#This Row],[Course_Fee_AED]]-Table1[[#This Row],[pending Revenue]]</f>
        <v>6933</v>
      </c>
    </row>
    <row r="1532" spans="1:18" x14ac:dyDescent="0.25">
      <c r="A1532" t="s">
        <v>1609</v>
      </c>
      <c r="B1532" s="2">
        <v>45368</v>
      </c>
      <c r="C1532" t="s">
        <v>100</v>
      </c>
      <c r="D1532" t="s">
        <v>101</v>
      </c>
      <c r="E1532" t="s">
        <v>17</v>
      </c>
      <c r="F1532" s="5">
        <v>6</v>
      </c>
      <c r="G1532" s="5">
        <v>1</v>
      </c>
      <c r="H1532" s="5">
        <v>5487</v>
      </c>
      <c r="I1532" s="5">
        <v>2</v>
      </c>
      <c r="J1532" s="5">
        <v>3658</v>
      </c>
      <c r="K1532" t="s">
        <v>18</v>
      </c>
      <c r="L1532" t="s">
        <v>57</v>
      </c>
      <c r="M1532" t="s">
        <v>27</v>
      </c>
      <c r="N1532" t="s">
        <v>154</v>
      </c>
      <c r="O1532" t="s">
        <v>49</v>
      </c>
      <c r="P1532" t="s">
        <v>18</v>
      </c>
      <c r="Q1532">
        <f>Table1[[#This Row],[Course_Fee_AED]]-Table1[[#This Row],[Amount_Paid_AED]]</f>
        <v>1829</v>
      </c>
      <c r="R1532">
        <f>Table1[[#This Row],[Course_Fee_AED]]-Table1[[#This Row],[pending Revenue]]</f>
        <v>3658</v>
      </c>
    </row>
    <row r="1533" spans="1:18" x14ac:dyDescent="0.25">
      <c r="A1533" t="s">
        <v>1610</v>
      </c>
      <c r="B1533" s="2">
        <v>45407</v>
      </c>
      <c r="C1533" t="s">
        <v>15</v>
      </c>
      <c r="D1533" t="s">
        <v>16</v>
      </c>
      <c r="E1533" t="s">
        <v>17</v>
      </c>
      <c r="F1533" s="5">
        <v>6</v>
      </c>
      <c r="G1533" s="5">
        <v>1</v>
      </c>
      <c r="H1533" s="5">
        <v>5432</v>
      </c>
      <c r="I1533" s="5">
        <v>2</v>
      </c>
      <c r="J1533" s="5">
        <v>3620</v>
      </c>
      <c r="K1533" t="s">
        <v>18</v>
      </c>
      <c r="L1533" t="s">
        <v>40</v>
      </c>
      <c r="M1533" t="s">
        <v>41</v>
      </c>
      <c r="N1533" t="s">
        <v>154</v>
      </c>
      <c r="O1533" t="s">
        <v>71</v>
      </c>
      <c r="P1533" t="s">
        <v>18</v>
      </c>
      <c r="Q1533">
        <f>Table1[[#This Row],[Course_Fee_AED]]-Table1[[#This Row],[Amount_Paid_AED]]</f>
        <v>1812</v>
      </c>
      <c r="R1533">
        <f>Table1[[#This Row],[Course_Fee_AED]]-Table1[[#This Row],[pending Revenue]]</f>
        <v>3620</v>
      </c>
    </row>
    <row r="1534" spans="1:18" x14ac:dyDescent="0.25">
      <c r="A1534" t="s">
        <v>1611</v>
      </c>
      <c r="B1534" s="2">
        <v>45537</v>
      </c>
      <c r="C1534" t="s">
        <v>51</v>
      </c>
      <c r="D1534" t="s">
        <v>52</v>
      </c>
      <c r="E1534" t="s">
        <v>17</v>
      </c>
      <c r="F1534" s="5">
        <v>6</v>
      </c>
      <c r="G1534" s="5">
        <v>1</v>
      </c>
      <c r="H1534" s="5">
        <v>4577</v>
      </c>
      <c r="I1534" s="5">
        <v>3</v>
      </c>
      <c r="J1534" s="5">
        <v>4575</v>
      </c>
      <c r="K1534" t="s">
        <v>18</v>
      </c>
      <c r="L1534" t="s">
        <v>57</v>
      </c>
      <c r="M1534" t="s">
        <v>63</v>
      </c>
      <c r="N1534" t="s">
        <v>42</v>
      </c>
      <c r="O1534" t="s">
        <v>58</v>
      </c>
      <c r="P1534" t="s">
        <v>18</v>
      </c>
      <c r="Q1534">
        <f>Table1[[#This Row],[Course_Fee_AED]]-Table1[[#This Row],[Amount_Paid_AED]]</f>
        <v>2</v>
      </c>
      <c r="R1534">
        <f>Table1[[#This Row],[Course_Fee_AED]]-Table1[[#This Row],[pending Revenue]]</f>
        <v>4575</v>
      </c>
    </row>
    <row r="1535" spans="1:18" x14ac:dyDescent="0.25">
      <c r="A1535" t="s">
        <v>1612</v>
      </c>
      <c r="B1535" s="2">
        <v>45554</v>
      </c>
      <c r="C1535" t="s">
        <v>113</v>
      </c>
      <c r="D1535" t="s">
        <v>93</v>
      </c>
      <c r="E1535" t="s">
        <v>17</v>
      </c>
      <c r="F1535" s="5">
        <v>6</v>
      </c>
      <c r="G1535" s="5">
        <v>1</v>
      </c>
      <c r="H1535" s="5">
        <v>4354</v>
      </c>
      <c r="I1535" s="5">
        <v>2</v>
      </c>
      <c r="J1535" s="5">
        <v>2902</v>
      </c>
      <c r="K1535" t="s">
        <v>18</v>
      </c>
      <c r="L1535" t="s">
        <v>40</v>
      </c>
      <c r="M1535" t="s">
        <v>20</v>
      </c>
      <c r="N1535" t="s">
        <v>28</v>
      </c>
      <c r="O1535" t="s">
        <v>71</v>
      </c>
      <c r="P1535" t="s">
        <v>18</v>
      </c>
      <c r="Q1535">
        <f>Table1[[#This Row],[Course_Fee_AED]]-Table1[[#This Row],[Amount_Paid_AED]]</f>
        <v>1452</v>
      </c>
      <c r="R1535">
        <f>Table1[[#This Row],[Course_Fee_AED]]-Table1[[#This Row],[pending Revenue]]</f>
        <v>2902</v>
      </c>
    </row>
    <row r="1536" spans="1:18" x14ac:dyDescent="0.25">
      <c r="A1536" t="s">
        <v>1613</v>
      </c>
      <c r="B1536" s="2">
        <v>45392</v>
      </c>
      <c r="C1536" t="s">
        <v>82</v>
      </c>
      <c r="D1536" t="s">
        <v>83</v>
      </c>
      <c r="E1536" t="s">
        <v>26</v>
      </c>
      <c r="F1536" s="5">
        <v>3</v>
      </c>
      <c r="G1536" s="5">
        <v>1</v>
      </c>
      <c r="H1536" s="5">
        <v>10012</v>
      </c>
      <c r="I1536" s="5">
        <v>2</v>
      </c>
      <c r="J1536" s="5">
        <v>6674</v>
      </c>
      <c r="K1536" t="s">
        <v>18</v>
      </c>
      <c r="L1536" t="s">
        <v>19</v>
      </c>
      <c r="M1536" t="s">
        <v>47</v>
      </c>
      <c r="N1536" t="s">
        <v>73</v>
      </c>
      <c r="O1536" t="s">
        <v>22</v>
      </c>
      <c r="P1536" t="s">
        <v>36</v>
      </c>
      <c r="Q1536">
        <f>Table1[[#This Row],[Course_Fee_AED]]-Table1[[#This Row],[Amount_Paid_AED]]</f>
        <v>3338</v>
      </c>
      <c r="R1536">
        <f>Table1[[#This Row],[Course_Fee_AED]]-Table1[[#This Row],[pending Revenue]]</f>
        <v>6674</v>
      </c>
    </row>
    <row r="1537" spans="1:18" x14ac:dyDescent="0.25">
      <c r="A1537" t="s">
        <v>1614</v>
      </c>
      <c r="B1537" s="2">
        <v>45386</v>
      </c>
      <c r="C1537" t="s">
        <v>113</v>
      </c>
      <c r="D1537" t="s">
        <v>93</v>
      </c>
      <c r="E1537" t="s">
        <v>26</v>
      </c>
      <c r="F1537" s="5">
        <v>3</v>
      </c>
      <c r="G1537" s="5">
        <v>1</v>
      </c>
      <c r="H1537" s="5">
        <v>3683</v>
      </c>
      <c r="I1537" s="5">
        <v>2</v>
      </c>
      <c r="J1537" s="5">
        <v>2454</v>
      </c>
      <c r="K1537" t="s">
        <v>18</v>
      </c>
      <c r="L1537" t="s">
        <v>57</v>
      </c>
      <c r="M1537" t="s">
        <v>60</v>
      </c>
      <c r="N1537" t="s">
        <v>34</v>
      </c>
      <c r="O1537" t="s">
        <v>87</v>
      </c>
      <c r="P1537" t="s">
        <v>18</v>
      </c>
      <c r="Q1537">
        <f>Table1[[#This Row],[Course_Fee_AED]]-Table1[[#This Row],[Amount_Paid_AED]]</f>
        <v>1229</v>
      </c>
      <c r="R1537">
        <f>Table1[[#This Row],[Course_Fee_AED]]-Table1[[#This Row],[pending Revenue]]</f>
        <v>2454</v>
      </c>
    </row>
    <row r="1538" spans="1:18" x14ac:dyDescent="0.25">
      <c r="A1538" t="s">
        <v>1615</v>
      </c>
      <c r="B1538" s="2">
        <v>45464</v>
      </c>
      <c r="C1538" t="s">
        <v>51</v>
      </c>
      <c r="D1538" t="s">
        <v>52</v>
      </c>
      <c r="E1538" t="s">
        <v>26</v>
      </c>
      <c r="F1538" s="5">
        <v>3</v>
      </c>
      <c r="G1538" s="5">
        <v>1</v>
      </c>
      <c r="H1538" s="5">
        <v>3700</v>
      </c>
      <c r="I1538" s="5">
        <v>1</v>
      </c>
      <c r="J1538" s="5">
        <v>1233</v>
      </c>
      <c r="K1538" t="s">
        <v>18</v>
      </c>
      <c r="L1538" t="s">
        <v>19</v>
      </c>
      <c r="M1538" t="s">
        <v>63</v>
      </c>
      <c r="N1538" t="s">
        <v>48</v>
      </c>
      <c r="O1538" t="s">
        <v>64</v>
      </c>
      <c r="P1538" t="s">
        <v>18</v>
      </c>
      <c r="Q1538">
        <f>Table1[[#This Row],[Course_Fee_AED]]-Table1[[#This Row],[Amount_Paid_AED]]</f>
        <v>2467</v>
      </c>
      <c r="R1538">
        <f>Table1[[#This Row],[Course_Fee_AED]]-Table1[[#This Row],[pending Revenue]]</f>
        <v>1233</v>
      </c>
    </row>
    <row r="1539" spans="1:18" x14ac:dyDescent="0.25">
      <c r="A1539" t="s">
        <v>1616</v>
      </c>
      <c r="B1539" s="2">
        <v>45627</v>
      </c>
      <c r="C1539" t="s">
        <v>24</v>
      </c>
      <c r="D1539" t="s">
        <v>25</v>
      </c>
      <c r="E1539" t="s">
        <v>17</v>
      </c>
      <c r="F1539" s="5">
        <v>6</v>
      </c>
      <c r="G1539" s="5">
        <v>1</v>
      </c>
      <c r="H1539" s="5">
        <v>5070</v>
      </c>
      <c r="I1539" s="5">
        <v>2</v>
      </c>
      <c r="J1539" s="5">
        <v>3380</v>
      </c>
      <c r="K1539" t="s">
        <v>18</v>
      </c>
      <c r="L1539" t="s">
        <v>57</v>
      </c>
      <c r="M1539" t="s">
        <v>60</v>
      </c>
      <c r="N1539" t="s">
        <v>61</v>
      </c>
      <c r="O1539" t="s">
        <v>64</v>
      </c>
      <c r="P1539" t="s">
        <v>36</v>
      </c>
      <c r="Q1539">
        <f>Table1[[#This Row],[Course_Fee_AED]]-Table1[[#This Row],[Amount_Paid_AED]]</f>
        <v>1690</v>
      </c>
      <c r="R1539">
        <f>Table1[[#This Row],[Course_Fee_AED]]-Table1[[#This Row],[pending Revenue]]</f>
        <v>3380</v>
      </c>
    </row>
    <row r="1540" spans="1:18" x14ac:dyDescent="0.25">
      <c r="A1540" t="s">
        <v>1617</v>
      </c>
      <c r="B1540" s="2">
        <v>45337</v>
      </c>
      <c r="C1540" t="s">
        <v>38</v>
      </c>
      <c r="D1540" t="s">
        <v>39</v>
      </c>
      <c r="E1540" t="s">
        <v>26</v>
      </c>
      <c r="F1540" s="5">
        <v>3</v>
      </c>
      <c r="G1540" s="5">
        <v>1</v>
      </c>
      <c r="H1540" s="5">
        <v>5843</v>
      </c>
      <c r="I1540" s="5">
        <v>2</v>
      </c>
      <c r="J1540" s="5">
        <v>3894</v>
      </c>
      <c r="K1540" t="s">
        <v>18</v>
      </c>
      <c r="L1540" t="s">
        <v>40</v>
      </c>
      <c r="M1540" t="s">
        <v>63</v>
      </c>
      <c r="N1540" t="s">
        <v>79</v>
      </c>
      <c r="O1540" t="s">
        <v>58</v>
      </c>
      <c r="P1540" t="s">
        <v>18</v>
      </c>
      <c r="Q1540">
        <f>Table1[[#This Row],[Course_Fee_AED]]-Table1[[#This Row],[Amount_Paid_AED]]</f>
        <v>1949</v>
      </c>
      <c r="R1540">
        <f>Table1[[#This Row],[Course_Fee_AED]]-Table1[[#This Row],[pending Revenue]]</f>
        <v>3894</v>
      </c>
    </row>
    <row r="1541" spans="1:18" x14ac:dyDescent="0.25">
      <c r="A1541" t="s">
        <v>1618</v>
      </c>
      <c r="B1541" s="2">
        <v>45347</v>
      </c>
      <c r="C1541" t="s">
        <v>106</v>
      </c>
      <c r="D1541" t="s">
        <v>107</v>
      </c>
      <c r="E1541" t="s">
        <v>26</v>
      </c>
      <c r="F1541" s="5">
        <v>3</v>
      </c>
      <c r="G1541" s="5">
        <v>1</v>
      </c>
      <c r="H1541" s="5">
        <v>6078</v>
      </c>
      <c r="I1541" s="5">
        <v>2</v>
      </c>
      <c r="J1541" s="5">
        <v>4052</v>
      </c>
      <c r="K1541" t="s">
        <v>18</v>
      </c>
      <c r="L1541" t="s">
        <v>40</v>
      </c>
      <c r="M1541" t="s">
        <v>27</v>
      </c>
      <c r="N1541" t="s">
        <v>42</v>
      </c>
      <c r="O1541" t="s">
        <v>29</v>
      </c>
      <c r="P1541" t="s">
        <v>36</v>
      </c>
      <c r="Q1541">
        <f>Table1[[#This Row],[Course_Fee_AED]]-Table1[[#This Row],[Amount_Paid_AED]]</f>
        <v>2026</v>
      </c>
      <c r="R1541">
        <f>Table1[[#This Row],[Course_Fee_AED]]-Table1[[#This Row],[pending Revenue]]</f>
        <v>4052</v>
      </c>
    </row>
    <row r="1542" spans="1:18" x14ac:dyDescent="0.25">
      <c r="A1542" t="s">
        <v>1619</v>
      </c>
      <c r="B1542" s="2">
        <v>45562</v>
      </c>
      <c r="C1542" t="s">
        <v>24</v>
      </c>
      <c r="D1542" t="s">
        <v>25</v>
      </c>
      <c r="E1542" t="s">
        <v>17</v>
      </c>
      <c r="F1542" s="5">
        <v>6</v>
      </c>
      <c r="G1542" s="5">
        <v>1</v>
      </c>
      <c r="H1542" s="5">
        <v>5218</v>
      </c>
      <c r="I1542" s="5">
        <v>1</v>
      </c>
      <c r="J1542" s="5">
        <v>1739</v>
      </c>
      <c r="K1542" t="s">
        <v>18</v>
      </c>
      <c r="L1542" t="s">
        <v>19</v>
      </c>
      <c r="M1542" t="s">
        <v>20</v>
      </c>
      <c r="N1542" t="s">
        <v>42</v>
      </c>
      <c r="O1542" t="s">
        <v>68</v>
      </c>
      <c r="P1542" t="s">
        <v>18</v>
      </c>
      <c r="Q1542">
        <f>Table1[[#This Row],[Course_Fee_AED]]-Table1[[#This Row],[Amount_Paid_AED]]</f>
        <v>3479</v>
      </c>
      <c r="R1542">
        <f>Table1[[#This Row],[Course_Fee_AED]]-Table1[[#This Row],[pending Revenue]]</f>
        <v>1739</v>
      </c>
    </row>
    <row r="1543" spans="1:18" x14ac:dyDescent="0.25">
      <c r="A1543" t="s">
        <v>1620</v>
      </c>
      <c r="B1543" s="2">
        <v>45590</v>
      </c>
      <c r="C1543" t="s">
        <v>51</v>
      </c>
      <c r="D1543" t="s">
        <v>52</v>
      </c>
      <c r="E1543" t="s">
        <v>26</v>
      </c>
      <c r="F1543" s="5">
        <v>3</v>
      </c>
      <c r="G1543" s="5">
        <v>1</v>
      </c>
      <c r="H1543" s="5">
        <v>4794</v>
      </c>
      <c r="I1543" s="5">
        <v>1</v>
      </c>
      <c r="J1543" s="5">
        <v>1598</v>
      </c>
      <c r="K1543" t="s">
        <v>18</v>
      </c>
      <c r="L1543" t="s">
        <v>57</v>
      </c>
      <c r="M1543" t="s">
        <v>20</v>
      </c>
      <c r="N1543" t="s">
        <v>28</v>
      </c>
      <c r="O1543" t="s">
        <v>58</v>
      </c>
      <c r="P1543" t="s">
        <v>36</v>
      </c>
      <c r="Q1543">
        <f>Table1[[#This Row],[Course_Fee_AED]]-Table1[[#This Row],[Amount_Paid_AED]]</f>
        <v>3196</v>
      </c>
      <c r="R1543">
        <f>Table1[[#This Row],[Course_Fee_AED]]-Table1[[#This Row],[pending Revenue]]</f>
        <v>1598</v>
      </c>
    </row>
    <row r="1544" spans="1:18" x14ac:dyDescent="0.25">
      <c r="A1544" t="s">
        <v>1621</v>
      </c>
      <c r="B1544" s="2">
        <v>45501</v>
      </c>
      <c r="C1544" t="s">
        <v>106</v>
      </c>
      <c r="D1544" t="s">
        <v>107</v>
      </c>
      <c r="E1544" t="s">
        <v>26</v>
      </c>
      <c r="F1544" s="5">
        <v>3</v>
      </c>
      <c r="G1544" s="5">
        <v>1</v>
      </c>
      <c r="H1544" s="5">
        <v>5380</v>
      </c>
      <c r="I1544" s="5">
        <v>3</v>
      </c>
      <c r="J1544" s="5">
        <v>5379</v>
      </c>
      <c r="K1544" t="s">
        <v>18</v>
      </c>
      <c r="L1544" t="s">
        <v>40</v>
      </c>
      <c r="M1544" t="s">
        <v>20</v>
      </c>
      <c r="N1544" t="s">
        <v>73</v>
      </c>
      <c r="O1544" t="s">
        <v>29</v>
      </c>
      <c r="P1544" t="s">
        <v>18</v>
      </c>
      <c r="Q1544">
        <f>Table1[[#This Row],[Course_Fee_AED]]-Table1[[#This Row],[Amount_Paid_AED]]</f>
        <v>1</v>
      </c>
      <c r="R1544">
        <f>Table1[[#This Row],[Course_Fee_AED]]-Table1[[#This Row],[pending Revenue]]</f>
        <v>5379</v>
      </c>
    </row>
    <row r="1545" spans="1:18" x14ac:dyDescent="0.25">
      <c r="A1545" t="s">
        <v>1622</v>
      </c>
      <c r="B1545" s="2">
        <v>45585</v>
      </c>
      <c r="C1545" t="s">
        <v>82</v>
      </c>
      <c r="D1545" t="s">
        <v>83</v>
      </c>
      <c r="E1545" t="s">
        <v>17</v>
      </c>
      <c r="F1545" s="5">
        <v>6</v>
      </c>
      <c r="G1545" s="5">
        <v>1</v>
      </c>
      <c r="H1545" s="5">
        <v>11697</v>
      </c>
      <c r="I1545" s="5">
        <v>3</v>
      </c>
      <c r="J1545" s="5">
        <v>11697</v>
      </c>
      <c r="K1545" t="s">
        <v>33</v>
      </c>
      <c r="L1545" t="s">
        <v>40</v>
      </c>
      <c r="M1545" t="s">
        <v>60</v>
      </c>
      <c r="N1545" t="s">
        <v>73</v>
      </c>
      <c r="O1545" t="s">
        <v>49</v>
      </c>
      <c r="P1545" t="s">
        <v>36</v>
      </c>
      <c r="Q1545">
        <f>Table1[[#This Row],[Course_Fee_AED]]-Table1[[#This Row],[Amount_Paid_AED]]</f>
        <v>0</v>
      </c>
      <c r="R1545">
        <f>Table1[[#This Row],[Course_Fee_AED]]-Table1[[#This Row],[pending Revenue]]</f>
        <v>11697</v>
      </c>
    </row>
    <row r="1546" spans="1:18" x14ac:dyDescent="0.25">
      <c r="A1546" t="s">
        <v>1623</v>
      </c>
      <c r="B1546" s="2">
        <v>45652</v>
      </c>
      <c r="C1546" t="s">
        <v>45</v>
      </c>
      <c r="D1546" t="s">
        <v>46</v>
      </c>
      <c r="E1546" t="s">
        <v>17</v>
      </c>
      <c r="F1546" s="5">
        <v>6</v>
      </c>
      <c r="G1546" s="5">
        <v>1</v>
      </c>
      <c r="H1546" s="5">
        <v>5631</v>
      </c>
      <c r="I1546" s="5">
        <v>2</v>
      </c>
      <c r="J1546" s="5">
        <v>3754</v>
      </c>
      <c r="K1546" t="s">
        <v>18</v>
      </c>
      <c r="L1546" t="s">
        <v>57</v>
      </c>
      <c r="M1546" t="s">
        <v>41</v>
      </c>
      <c r="N1546" t="s">
        <v>28</v>
      </c>
      <c r="O1546" t="s">
        <v>71</v>
      </c>
      <c r="P1546" t="s">
        <v>36</v>
      </c>
      <c r="Q1546">
        <f>Table1[[#This Row],[Course_Fee_AED]]-Table1[[#This Row],[Amount_Paid_AED]]</f>
        <v>1877</v>
      </c>
      <c r="R1546">
        <f>Table1[[#This Row],[Course_Fee_AED]]-Table1[[#This Row],[pending Revenue]]</f>
        <v>3754</v>
      </c>
    </row>
    <row r="1547" spans="1:18" x14ac:dyDescent="0.25">
      <c r="A1547" t="s">
        <v>1624</v>
      </c>
      <c r="B1547" s="2">
        <v>45369</v>
      </c>
      <c r="C1547" t="s">
        <v>92</v>
      </c>
      <c r="D1547" t="s">
        <v>93</v>
      </c>
      <c r="E1547" t="s">
        <v>26</v>
      </c>
      <c r="F1547" s="5">
        <v>3</v>
      </c>
      <c r="G1547" s="5">
        <v>1</v>
      </c>
      <c r="H1547" s="5">
        <v>5571</v>
      </c>
      <c r="I1547" s="5">
        <v>2</v>
      </c>
      <c r="J1547" s="5">
        <v>3714</v>
      </c>
      <c r="K1547" t="s">
        <v>18</v>
      </c>
      <c r="L1547" t="s">
        <v>40</v>
      </c>
      <c r="M1547" t="s">
        <v>41</v>
      </c>
      <c r="N1547" t="s">
        <v>21</v>
      </c>
      <c r="O1547" t="s">
        <v>29</v>
      </c>
      <c r="P1547" t="s">
        <v>18</v>
      </c>
      <c r="Q1547">
        <f>Table1[[#This Row],[Course_Fee_AED]]-Table1[[#This Row],[Amount_Paid_AED]]</f>
        <v>1857</v>
      </c>
      <c r="R1547">
        <f>Table1[[#This Row],[Course_Fee_AED]]-Table1[[#This Row],[pending Revenue]]</f>
        <v>3714</v>
      </c>
    </row>
    <row r="1548" spans="1:18" x14ac:dyDescent="0.25">
      <c r="A1548" t="s">
        <v>1625</v>
      </c>
      <c r="B1548" s="2">
        <v>45526</v>
      </c>
      <c r="C1548" t="s">
        <v>38</v>
      </c>
      <c r="D1548" t="s">
        <v>39</v>
      </c>
      <c r="E1548" t="s">
        <v>26</v>
      </c>
      <c r="F1548" s="5">
        <v>3</v>
      </c>
      <c r="G1548" s="5">
        <v>1</v>
      </c>
      <c r="H1548" s="5">
        <v>5689</v>
      </c>
      <c r="I1548" s="5">
        <v>2</v>
      </c>
      <c r="J1548" s="5">
        <v>3792</v>
      </c>
      <c r="K1548" t="s">
        <v>18</v>
      </c>
      <c r="L1548" t="s">
        <v>40</v>
      </c>
      <c r="M1548" t="s">
        <v>20</v>
      </c>
      <c r="N1548" t="s">
        <v>21</v>
      </c>
      <c r="O1548" t="s">
        <v>71</v>
      </c>
      <c r="P1548" t="s">
        <v>36</v>
      </c>
      <c r="Q1548">
        <f>Table1[[#This Row],[Course_Fee_AED]]-Table1[[#This Row],[Amount_Paid_AED]]</f>
        <v>1897</v>
      </c>
      <c r="R1548">
        <f>Table1[[#This Row],[Course_Fee_AED]]-Table1[[#This Row],[pending Revenue]]</f>
        <v>3792</v>
      </c>
    </row>
    <row r="1549" spans="1:18" x14ac:dyDescent="0.25">
      <c r="A1549" t="s">
        <v>1626</v>
      </c>
      <c r="B1549" s="2">
        <v>45396</v>
      </c>
      <c r="C1549" t="s">
        <v>38</v>
      </c>
      <c r="D1549" t="s">
        <v>39</v>
      </c>
      <c r="E1549" t="s">
        <v>26</v>
      </c>
      <c r="F1549" s="5">
        <v>3</v>
      </c>
      <c r="G1549" s="5">
        <v>1</v>
      </c>
      <c r="H1549" s="5">
        <v>6843</v>
      </c>
      <c r="I1549" s="5">
        <v>2</v>
      </c>
      <c r="J1549" s="5">
        <v>4562</v>
      </c>
      <c r="K1549" t="s">
        <v>18</v>
      </c>
      <c r="L1549" t="s">
        <v>57</v>
      </c>
      <c r="M1549" t="s">
        <v>63</v>
      </c>
      <c r="N1549" t="s">
        <v>70</v>
      </c>
      <c r="O1549" t="s">
        <v>58</v>
      </c>
      <c r="P1549" t="s">
        <v>18</v>
      </c>
      <c r="Q1549">
        <f>Table1[[#This Row],[Course_Fee_AED]]-Table1[[#This Row],[Amount_Paid_AED]]</f>
        <v>2281</v>
      </c>
      <c r="R1549">
        <f>Table1[[#This Row],[Course_Fee_AED]]-Table1[[#This Row],[pending Revenue]]</f>
        <v>4562</v>
      </c>
    </row>
    <row r="1550" spans="1:18" x14ac:dyDescent="0.25">
      <c r="A1550" t="s">
        <v>1627</v>
      </c>
      <c r="B1550" s="2">
        <v>45495</v>
      </c>
      <c r="C1550" t="s">
        <v>15</v>
      </c>
      <c r="D1550" t="s">
        <v>16</v>
      </c>
      <c r="E1550" t="s">
        <v>17</v>
      </c>
      <c r="F1550" s="5">
        <v>6</v>
      </c>
      <c r="G1550" s="5">
        <v>1</v>
      </c>
      <c r="H1550" s="5">
        <v>5235</v>
      </c>
      <c r="I1550" s="5">
        <v>2</v>
      </c>
      <c r="J1550" s="5">
        <v>3490</v>
      </c>
      <c r="K1550" t="s">
        <v>18</v>
      </c>
      <c r="L1550" t="s">
        <v>40</v>
      </c>
      <c r="M1550" t="s">
        <v>41</v>
      </c>
      <c r="N1550" t="s">
        <v>28</v>
      </c>
      <c r="O1550" t="s">
        <v>64</v>
      </c>
      <c r="P1550" t="s">
        <v>18</v>
      </c>
      <c r="Q1550">
        <f>Table1[[#This Row],[Course_Fee_AED]]-Table1[[#This Row],[Amount_Paid_AED]]</f>
        <v>1745</v>
      </c>
      <c r="R1550">
        <f>Table1[[#This Row],[Course_Fee_AED]]-Table1[[#This Row],[pending Revenue]]</f>
        <v>3490</v>
      </c>
    </row>
    <row r="1551" spans="1:18" x14ac:dyDescent="0.25">
      <c r="A1551" t="s">
        <v>1628</v>
      </c>
      <c r="B1551" s="2">
        <v>45451</v>
      </c>
      <c r="C1551" t="s">
        <v>45</v>
      </c>
      <c r="D1551" t="s">
        <v>46</v>
      </c>
      <c r="E1551" t="s">
        <v>17</v>
      </c>
      <c r="F1551" s="5">
        <v>6</v>
      </c>
      <c r="G1551" s="5">
        <v>1</v>
      </c>
      <c r="H1551" s="5">
        <v>4075</v>
      </c>
      <c r="I1551" s="5">
        <v>3</v>
      </c>
      <c r="J1551" s="5">
        <v>4074</v>
      </c>
      <c r="K1551" t="s">
        <v>18</v>
      </c>
      <c r="L1551" t="s">
        <v>40</v>
      </c>
      <c r="M1551" t="s">
        <v>20</v>
      </c>
      <c r="N1551" t="s">
        <v>90</v>
      </c>
      <c r="O1551" t="s">
        <v>58</v>
      </c>
      <c r="P1551" t="s">
        <v>36</v>
      </c>
      <c r="Q1551">
        <f>Table1[[#This Row],[Course_Fee_AED]]-Table1[[#This Row],[Amount_Paid_AED]]</f>
        <v>1</v>
      </c>
      <c r="R1551">
        <f>Table1[[#This Row],[Course_Fee_AED]]-Table1[[#This Row],[pending Revenue]]</f>
        <v>4074</v>
      </c>
    </row>
    <row r="1552" spans="1:18" x14ac:dyDescent="0.25">
      <c r="A1552" t="s">
        <v>1629</v>
      </c>
      <c r="B1552" s="2">
        <v>45612</v>
      </c>
      <c r="C1552" t="s">
        <v>45</v>
      </c>
      <c r="D1552" t="s">
        <v>46</v>
      </c>
      <c r="E1552" t="s">
        <v>17</v>
      </c>
      <c r="F1552" s="5">
        <v>6</v>
      </c>
      <c r="G1552" s="5">
        <v>1</v>
      </c>
      <c r="H1552" s="5">
        <v>5110</v>
      </c>
      <c r="I1552" s="5">
        <v>2</v>
      </c>
      <c r="J1552" s="5">
        <v>3406</v>
      </c>
      <c r="K1552" t="s">
        <v>18</v>
      </c>
      <c r="L1552" t="s">
        <v>40</v>
      </c>
      <c r="M1552" t="s">
        <v>63</v>
      </c>
      <c r="N1552" t="s">
        <v>21</v>
      </c>
      <c r="O1552" t="s">
        <v>29</v>
      </c>
      <c r="P1552" t="s">
        <v>18</v>
      </c>
      <c r="Q1552">
        <f>Table1[[#This Row],[Course_Fee_AED]]-Table1[[#This Row],[Amount_Paid_AED]]</f>
        <v>1704</v>
      </c>
      <c r="R1552">
        <f>Table1[[#This Row],[Course_Fee_AED]]-Table1[[#This Row],[pending Revenue]]</f>
        <v>3406</v>
      </c>
    </row>
    <row r="1553" spans="1:18" x14ac:dyDescent="0.25">
      <c r="A1553" t="s">
        <v>1630</v>
      </c>
      <c r="B1553" s="2">
        <v>45424</v>
      </c>
      <c r="C1553" t="s">
        <v>100</v>
      </c>
      <c r="D1553" t="s">
        <v>101</v>
      </c>
      <c r="E1553" t="s">
        <v>17</v>
      </c>
      <c r="F1553" s="5">
        <v>6</v>
      </c>
      <c r="G1553" s="5">
        <v>1</v>
      </c>
      <c r="H1553" s="5">
        <v>4977</v>
      </c>
      <c r="I1553" s="5">
        <v>2</v>
      </c>
      <c r="J1553" s="5">
        <v>3318</v>
      </c>
      <c r="K1553" t="s">
        <v>18</v>
      </c>
      <c r="L1553" t="s">
        <v>40</v>
      </c>
      <c r="M1553" t="s">
        <v>20</v>
      </c>
      <c r="N1553" t="s">
        <v>48</v>
      </c>
      <c r="O1553" t="s">
        <v>71</v>
      </c>
      <c r="P1553" t="s">
        <v>18</v>
      </c>
      <c r="Q1553">
        <f>Table1[[#This Row],[Course_Fee_AED]]-Table1[[#This Row],[Amount_Paid_AED]]</f>
        <v>1659</v>
      </c>
      <c r="R1553">
        <f>Table1[[#This Row],[Course_Fee_AED]]-Table1[[#This Row],[pending Revenue]]</f>
        <v>3318</v>
      </c>
    </row>
    <row r="1554" spans="1:18" x14ac:dyDescent="0.25">
      <c r="A1554" t="s">
        <v>1631</v>
      </c>
      <c r="B1554" s="2">
        <v>45370</v>
      </c>
      <c r="C1554" t="s">
        <v>15</v>
      </c>
      <c r="D1554" t="s">
        <v>16</v>
      </c>
      <c r="E1554" t="s">
        <v>26</v>
      </c>
      <c r="F1554" s="5">
        <v>3</v>
      </c>
      <c r="G1554" s="5">
        <v>1</v>
      </c>
      <c r="H1554" s="5">
        <v>4880</v>
      </c>
      <c r="I1554" s="5">
        <v>1</v>
      </c>
      <c r="J1554" s="5">
        <v>1626</v>
      </c>
      <c r="K1554" t="s">
        <v>18</v>
      </c>
      <c r="L1554" t="s">
        <v>57</v>
      </c>
      <c r="M1554" t="s">
        <v>20</v>
      </c>
      <c r="N1554" t="s">
        <v>79</v>
      </c>
      <c r="O1554" t="s">
        <v>71</v>
      </c>
      <c r="P1554" t="s">
        <v>36</v>
      </c>
      <c r="Q1554">
        <f>Table1[[#This Row],[Course_Fee_AED]]-Table1[[#This Row],[Amount_Paid_AED]]</f>
        <v>3254</v>
      </c>
      <c r="R1554">
        <f>Table1[[#This Row],[Course_Fee_AED]]-Table1[[#This Row],[pending Revenue]]</f>
        <v>1626</v>
      </c>
    </row>
    <row r="1555" spans="1:18" x14ac:dyDescent="0.25">
      <c r="A1555" t="s">
        <v>1632</v>
      </c>
      <c r="B1555" s="2">
        <v>45633</v>
      </c>
      <c r="C1555" t="s">
        <v>51</v>
      </c>
      <c r="D1555" t="s">
        <v>52</v>
      </c>
      <c r="E1555" t="s">
        <v>26</v>
      </c>
      <c r="F1555" s="5">
        <v>3</v>
      </c>
      <c r="G1555" s="5">
        <v>1</v>
      </c>
      <c r="H1555" s="5">
        <v>4809</v>
      </c>
      <c r="I1555" s="5">
        <v>2</v>
      </c>
      <c r="J1555" s="5">
        <v>3206</v>
      </c>
      <c r="K1555" t="s">
        <v>18</v>
      </c>
      <c r="L1555" t="s">
        <v>19</v>
      </c>
      <c r="M1555" t="s">
        <v>27</v>
      </c>
      <c r="N1555" t="s">
        <v>116</v>
      </c>
      <c r="O1555" t="s">
        <v>58</v>
      </c>
      <c r="P1555" t="s">
        <v>18</v>
      </c>
      <c r="Q1555">
        <f>Table1[[#This Row],[Course_Fee_AED]]-Table1[[#This Row],[Amount_Paid_AED]]</f>
        <v>1603</v>
      </c>
      <c r="R1555">
        <f>Table1[[#This Row],[Course_Fee_AED]]-Table1[[#This Row],[pending Revenue]]</f>
        <v>3206</v>
      </c>
    </row>
    <row r="1556" spans="1:18" x14ac:dyDescent="0.25">
      <c r="A1556" t="s">
        <v>1633</v>
      </c>
      <c r="B1556" s="2">
        <v>45547</v>
      </c>
      <c r="C1556" t="s">
        <v>82</v>
      </c>
      <c r="D1556" t="s">
        <v>83</v>
      </c>
      <c r="E1556" t="s">
        <v>26</v>
      </c>
      <c r="F1556" s="5">
        <v>3</v>
      </c>
      <c r="G1556" s="5">
        <v>1</v>
      </c>
      <c r="H1556" s="5">
        <v>12652</v>
      </c>
      <c r="I1556" s="5">
        <v>3</v>
      </c>
      <c r="J1556" s="5">
        <v>12651</v>
      </c>
      <c r="K1556" t="s">
        <v>18</v>
      </c>
      <c r="L1556" t="s">
        <v>19</v>
      </c>
      <c r="M1556" t="s">
        <v>63</v>
      </c>
      <c r="N1556" t="s">
        <v>28</v>
      </c>
      <c r="O1556" t="s">
        <v>71</v>
      </c>
      <c r="P1556" t="s">
        <v>18</v>
      </c>
      <c r="Q1556">
        <f>Table1[[#This Row],[Course_Fee_AED]]-Table1[[#This Row],[Amount_Paid_AED]]</f>
        <v>1</v>
      </c>
      <c r="R1556">
        <f>Table1[[#This Row],[Course_Fee_AED]]-Table1[[#This Row],[pending Revenue]]</f>
        <v>12651</v>
      </c>
    </row>
    <row r="1557" spans="1:18" x14ac:dyDescent="0.25">
      <c r="A1557" t="s">
        <v>1634</v>
      </c>
      <c r="B1557" s="2">
        <v>45396</v>
      </c>
      <c r="C1557" t="s">
        <v>51</v>
      </c>
      <c r="D1557" t="s">
        <v>52</v>
      </c>
      <c r="E1557" t="s">
        <v>17</v>
      </c>
      <c r="F1557" s="5">
        <v>6</v>
      </c>
      <c r="G1557" s="5">
        <v>1</v>
      </c>
      <c r="H1557" s="5">
        <v>4342</v>
      </c>
      <c r="I1557" s="5">
        <v>1</v>
      </c>
      <c r="J1557" s="5">
        <v>1447</v>
      </c>
      <c r="K1557" t="s">
        <v>18</v>
      </c>
      <c r="L1557" t="s">
        <v>57</v>
      </c>
      <c r="M1557" t="s">
        <v>63</v>
      </c>
      <c r="N1557" t="s">
        <v>95</v>
      </c>
      <c r="O1557" t="s">
        <v>87</v>
      </c>
      <c r="P1557" t="s">
        <v>18</v>
      </c>
      <c r="Q1557">
        <f>Table1[[#This Row],[Course_Fee_AED]]-Table1[[#This Row],[Amount_Paid_AED]]</f>
        <v>2895</v>
      </c>
      <c r="R1557">
        <f>Table1[[#This Row],[Course_Fee_AED]]-Table1[[#This Row],[pending Revenue]]</f>
        <v>1447</v>
      </c>
    </row>
    <row r="1558" spans="1:18" x14ac:dyDescent="0.25">
      <c r="A1558" t="s">
        <v>1635</v>
      </c>
      <c r="B1558" s="2">
        <v>45629</v>
      </c>
      <c r="C1558" t="s">
        <v>51</v>
      </c>
      <c r="D1558" t="s">
        <v>52</v>
      </c>
      <c r="E1558" t="s">
        <v>17</v>
      </c>
      <c r="F1558" s="5">
        <v>6</v>
      </c>
      <c r="G1558" s="5">
        <v>1</v>
      </c>
      <c r="H1558" s="5">
        <v>4758</v>
      </c>
      <c r="I1558" s="5">
        <v>3</v>
      </c>
      <c r="J1558" s="5">
        <v>4758</v>
      </c>
      <c r="K1558" t="s">
        <v>33</v>
      </c>
      <c r="L1558" t="s">
        <v>19</v>
      </c>
      <c r="M1558" t="s">
        <v>47</v>
      </c>
      <c r="N1558" t="s">
        <v>154</v>
      </c>
      <c r="O1558" t="s">
        <v>68</v>
      </c>
      <c r="P1558" t="s">
        <v>18</v>
      </c>
      <c r="Q1558">
        <f>Table1[[#This Row],[Course_Fee_AED]]-Table1[[#This Row],[Amount_Paid_AED]]</f>
        <v>0</v>
      </c>
      <c r="R1558">
        <f>Table1[[#This Row],[Course_Fee_AED]]-Table1[[#This Row],[pending Revenue]]</f>
        <v>4758</v>
      </c>
    </row>
    <row r="1559" spans="1:18" x14ac:dyDescent="0.25">
      <c r="A1559" t="s">
        <v>1636</v>
      </c>
      <c r="B1559" s="2">
        <v>45543</v>
      </c>
      <c r="C1559" t="s">
        <v>82</v>
      </c>
      <c r="D1559" t="s">
        <v>83</v>
      </c>
      <c r="E1559" t="s">
        <v>26</v>
      </c>
      <c r="F1559" s="5">
        <v>3</v>
      </c>
      <c r="G1559" s="5">
        <v>1</v>
      </c>
      <c r="H1559" s="5">
        <v>8274</v>
      </c>
      <c r="I1559" s="5">
        <v>3</v>
      </c>
      <c r="J1559" s="5">
        <v>8274</v>
      </c>
      <c r="K1559" t="s">
        <v>33</v>
      </c>
      <c r="L1559" t="s">
        <v>57</v>
      </c>
      <c r="M1559" t="s">
        <v>27</v>
      </c>
      <c r="N1559" t="s">
        <v>21</v>
      </c>
      <c r="O1559" t="s">
        <v>49</v>
      </c>
      <c r="P1559" t="s">
        <v>18</v>
      </c>
      <c r="Q1559">
        <f>Table1[[#This Row],[Course_Fee_AED]]-Table1[[#This Row],[Amount_Paid_AED]]</f>
        <v>0</v>
      </c>
      <c r="R1559">
        <f>Table1[[#This Row],[Course_Fee_AED]]-Table1[[#This Row],[pending Revenue]]</f>
        <v>8274</v>
      </c>
    </row>
    <row r="1560" spans="1:18" x14ac:dyDescent="0.25">
      <c r="A1560" t="s">
        <v>1637</v>
      </c>
      <c r="B1560" s="2">
        <v>45351</v>
      </c>
      <c r="C1560" t="s">
        <v>66</v>
      </c>
      <c r="D1560" t="s">
        <v>56</v>
      </c>
      <c r="E1560" t="s">
        <v>26</v>
      </c>
      <c r="F1560" s="5">
        <v>3</v>
      </c>
      <c r="G1560" s="5">
        <v>1</v>
      </c>
      <c r="H1560" s="5">
        <v>11379</v>
      </c>
      <c r="I1560" s="5">
        <v>2</v>
      </c>
      <c r="J1560" s="5">
        <v>7586</v>
      </c>
      <c r="K1560" t="s">
        <v>18</v>
      </c>
      <c r="L1560" t="s">
        <v>40</v>
      </c>
      <c r="M1560" t="s">
        <v>63</v>
      </c>
      <c r="N1560" t="s">
        <v>48</v>
      </c>
      <c r="O1560" t="s">
        <v>29</v>
      </c>
      <c r="P1560" t="s">
        <v>18</v>
      </c>
      <c r="Q1560">
        <f>Table1[[#This Row],[Course_Fee_AED]]-Table1[[#This Row],[Amount_Paid_AED]]</f>
        <v>3793</v>
      </c>
      <c r="R1560">
        <f>Table1[[#This Row],[Course_Fee_AED]]-Table1[[#This Row],[pending Revenue]]</f>
        <v>7586</v>
      </c>
    </row>
    <row r="1561" spans="1:18" x14ac:dyDescent="0.25">
      <c r="A1561" t="s">
        <v>1638</v>
      </c>
      <c r="B1561" s="2">
        <v>45590</v>
      </c>
      <c r="C1561" t="s">
        <v>31</v>
      </c>
      <c r="D1561" t="s">
        <v>32</v>
      </c>
      <c r="E1561" t="s">
        <v>26</v>
      </c>
      <c r="F1561" s="5">
        <v>3</v>
      </c>
      <c r="G1561" s="5">
        <v>1</v>
      </c>
      <c r="H1561" s="5">
        <v>5153</v>
      </c>
      <c r="I1561" s="5">
        <v>3</v>
      </c>
      <c r="J1561" s="5">
        <v>5151</v>
      </c>
      <c r="K1561" t="s">
        <v>18</v>
      </c>
      <c r="L1561" t="s">
        <v>19</v>
      </c>
      <c r="M1561" t="s">
        <v>27</v>
      </c>
      <c r="N1561" t="s">
        <v>154</v>
      </c>
      <c r="O1561" t="s">
        <v>35</v>
      </c>
      <c r="P1561" t="s">
        <v>18</v>
      </c>
      <c r="Q1561">
        <f>Table1[[#This Row],[Course_Fee_AED]]-Table1[[#This Row],[Amount_Paid_AED]]</f>
        <v>2</v>
      </c>
      <c r="R1561">
        <f>Table1[[#This Row],[Course_Fee_AED]]-Table1[[#This Row],[pending Revenue]]</f>
        <v>5151</v>
      </c>
    </row>
    <row r="1562" spans="1:18" x14ac:dyDescent="0.25">
      <c r="A1562" t="s">
        <v>1639</v>
      </c>
      <c r="B1562" s="2">
        <v>45422</v>
      </c>
      <c r="C1562" t="s">
        <v>66</v>
      </c>
      <c r="D1562" t="s">
        <v>56</v>
      </c>
      <c r="E1562" t="s">
        <v>17</v>
      </c>
      <c r="F1562" s="5">
        <v>6</v>
      </c>
      <c r="G1562" s="5">
        <v>1</v>
      </c>
      <c r="H1562" s="5">
        <v>9117</v>
      </c>
      <c r="I1562" s="5">
        <v>1</v>
      </c>
      <c r="J1562" s="5">
        <v>3039</v>
      </c>
      <c r="K1562" t="s">
        <v>18</v>
      </c>
      <c r="L1562" t="s">
        <v>40</v>
      </c>
      <c r="M1562" t="s">
        <v>20</v>
      </c>
      <c r="N1562" t="s">
        <v>86</v>
      </c>
      <c r="O1562" t="s">
        <v>64</v>
      </c>
      <c r="P1562" t="s">
        <v>18</v>
      </c>
      <c r="Q1562">
        <f>Table1[[#This Row],[Course_Fee_AED]]-Table1[[#This Row],[Amount_Paid_AED]]</f>
        <v>6078</v>
      </c>
      <c r="R1562">
        <f>Table1[[#This Row],[Course_Fee_AED]]-Table1[[#This Row],[pending Revenue]]</f>
        <v>3039</v>
      </c>
    </row>
    <row r="1563" spans="1:18" x14ac:dyDescent="0.25">
      <c r="A1563" t="s">
        <v>1640</v>
      </c>
      <c r="B1563" s="2">
        <v>45371</v>
      </c>
      <c r="C1563" t="s">
        <v>92</v>
      </c>
      <c r="D1563" t="s">
        <v>93</v>
      </c>
      <c r="E1563" t="s">
        <v>17</v>
      </c>
      <c r="F1563" s="5">
        <v>6</v>
      </c>
      <c r="G1563" s="5">
        <v>1</v>
      </c>
      <c r="H1563" s="5">
        <v>7594</v>
      </c>
      <c r="I1563" s="5">
        <v>1</v>
      </c>
      <c r="J1563" s="5">
        <v>2531</v>
      </c>
      <c r="K1563" t="s">
        <v>18</v>
      </c>
      <c r="L1563" t="s">
        <v>19</v>
      </c>
      <c r="M1563" t="s">
        <v>20</v>
      </c>
      <c r="N1563" t="s">
        <v>28</v>
      </c>
      <c r="O1563" t="s">
        <v>49</v>
      </c>
      <c r="P1563" t="s">
        <v>18</v>
      </c>
      <c r="Q1563">
        <f>Table1[[#This Row],[Course_Fee_AED]]-Table1[[#This Row],[Amount_Paid_AED]]</f>
        <v>5063</v>
      </c>
      <c r="R1563">
        <f>Table1[[#This Row],[Course_Fee_AED]]-Table1[[#This Row],[pending Revenue]]</f>
        <v>2531</v>
      </c>
    </row>
    <row r="1564" spans="1:18" x14ac:dyDescent="0.25">
      <c r="A1564" t="s">
        <v>1641</v>
      </c>
      <c r="B1564" s="2">
        <v>45657</v>
      </c>
      <c r="C1564" t="s">
        <v>45</v>
      </c>
      <c r="D1564" t="s">
        <v>46</v>
      </c>
      <c r="E1564" t="s">
        <v>26</v>
      </c>
      <c r="F1564" s="5">
        <v>3</v>
      </c>
      <c r="G1564" s="5">
        <v>1</v>
      </c>
      <c r="H1564" s="5">
        <v>5717</v>
      </c>
      <c r="I1564" s="5">
        <v>2</v>
      </c>
      <c r="J1564" s="5">
        <v>3810</v>
      </c>
      <c r="K1564" t="s">
        <v>18</v>
      </c>
      <c r="L1564" t="s">
        <v>40</v>
      </c>
      <c r="M1564" t="s">
        <v>27</v>
      </c>
      <c r="N1564" t="s">
        <v>28</v>
      </c>
      <c r="O1564" t="s">
        <v>68</v>
      </c>
      <c r="P1564" t="s">
        <v>36</v>
      </c>
      <c r="Q1564">
        <f>Table1[[#This Row],[Course_Fee_AED]]-Table1[[#This Row],[Amount_Paid_AED]]</f>
        <v>1907</v>
      </c>
      <c r="R1564">
        <f>Table1[[#This Row],[Course_Fee_AED]]-Table1[[#This Row],[pending Revenue]]</f>
        <v>3810</v>
      </c>
    </row>
    <row r="1565" spans="1:18" x14ac:dyDescent="0.25">
      <c r="A1565" t="s">
        <v>1642</v>
      </c>
      <c r="B1565" s="2">
        <v>45647</v>
      </c>
      <c r="C1565" t="s">
        <v>75</v>
      </c>
      <c r="D1565" t="s">
        <v>76</v>
      </c>
      <c r="E1565" t="s">
        <v>26</v>
      </c>
      <c r="F1565" s="5">
        <v>3</v>
      </c>
      <c r="G1565" s="5">
        <v>1</v>
      </c>
      <c r="H1565" s="5">
        <v>13793</v>
      </c>
      <c r="I1565" s="5">
        <v>3</v>
      </c>
      <c r="J1565" s="5">
        <v>13791</v>
      </c>
      <c r="K1565" t="s">
        <v>18</v>
      </c>
      <c r="L1565" t="s">
        <v>40</v>
      </c>
      <c r="M1565" t="s">
        <v>60</v>
      </c>
      <c r="N1565" t="s">
        <v>42</v>
      </c>
      <c r="O1565" t="s">
        <v>68</v>
      </c>
      <c r="P1565" t="s">
        <v>18</v>
      </c>
      <c r="Q1565">
        <f>Table1[[#This Row],[Course_Fee_AED]]-Table1[[#This Row],[Amount_Paid_AED]]</f>
        <v>2</v>
      </c>
      <c r="R1565">
        <f>Table1[[#This Row],[Course_Fee_AED]]-Table1[[#This Row],[pending Revenue]]</f>
        <v>13791</v>
      </c>
    </row>
    <row r="1566" spans="1:18" x14ac:dyDescent="0.25">
      <c r="A1566" t="s">
        <v>1643</v>
      </c>
      <c r="B1566" s="2">
        <v>45295</v>
      </c>
      <c r="C1566" t="s">
        <v>55</v>
      </c>
      <c r="D1566" t="s">
        <v>56</v>
      </c>
      <c r="E1566" t="s">
        <v>26</v>
      </c>
      <c r="F1566" s="5">
        <v>3</v>
      </c>
      <c r="G1566" s="5">
        <v>1</v>
      </c>
      <c r="H1566" s="5">
        <v>11381</v>
      </c>
      <c r="I1566" s="5">
        <v>1</v>
      </c>
      <c r="J1566" s="5">
        <v>3793</v>
      </c>
      <c r="K1566" t="s">
        <v>18</v>
      </c>
      <c r="L1566" t="s">
        <v>57</v>
      </c>
      <c r="M1566" t="s">
        <v>47</v>
      </c>
      <c r="N1566" t="s">
        <v>116</v>
      </c>
      <c r="O1566" t="s">
        <v>64</v>
      </c>
      <c r="P1566" t="s">
        <v>36</v>
      </c>
      <c r="Q1566">
        <f>Table1[[#This Row],[Course_Fee_AED]]-Table1[[#This Row],[Amount_Paid_AED]]</f>
        <v>7588</v>
      </c>
      <c r="R1566">
        <f>Table1[[#This Row],[Course_Fee_AED]]-Table1[[#This Row],[pending Revenue]]</f>
        <v>3793</v>
      </c>
    </row>
    <row r="1567" spans="1:18" x14ac:dyDescent="0.25">
      <c r="A1567" t="s">
        <v>1644</v>
      </c>
      <c r="B1567" s="2">
        <v>45629</v>
      </c>
      <c r="C1567" t="s">
        <v>75</v>
      </c>
      <c r="D1567" t="s">
        <v>76</v>
      </c>
      <c r="E1567" t="s">
        <v>26</v>
      </c>
      <c r="F1567" s="5">
        <v>3</v>
      </c>
      <c r="G1567" s="5">
        <v>1</v>
      </c>
      <c r="H1567" s="5">
        <v>10652</v>
      </c>
      <c r="I1567" s="5">
        <v>3</v>
      </c>
      <c r="J1567" s="5">
        <v>10650</v>
      </c>
      <c r="K1567" t="s">
        <v>18</v>
      </c>
      <c r="L1567" t="s">
        <v>57</v>
      </c>
      <c r="M1567" t="s">
        <v>27</v>
      </c>
      <c r="N1567" t="s">
        <v>34</v>
      </c>
      <c r="O1567" t="s">
        <v>87</v>
      </c>
      <c r="P1567" t="s">
        <v>18</v>
      </c>
      <c r="Q1567">
        <f>Table1[[#This Row],[Course_Fee_AED]]-Table1[[#This Row],[Amount_Paid_AED]]</f>
        <v>2</v>
      </c>
      <c r="R1567">
        <f>Table1[[#This Row],[Course_Fee_AED]]-Table1[[#This Row],[pending Revenue]]</f>
        <v>10650</v>
      </c>
    </row>
    <row r="1568" spans="1:18" x14ac:dyDescent="0.25">
      <c r="A1568" t="s">
        <v>1645</v>
      </c>
      <c r="B1568" s="2">
        <v>45371</v>
      </c>
      <c r="C1568" t="s">
        <v>100</v>
      </c>
      <c r="D1568" t="s">
        <v>101</v>
      </c>
      <c r="E1568" t="s">
        <v>17</v>
      </c>
      <c r="F1568" s="5">
        <v>6</v>
      </c>
      <c r="G1568" s="5">
        <v>1</v>
      </c>
      <c r="H1568" s="5">
        <v>5532</v>
      </c>
      <c r="I1568" s="5">
        <v>1</v>
      </c>
      <c r="J1568" s="5">
        <v>1844</v>
      </c>
      <c r="K1568" t="s">
        <v>18</v>
      </c>
      <c r="L1568" t="s">
        <v>19</v>
      </c>
      <c r="M1568" t="s">
        <v>20</v>
      </c>
      <c r="N1568" t="s">
        <v>70</v>
      </c>
      <c r="O1568" t="s">
        <v>49</v>
      </c>
      <c r="P1568" t="s">
        <v>36</v>
      </c>
      <c r="Q1568">
        <f>Table1[[#This Row],[Course_Fee_AED]]-Table1[[#This Row],[Amount_Paid_AED]]</f>
        <v>3688</v>
      </c>
      <c r="R1568">
        <f>Table1[[#This Row],[Course_Fee_AED]]-Table1[[#This Row],[pending Revenue]]</f>
        <v>1844</v>
      </c>
    </row>
    <row r="1569" spans="1:18" x14ac:dyDescent="0.25">
      <c r="A1569" t="s">
        <v>1646</v>
      </c>
      <c r="B1569" s="2">
        <v>45408</v>
      </c>
      <c r="C1569" t="s">
        <v>38</v>
      </c>
      <c r="D1569" t="s">
        <v>39</v>
      </c>
      <c r="E1569" t="s">
        <v>17</v>
      </c>
      <c r="F1569" s="5">
        <v>6</v>
      </c>
      <c r="G1569" s="5">
        <v>1</v>
      </c>
      <c r="H1569" s="5">
        <v>7494</v>
      </c>
      <c r="I1569" s="5">
        <v>2</v>
      </c>
      <c r="J1569" s="5">
        <v>4996</v>
      </c>
      <c r="K1569" t="s">
        <v>18</v>
      </c>
      <c r="L1569" t="s">
        <v>19</v>
      </c>
      <c r="M1569" t="s">
        <v>41</v>
      </c>
      <c r="N1569" t="s">
        <v>61</v>
      </c>
      <c r="O1569" t="s">
        <v>58</v>
      </c>
      <c r="P1569" t="s">
        <v>18</v>
      </c>
      <c r="Q1569">
        <f>Table1[[#This Row],[Course_Fee_AED]]-Table1[[#This Row],[Amount_Paid_AED]]</f>
        <v>2498</v>
      </c>
      <c r="R1569">
        <f>Table1[[#This Row],[Course_Fee_AED]]-Table1[[#This Row],[pending Revenue]]</f>
        <v>4996</v>
      </c>
    </row>
    <row r="1570" spans="1:18" x14ac:dyDescent="0.25">
      <c r="A1570" t="s">
        <v>1647</v>
      </c>
      <c r="B1570" s="2">
        <v>45570</v>
      </c>
      <c r="C1570" t="s">
        <v>24</v>
      </c>
      <c r="D1570" t="s">
        <v>25</v>
      </c>
      <c r="E1570" t="s">
        <v>26</v>
      </c>
      <c r="F1570" s="5">
        <v>3</v>
      </c>
      <c r="G1570" s="5">
        <v>1</v>
      </c>
      <c r="H1570" s="5">
        <v>6357</v>
      </c>
      <c r="I1570" s="5">
        <v>1</v>
      </c>
      <c r="J1570" s="5">
        <v>2119</v>
      </c>
      <c r="K1570" t="s">
        <v>18</v>
      </c>
      <c r="L1570" t="s">
        <v>57</v>
      </c>
      <c r="M1570" t="s">
        <v>47</v>
      </c>
      <c r="N1570" t="s">
        <v>116</v>
      </c>
      <c r="O1570" t="s">
        <v>29</v>
      </c>
      <c r="P1570" t="s">
        <v>18</v>
      </c>
      <c r="Q1570">
        <f>Table1[[#This Row],[Course_Fee_AED]]-Table1[[#This Row],[Amount_Paid_AED]]</f>
        <v>4238</v>
      </c>
      <c r="R1570">
        <f>Table1[[#This Row],[Course_Fee_AED]]-Table1[[#This Row],[pending Revenue]]</f>
        <v>2119</v>
      </c>
    </row>
    <row r="1571" spans="1:18" x14ac:dyDescent="0.25">
      <c r="A1571" t="s">
        <v>1648</v>
      </c>
      <c r="B1571" s="2">
        <v>45464</v>
      </c>
      <c r="C1571" t="s">
        <v>106</v>
      </c>
      <c r="D1571" t="s">
        <v>107</v>
      </c>
      <c r="E1571" t="s">
        <v>17</v>
      </c>
      <c r="F1571" s="5">
        <v>6</v>
      </c>
      <c r="G1571" s="5">
        <v>1</v>
      </c>
      <c r="H1571" s="5">
        <v>6958</v>
      </c>
      <c r="I1571" s="5">
        <v>1</v>
      </c>
      <c r="J1571" s="5">
        <v>2319</v>
      </c>
      <c r="K1571" t="s">
        <v>18</v>
      </c>
      <c r="L1571" t="s">
        <v>40</v>
      </c>
      <c r="M1571" t="s">
        <v>27</v>
      </c>
      <c r="N1571" t="s">
        <v>28</v>
      </c>
      <c r="O1571" t="s">
        <v>35</v>
      </c>
      <c r="P1571" t="s">
        <v>36</v>
      </c>
      <c r="Q1571">
        <f>Table1[[#This Row],[Course_Fee_AED]]-Table1[[#This Row],[Amount_Paid_AED]]</f>
        <v>4639</v>
      </c>
      <c r="R1571">
        <f>Table1[[#This Row],[Course_Fee_AED]]-Table1[[#This Row],[pending Revenue]]</f>
        <v>2319</v>
      </c>
    </row>
    <row r="1572" spans="1:18" x14ac:dyDescent="0.25">
      <c r="A1572" t="s">
        <v>1649</v>
      </c>
      <c r="B1572" s="2">
        <v>45415</v>
      </c>
      <c r="C1572" t="s">
        <v>15</v>
      </c>
      <c r="D1572" t="s">
        <v>16</v>
      </c>
      <c r="E1572" t="s">
        <v>17</v>
      </c>
      <c r="F1572" s="5">
        <v>6</v>
      </c>
      <c r="G1572" s="5">
        <v>1</v>
      </c>
      <c r="H1572" s="5">
        <v>5380</v>
      </c>
      <c r="I1572" s="5">
        <v>2</v>
      </c>
      <c r="J1572" s="5">
        <v>3586</v>
      </c>
      <c r="K1572" t="s">
        <v>18</v>
      </c>
      <c r="L1572" t="s">
        <v>19</v>
      </c>
      <c r="M1572" t="s">
        <v>41</v>
      </c>
      <c r="N1572" t="s">
        <v>28</v>
      </c>
      <c r="O1572" t="s">
        <v>43</v>
      </c>
      <c r="P1572" t="s">
        <v>36</v>
      </c>
      <c r="Q1572">
        <f>Table1[[#This Row],[Course_Fee_AED]]-Table1[[#This Row],[Amount_Paid_AED]]</f>
        <v>1794</v>
      </c>
      <c r="R1572">
        <f>Table1[[#This Row],[Course_Fee_AED]]-Table1[[#This Row],[pending Revenue]]</f>
        <v>3586</v>
      </c>
    </row>
    <row r="1573" spans="1:18" x14ac:dyDescent="0.25">
      <c r="A1573" t="s">
        <v>1650</v>
      </c>
      <c r="B1573" s="2">
        <v>45538</v>
      </c>
      <c r="C1573" t="s">
        <v>66</v>
      </c>
      <c r="D1573" t="s">
        <v>56</v>
      </c>
      <c r="E1573" t="s">
        <v>17</v>
      </c>
      <c r="F1573" s="5">
        <v>6</v>
      </c>
      <c r="G1573" s="5">
        <v>1</v>
      </c>
      <c r="H1573" s="5">
        <v>11890</v>
      </c>
      <c r="I1573" s="5">
        <v>1</v>
      </c>
      <c r="J1573" s="5">
        <v>3963</v>
      </c>
      <c r="K1573" t="s">
        <v>18</v>
      </c>
      <c r="L1573" t="s">
        <v>57</v>
      </c>
      <c r="M1573" t="s">
        <v>41</v>
      </c>
      <c r="N1573" t="s">
        <v>116</v>
      </c>
      <c r="O1573" t="s">
        <v>49</v>
      </c>
      <c r="P1573" t="s">
        <v>18</v>
      </c>
      <c r="Q1573">
        <f>Table1[[#This Row],[Course_Fee_AED]]-Table1[[#This Row],[Amount_Paid_AED]]</f>
        <v>7927</v>
      </c>
      <c r="R1573">
        <f>Table1[[#This Row],[Course_Fee_AED]]-Table1[[#This Row],[pending Revenue]]</f>
        <v>3963</v>
      </c>
    </row>
    <row r="1574" spans="1:18" x14ac:dyDescent="0.25">
      <c r="A1574" t="s">
        <v>1651</v>
      </c>
      <c r="B1574" s="2">
        <v>45425</v>
      </c>
      <c r="C1574" t="s">
        <v>75</v>
      </c>
      <c r="D1574" t="s">
        <v>76</v>
      </c>
      <c r="E1574" t="s">
        <v>26</v>
      </c>
      <c r="F1574" s="5">
        <v>3</v>
      </c>
      <c r="G1574" s="5">
        <v>1</v>
      </c>
      <c r="H1574" s="5">
        <v>8081</v>
      </c>
      <c r="I1574" s="5">
        <v>2</v>
      </c>
      <c r="J1574" s="5">
        <v>5386</v>
      </c>
      <c r="K1574" t="s">
        <v>18</v>
      </c>
      <c r="L1574" t="s">
        <v>19</v>
      </c>
      <c r="M1574" t="s">
        <v>27</v>
      </c>
      <c r="N1574" t="s">
        <v>53</v>
      </c>
      <c r="O1574" t="s">
        <v>58</v>
      </c>
      <c r="P1574" t="s">
        <v>18</v>
      </c>
      <c r="Q1574">
        <f>Table1[[#This Row],[Course_Fee_AED]]-Table1[[#This Row],[Amount_Paid_AED]]</f>
        <v>2695</v>
      </c>
      <c r="R1574">
        <f>Table1[[#This Row],[Course_Fee_AED]]-Table1[[#This Row],[pending Revenue]]</f>
        <v>5386</v>
      </c>
    </row>
    <row r="1575" spans="1:18" x14ac:dyDescent="0.25">
      <c r="A1575" t="s">
        <v>1652</v>
      </c>
      <c r="B1575" s="2">
        <v>45381</v>
      </c>
      <c r="C1575" t="s">
        <v>66</v>
      </c>
      <c r="D1575" t="s">
        <v>56</v>
      </c>
      <c r="E1575" t="s">
        <v>26</v>
      </c>
      <c r="F1575" s="5">
        <v>3</v>
      </c>
      <c r="G1575" s="5">
        <v>1</v>
      </c>
      <c r="H1575" s="5">
        <v>8012</v>
      </c>
      <c r="I1575" s="5">
        <v>2</v>
      </c>
      <c r="J1575" s="5">
        <v>5340</v>
      </c>
      <c r="K1575" t="s">
        <v>18</v>
      </c>
      <c r="L1575" t="s">
        <v>57</v>
      </c>
      <c r="M1575" t="s">
        <v>27</v>
      </c>
      <c r="N1575" t="s">
        <v>95</v>
      </c>
      <c r="O1575" t="s">
        <v>43</v>
      </c>
      <c r="P1575" t="s">
        <v>36</v>
      </c>
      <c r="Q1575">
        <f>Table1[[#This Row],[Course_Fee_AED]]-Table1[[#This Row],[Amount_Paid_AED]]</f>
        <v>2672</v>
      </c>
      <c r="R1575">
        <f>Table1[[#This Row],[Course_Fee_AED]]-Table1[[#This Row],[pending Revenue]]</f>
        <v>5340</v>
      </c>
    </row>
    <row r="1576" spans="1:18" x14ac:dyDescent="0.25">
      <c r="A1576" t="s">
        <v>1653</v>
      </c>
      <c r="B1576" s="2">
        <v>45299</v>
      </c>
      <c r="C1576" t="s">
        <v>92</v>
      </c>
      <c r="D1576" t="s">
        <v>93</v>
      </c>
      <c r="E1576" t="s">
        <v>17</v>
      </c>
      <c r="F1576" s="5">
        <v>6</v>
      </c>
      <c r="G1576" s="5">
        <v>1</v>
      </c>
      <c r="H1576" s="5">
        <v>5005</v>
      </c>
      <c r="I1576" s="5">
        <v>2</v>
      </c>
      <c r="J1576" s="5">
        <v>3336</v>
      </c>
      <c r="K1576" t="s">
        <v>18</v>
      </c>
      <c r="L1576" t="s">
        <v>40</v>
      </c>
      <c r="M1576" t="s">
        <v>63</v>
      </c>
      <c r="N1576" t="s">
        <v>70</v>
      </c>
      <c r="O1576" t="s">
        <v>87</v>
      </c>
      <c r="P1576" t="s">
        <v>36</v>
      </c>
      <c r="Q1576">
        <f>Table1[[#This Row],[Course_Fee_AED]]-Table1[[#This Row],[Amount_Paid_AED]]</f>
        <v>1669</v>
      </c>
      <c r="R1576">
        <f>Table1[[#This Row],[Course_Fee_AED]]-Table1[[#This Row],[pending Revenue]]</f>
        <v>3336</v>
      </c>
    </row>
    <row r="1577" spans="1:18" x14ac:dyDescent="0.25">
      <c r="A1577" t="s">
        <v>1654</v>
      </c>
      <c r="B1577" s="2">
        <v>45590</v>
      </c>
      <c r="C1577" t="s">
        <v>100</v>
      </c>
      <c r="D1577" t="s">
        <v>101</v>
      </c>
      <c r="E1577" t="s">
        <v>17</v>
      </c>
      <c r="F1577" s="5">
        <v>6</v>
      </c>
      <c r="G1577" s="5">
        <v>1</v>
      </c>
      <c r="H1577" s="5">
        <v>4674</v>
      </c>
      <c r="I1577" s="5">
        <v>1</v>
      </c>
      <c r="J1577" s="5">
        <v>1558</v>
      </c>
      <c r="K1577" t="s">
        <v>18</v>
      </c>
      <c r="L1577" t="s">
        <v>40</v>
      </c>
      <c r="M1577" t="s">
        <v>27</v>
      </c>
      <c r="N1577" t="s">
        <v>116</v>
      </c>
      <c r="O1577" t="s">
        <v>29</v>
      </c>
      <c r="P1577" t="s">
        <v>36</v>
      </c>
      <c r="Q1577">
        <f>Table1[[#This Row],[Course_Fee_AED]]-Table1[[#This Row],[Amount_Paid_AED]]</f>
        <v>3116</v>
      </c>
      <c r="R1577">
        <f>Table1[[#This Row],[Course_Fee_AED]]-Table1[[#This Row],[pending Revenue]]</f>
        <v>1558</v>
      </c>
    </row>
    <row r="1578" spans="1:18" x14ac:dyDescent="0.25">
      <c r="A1578" t="s">
        <v>1655</v>
      </c>
      <c r="B1578" s="2">
        <v>45603</v>
      </c>
      <c r="C1578" t="s">
        <v>106</v>
      </c>
      <c r="D1578" t="s">
        <v>107</v>
      </c>
      <c r="E1578" t="s">
        <v>26</v>
      </c>
      <c r="F1578" s="5">
        <v>3</v>
      </c>
      <c r="G1578" s="5">
        <v>1</v>
      </c>
      <c r="H1578" s="5">
        <v>5333</v>
      </c>
      <c r="I1578" s="5">
        <v>1</v>
      </c>
      <c r="J1578" s="5">
        <v>1777</v>
      </c>
      <c r="K1578" t="s">
        <v>18</v>
      </c>
      <c r="L1578" t="s">
        <v>40</v>
      </c>
      <c r="M1578" t="s">
        <v>20</v>
      </c>
      <c r="N1578" t="s">
        <v>73</v>
      </c>
      <c r="O1578" t="s">
        <v>87</v>
      </c>
      <c r="P1578" t="s">
        <v>18</v>
      </c>
      <c r="Q1578">
        <f>Table1[[#This Row],[Course_Fee_AED]]-Table1[[#This Row],[Amount_Paid_AED]]</f>
        <v>3556</v>
      </c>
      <c r="R1578">
        <f>Table1[[#This Row],[Course_Fee_AED]]-Table1[[#This Row],[pending Revenue]]</f>
        <v>1777</v>
      </c>
    </row>
    <row r="1579" spans="1:18" x14ac:dyDescent="0.25">
      <c r="A1579" t="s">
        <v>1656</v>
      </c>
      <c r="B1579" s="2">
        <v>45641</v>
      </c>
      <c r="C1579" t="s">
        <v>51</v>
      </c>
      <c r="D1579" t="s">
        <v>52</v>
      </c>
      <c r="E1579" t="s">
        <v>17</v>
      </c>
      <c r="F1579" s="5">
        <v>6</v>
      </c>
      <c r="G1579" s="5">
        <v>1</v>
      </c>
      <c r="H1579" s="5">
        <v>4360</v>
      </c>
      <c r="I1579" s="5">
        <v>1</v>
      </c>
      <c r="J1579" s="5">
        <v>1453</v>
      </c>
      <c r="K1579" t="s">
        <v>18</v>
      </c>
      <c r="L1579" t="s">
        <v>40</v>
      </c>
      <c r="M1579" t="s">
        <v>27</v>
      </c>
      <c r="N1579" t="s">
        <v>86</v>
      </c>
      <c r="O1579" t="s">
        <v>64</v>
      </c>
      <c r="P1579" t="s">
        <v>36</v>
      </c>
      <c r="Q1579">
        <f>Table1[[#This Row],[Course_Fee_AED]]-Table1[[#This Row],[Amount_Paid_AED]]</f>
        <v>2907</v>
      </c>
      <c r="R1579">
        <f>Table1[[#This Row],[Course_Fee_AED]]-Table1[[#This Row],[pending Revenue]]</f>
        <v>1453</v>
      </c>
    </row>
    <row r="1580" spans="1:18" x14ac:dyDescent="0.25">
      <c r="A1580" t="s">
        <v>1657</v>
      </c>
      <c r="B1580" s="2">
        <v>45549</v>
      </c>
      <c r="C1580" t="s">
        <v>38</v>
      </c>
      <c r="D1580" t="s">
        <v>39</v>
      </c>
      <c r="E1580" t="s">
        <v>17</v>
      </c>
      <c r="F1580" s="5">
        <v>6</v>
      </c>
      <c r="G1580" s="5">
        <v>1</v>
      </c>
      <c r="H1580" s="5">
        <v>5253</v>
      </c>
      <c r="I1580" s="5">
        <v>1</v>
      </c>
      <c r="J1580" s="5">
        <v>1751</v>
      </c>
      <c r="K1580" t="s">
        <v>18</v>
      </c>
      <c r="L1580" t="s">
        <v>57</v>
      </c>
      <c r="M1580" t="s">
        <v>60</v>
      </c>
      <c r="N1580" t="s">
        <v>53</v>
      </c>
      <c r="O1580" t="s">
        <v>68</v>
      </c>
      <c r="P1580" t="s">
        <v>18</v>
      </c>
      <c r="Q1580">
        <f>Table1[[#This Row],[Course_Fee_AED]]-Table1[[#This Row],[Amount_Paid_AED]]</f>
        <v>3502</v>
      </c>
      <c r="R1580">
        <f>Table1[[#This Row],[Course_Fee_AED]]-Table1[[#This Row],[pending Revenue]]</f>
        <v>1751</v>
      </c>
    </row>
    <row r="1581" spans="1:18" x14ac:dyDescent="0.25">
      <c r="A1581" t="s">
        <v>1658</v>
      </c>
      <c r="B1581" s="2">
        <v>45591</v>
      </c>
      <c r="C1581" t="s">
        <v>55</v>
      </c>
      <c r="D1581" t="s">
        <v>56</v>
      </c>
      <c r="E1581" t="s">
        <v>26</v>
      </c>
      <c r="F1581" s="5">
        <v>3</v>
      </c>
      <c r="G1581" s="5">
        <v>1</v>
      </c>
      <c r="H1581" s="5">
        <v>7740</v>
      </c>
      <c r="I1581" s="5">
        <v>3</v>
      </c>
      <c r="J1581" s="5">
        <v>7740</v>
      </c>
      <c r="K1581" t="s">
        <v>33</v>
      </c>
      <c r="L1581" t="s">
        <v>19</v>
      </c>
      <c r="M1581" t="s">
        <v>47</v>
      </c>
      <c r="N1581" t="s">
        <v>53</v>
      </c>
      <c r="O1581" t="s">
        <v>87</v>
      </c>
      <c r="P1581" t="s">
        <v>18</v>
      </c>
      <c r="Q1581">
        <f>Table1[[#This Row],[Course_Fee_AED]]-Table1[[#This Row],[Amount_Paid_AED]]</f>
        <v>0</v>
      </c>
      <c r="R1581">
        <f>Table1[[#This Row],[Course_Fee_AED]]-Table1[[#This Row],[pending Revenue]]</f>
        <v>7740</v>
      </c>
    </row>
    <row r="1582" spans="1:18" x14ac:dyDescent="0.25">
      <c r="A1582" t="s">
        <v>1659</v>
      </c>
      <c r="B1582" s="2">
        <v>45518</v>
      </c>
      <c r="C1582" t="s">
        <v>75</v>
      </c>
      <c r="D1582" t="s">
        <v>76</v>
      </c>
      <c r="E1582" t="s">
        <v>26</v>
      </c>
      <c r="F1582" s="5">
        <v>3</v>
      </c>
      <c r="G1582" s="5">
        <v>1</v>
      </c>
      <c r="H1582" s="5">
        <v>14440</v>
      </c>
      <c r="I1582" s="5">
        <v>3</v>
      </c>
      <c r="J1582" s="5">
        <v>14439</v>
      </c>
      <c r="K1582" t="s">
        <v>18</v>
      </c>
      <c r="L1582" t="s">
        <v>40</v>
      </c>
      <c r="M1582" t="s">
        <v>41</v>
      </c>
      <c r="N1582" t="s">
        <v>28</v>
      </c>
      <c r="O1582" t="s">
        <v>64</v>
      </c>
      <c r="P1582" t="s">
        <v>18</v>
      </c>
      <c r="Q1582">
        <f>Table1[[#This Row],[Course_Fee_AED]]-Table1[[#This Row],[Amount_Paid_AED]]</f>
        <v>1</v>
      </c>
      <c r="R1582">
        <f>Table1[[#This Row],[Course_Fee_AED]]-Table1[[#This Row],[pending Revenue]]</f>
        <v>14439</v>
      </c>
    </row>
    <row r="1583" spans="1:18" x14ac:dyDescent="0.25">
      <c r="A1583" t="s">
        <v>1660</v>
      </c>
      <c r="B1583" s="2">
        <v>45438</v>
      </c>
      <c r="C1583" t="s">
        <v>75</v>
      </c>
      <c r="D1583" t="s">
        <v>76</v>
      </c>
      <c r="E1583" t="s">
        <v>17</v>
      </c>
      <c r="F1583" s="5">
        <v>6</v>
      </c>
      <c r="G1583" s="5">
        <v>1</v>
      </c>
      <c r="H1583" s="5">
        <v>10168</v>
      </c>
      <c r="I1583" s="5">
        <v>1</v>
      </c>
      <c r="J1583" s="5">
        <v>3389</v>
      </c>
      <c r="K1583" t="s">
        <v>18</v>
      </c>
      <c r="L1583" t="s">
        <v>19</v>
      </c>
      <c r="M1583" t="s">
        <v>60</v>
      </c>
      <c r="N1583" t="s">
        <v>34</v>
      </c>
      <c r="O1583" t="s">
        <v>43</v>
      </c>
      <c r="P1583" t="s">
        <v>36</v>
      </c>
      <c r="Q1583">
        <f>Table1[[#This Row],[Course_Fee_AED]]-Table1[[#This Row],[Amount_Paid_AED]]</f>
        <v>6779</v>
      </c>
      <c r="R1583">
        <f>Table1[[#This Row],[Course_Fee_AED]]-Table1[[#This Row],[pending Revenue]]</f>
        <v>3389</v>
      </c>
    </row>
    <row r="1584" spans="1:18" x14ac:dyDescent="0.25">
      <c r="A1584" t="s">
        <v>1661</v>
      </c>
      <c r="B1584" s="2">
        <v>45649</v>
      </c>
      <c r="C1584" t="s">
        <v>45</v>
      </c>
      <c r="D1584" t="s">
        <v>46</v>
      </c>
      <c r="E1584" t="s">
        <v>17</v>
      </c>
      <c r="F1584" s="5">
        <v>6</v>
      </c>
      <c r="G1584" s="5">
        <v>1</v>
      </c>
      <c r="H1584" s="5">
        <v>4251</v>
      </c>
      <c r="I1584" s="5">
        <v>1</v>
      </c>
      <c r="J1584" s="5">
        <v>1417</v>
      </c>
      <c r="K1584" t="s">
        <v>18</v>
      </c>
      <c r="L1584" t="s">
        <v>57</v>
      </c>
      <c r="M1584" t="s">
        <v>41</v>
      </c>
      <c r="N1584" t="s">
        <v>154</v>
      </c>
      <c r="O1584" t="s">
        <v>87</v>
      </c>
      <c r="P1584" t="s">
        <v>18</v>
      </c>
      <c r="Q1584">
        <f>Table1[[#This Row],[Course_Fee_AED]]-Table1[[#This Row],[Amount_Paid_AED]]</f>
        <v>2834</v>
      </c>
      <c r="R1584">
        <f>Table1[[#This Row],[Course_Fee_AED]]-Table1[[#This Row],[pending Revenue]]</f>
        <v>1417</v>
      </c>
    </row>
    <row r="1585" spans="1:18" x14ac:dyDescent="0.25">
      <c r="A1585" t="s">
        <v>1662</v>
      </c>
      <c r="B1585" s="2">
        <v>45355</v>
      </c>
      <c r="C1585" t="s">
        <v>45</v>
      </c>
      <c r="D1585" t="s">
        <v>46</v>
      </c>
      <c r="E1585" t="s">
        <v>17</v>
      </c>
      <c r="F1585" s="5">
        <v>6</v>
      </c>
      <c r="G1585" s="5">
        <v>1</v>
      </c>
      <c r="H1585" s="5">
        <v>5593</v>
      </c>
      <c r="I1585" s="5">
        <v>1</v>
      </c>
      <c r="J1585" s="5">
        <v>1864</v>
      </c>
      <c r="K1585" t="s">
        <v>18</v>
      </c>
      <c r="L1585" t="s">
        <v>40</v>
      </c>
      <c r="M1585" t="s">
        <v>41</v>
      </c>
      <c r="N1585" t="s">
        <v>28</v>
      </c>
      <c r="O1585" t="s">
        <v>68</v>
      </c>
      <c r="P1585" t="s">
        <v>18</v>
      </c>
      <c r="Q1585">
        <f>Table1[[#This Row],[Course_Fee_AED]]-Table1[[#This Row],[Amount_Paid_AED]]</f>
        <v>3729</v>
      </c>
      <c r="R1585">
        <f>Table1[[#This Row],[Course_Fee_AED]]-Table1[[#This Row],[pending Revenue]]</f>
        <v>1864</v>
      </c>
    </row>
    <row r="1586" spans="1:18" x14ac:dyDescent="0.25">
      <c r="A1586" t="s">
        <v>1663</v>
      </c>
      <c r="B1586" s="2">
        <v>45651</v>
      </c>
      <c r="C1586" t="s">
        <v>82</v>
      </c>
      <c r="D1586" t="s">
        <v>83</v>
      </c>
      <c r="E1586" t="s">
        <v>17</v>
      </c>
      <c r="F1586" s="5">
        <v>6</v>
      </c>
      <c r="G1586" s="5">
        <v>1</v>
      </c>
      <c r="H1586" s="5">
        <v>11682</v>
      </c>
      <c r="I1586" s="5">
        <v>1</v>
      </c>
      <c r="J1586" s="5">
        <v>3894</v>
      </c>
      <c r="K1586" t="s">
        <v>18</v>
      </c>
      <c r="L1586" t="s">
        <v>40</v>
      </c>
      <c r="M1586" t="s">
        <v>47</v>
      </c>
      <c r="N1586" t="s">
        <v>86</v>
      </c>
      <c r="O1586" t="s">
        <v>29</v>
      </c>
      <c r="P1586" t="s">
        <v>36</v>
      </c>
      <c r="Q1586">
        <f>Table1[[#This Row],[Course_Fee_AED]]-Table1[[#This Row],[Amount_Paid_AED]]</f>
        <v>7788</v>
      </c>
      <c r="R1586">
        <f>Table1[[#This Row],[Course_Fee_AED]]-Table1[[#This Row],[pending Revenue]]</f>
        <v>3894</v>
      </c>
    </row>
    <row r="1587" spans="1:18" x14ac:dyDescent="0.25">
      <c r="A1587" t="s">
        <v>1664</v>
      </c>
      <c r="B1587" s="2">
        <v>45498</v>
      </c>
      <c r="C1587" t="s">
        <v>38</v>
      </c>
      <c r="D1587" t="s">
        <v>39</v>
      </c>
      <c r="E1587" t="s">
        <v>17</v>
      </c>
      <c r="F1587" s="5">
        <v>6</v>
      </c>
      <c r="G1587" s="5">
        <v>1</v>
      </c>
      <c r="H1587" s="5">
        <v>4854</v>
      </c>
      <c r="I1587" s="5">
        <v>2</v>
      </c>
      <c r="J1587" s="5">
        <v>3236</v>
      </c>
      <c r="K1587" t="s">
        <v>18</v>
      </c>
      <c r="L1587" t="s">
        <v>40</v>
      </c>
      <c r="M1587" t="s">
        <v>60</v>
      </c>
      <c r="N1587" t="s">
        <v>95</v>
      </c>
      <c r="O1587" t="s">
        <v>35</v>
      </c>
      <c r="P1587" t="s">
        <v>36</v>
      </c>
      <c r="Q1587">
        <f>Table1[[#This Row],[Course_Fee_AED]]-Table1[[#This Row],[Amount_Paid_AED]]</f>
        <v>1618</v>
      </c>
      <c r="R1587">
        <f>Table1[[#This Row],[Course_Fee_AED]]-Table1[[#This Row],[pending Revenue]]</f>
        <v>3236</v>
      </c>
    </row>
    <row r="1588" spans="1:18" x14ac:dyDescent="0.25">
      <c r="A1588" t="s">
        <v>1665</v>
      </c>
      <c r="B1588" s="2">
        <v>45519</v>
      </c>
      <c r="C1588" t="s">
        <v>55</v>
      </c>
      <c r="D1588" t="s">
        <v>56</v>
      </c>
      <c r="E1588" t="s">
        <v>26</v>
      </c>
      <c r="F1588" s="5">
        <v>3</v>
      </c>
      <c r="G1588" s="5">
        <v>1</v>
      </c>
      <c r="H1588" s="5">
        <v>10406</v>
      </c>
      <c r="I1588" s="5">
        <v>1</v>
      </c>
      <c r="J1588" s="5">
        <v>3468</v>
      </c>
      <c r="K1588" t="s">
        <v>18</v>
      </c>
      <c r="L1588" t="s">
        <v>19</v>
      </c>
      <c r="M1588" t="s">
        <v>27</v>
      </c>
      <c r="N1588" t="s">
        <v>86</v>
      </c>
      <c r="O1588" t="s">
        <v>64</v>
      </c>
      <c r="P1588" t="s">
        <v>36</v>
      </c>
      <c r="Q1588">
        <f>Table1[[#This Row],[Course_Fee_AED]]-Table1[[#This Row],[Amount_Paid_AED]]</f>
        <v>6938</v>
      </c>
      <c r="R1588">
        <f>Table1[[#This Row],[Course_Fee_AED]]-Table1[[#This Row],[pending Revenue]]</f>
        <v>3468</v>
      </c>
    </row>
    <row r="1589" spans="1:18" x14ac:dyDescent="0.25">
      <c r="A1589" t="s">
        <v>1666</v>
      </c>
      <c r="B1589" s="2">
        <v>45613</v>
      </c>
      <c r="C1589" t="s">
        <v>15</v>
      </c>
      <c r="D1589" t="s">
        <v>16</v>
      </c>
      <c r="E1589" t="s">
        <v>26</v>
      </c>
      <c r="F1589" s="5">
        <v>3</v>
      </c>
      <c r="G1589" s="5">
        <v>1</v>
      </c>
      <c r="H1589" s="5">
        <v>6727</v>
      </c>
      <c r="I1589" s="5">
        <v>2</v>
      </c>
      <c r="J1589" s="5">
        <v>4484</v>
      </c>
      <c r="K1589" t="s">
        <v>18</v>
      </c>
      <c r="L1589" t="s">
        <v>57</v>
      </c>
      <c r="M1589" t="s">
        <v>27</v>
      </c>
      <c r="N1589" t="s">
        <v>79</v>
      </c>
      <c r="O1589" t="s">
        <v>71</v>
      </c>
      <c r="P1589" t="s">
        <v>36</v>
      </c>
      <c r="Q1589">
        <f>Table1[[#This Row],[Course_Fee_AED]]-Table1[[#This Row],[Amount_Paid_AED]]</f>
        <v>2243</v>
      </c>
      <c r="R1589">
        <f>Table1[[#This Row],[Course_Fee_AED]]-Table1[[#This Row],[pending Revenue]]</f>
        <v>4484</v>
      </c>
    </row>
    <row r="1590" spans="1:18" x14ac:dyDescent="0.25">
      <c r="A1590" t="s">
        <v>1667</v>
      </c>
      <c r="B1590" s="2">
        <v>45416</v>
      </c>
      <c r="C1590" t="s">
        <v>55</v>
      </c>
      <c r="D1590" t="s">
        <v>56</v>
      </c>
      <c r="E1590" t="s">
        <v>17</v>
      </c>
      <c r="F1590" s="5">
        <v>6</v>
      </c>
      <c r="G1590" s="5">
        <v>1</v>
      </c>
      <c r="H1590" s="5">
        <v>7082</v>
      </c>
      <c r="I1590" s="5">
        <v>3</v>
      </c>
      <c r="J1590" s="5">
        <v>7080</v>
      </c>
      <c r="K1590" t="s">
        <v>18</v>
      </c>
      <c r="L1590" t="s">
        <v>57</v>
      </c>
      <c r="M1590" t="s">
        <v>63</v>
      </c>
      <c r="N1590" t="s">
        <v>116</v>
      </c>
      <c r="O1590" t="s">
        <v>68</v>
      </c>
      <c r="P1590" t="s">
        <v>36</v>
      </c>
      <c r="Q1590">
        <f>Table1[[#This Row],[Course_Fee_AED]]-Table1[[#This Row],[Amount_Paid_AED]]</f>
        <v>2</v>
      </c>
      <c r="R1590">
        <f>Table1[[#This Row],[Course_Fee_AED]]-Table1[[#This Row],[pending Revenue]]</f>
        <v>7080</v>
      </c>
    </row>
    <row r="1591" spans="1:18" x14ac:dyDescent="0.25">
      <c r="A1591" t="s">
        <v>1668</v>
      </c>
      <c r="B1591" s="2">
        <v>45646</v>
      </c>
      <c r="C1591" t="s">
        <v>66</v>
      </c>
      <c r="D1591" t="s">
        <v>56</v>
      </c>
      <c r="E1591" t="s">
        <v>26</v>
      </c>
      <c r="F1591" s="5">
        <v>3</v>
      </c>
      <c r="G1591" s="5">
        <v>1</v>
      </c>
      <c r="H1591" s="5">
        <v>8505</v>
      </c>
      <c r="I1591" s="5">
        <v>1</v>
      </c>
      <c r="J1591" s="5">
        <v>2835</v>
      </c>
      <c r="K1591" t="s">
        <v>18</v>
      </c>
      <c r="L1591" t="s">
        <v>40</v>
      </c>
      <c r="M1591" t="s">
        <v>60</v>
      </c>
      <c r="N1591" t="s">
        <v>28</v>
      </c>
      <c r="O1591" t="s">
        <v>68</v>
      </c>
      <c r="P1591" t="s">
        <v>18</v>
      </c>
      <c r="Q1591">
        <f>Table1[[#This Row],[Course_Fee_AED]]-Table1[[#This Row],[Amount_Paid_AED]]</f>
        <v>5670</v>
      </c>
      <c r="R1591">
        <f>Table1[[#This Row],[Course_Fee_AED]]-Table1[[#This Row],[pending Revenue]]</f>
        <v>2835</v>
      </c>
    </row>
    <row r="1592" spans="1:18" x14ac:dyDescent="0.25">
      <c r="A1592" t="s">
        <v>1669</v>
      </c>
      <c r="B1592" s="2">
        <v>45650</v>
      </c>
      <c r="C1592" t="s">
        <v>106</v>
      </c>
      <c r="D1592" t="s">
        <v>107</v>
      </c>
      <c r="E1592" t="s">
        <v>26</v>
      </c>
      <c r="F1592" s="5">
        <v>3</v>
      </c>
      <c r="G1592" s="5">
        <v>1</v>
      </c>
      <c r="H1592" s="5">
        <v>6521</v>
      </c>
      <c r="I1592" s="5">
        <v>2</v>
      </c>
      <c r="J1592" s="5">
        <v>4346</v>
      </c>
      <c r="K1592" t="s">
        <v>18</v>
      </c>
      <c r="L1592" t="s">
        <v>57</v>
      </c>
      <c r="M1592" t="s">
        <v>63</v>
      </c>
      <c r="N1592" t="s">
        <v>95</v>
      </c>
      <c r="O1592" t="s">
        <v>64</v>
      </c>
      <c r="P1592" t="s">
        <v>36</v>
      </c>
      <c r="Q1592">
        <f>Table1[[#This Row],[Course_Fee_AED]]-Table1[[#This Row],[Amount_Paid_AED]]</f>
        <v>2175</v>
      </c>
      <c r="R1592">
        <f>Table1[[#This Row],[Course_Fee_AED]]-Table1[[#This Row],[pending Revenue]]</f>
        <v>4346</v>
      </c>
    </row>
    <row r="1593" spans="1:18" x14ac:dyDescent="0.25">
      <c r="A1593" t="s">
        <v>1670</v>
      </c>
      <c r="B1593" s="2">
        <v>45615</v>
      </c>
      <c r="C1593" t="s">
        <v>82</v>
      </c>
      <c r="D1593" t="s">
        <v>83</v>
      </c>
      <c r="E1593" t="s">
        <v>26</v>
      </c>
      <c r="F1593" s="5">
        <v>3</v>
      </c>
      <c r="G1593" s="5">
        <v>1</v>
      </c>
      <c r="H1593" s="5">
        <v>12753</v>
      </c>
      <c r="I1593" s="5">
        <v>2</v>
      </c>
      <c r="J1593" s="5">
        <v>8502</v>
      </c>
      <c r="K1593" t="s">
        <v>18</v>
      </c>
      <c r="L1593" t="s">
        <v>19</v>
      </c>
      <c r="M1593" t="s">
        <v>60</v>
      </c>
      <c r="N1593" t="s">
        <v>70</v>
      </c>
      <c r="O1593" t="s">
        <v>58</v>
      </c>
      <c r="P1593" t="s">
        <v>36</v>
      </c>
      <c r="Q1593">
        <f>Table1[[#This Row],[Course_Fee_AED]]-Table1[[#This Row],[Amount_Paid_AED]]</f>
        <v>4251</v>
      </c>
      <c r="R1593">
        <f>Table1[[#This Row],[Course_Fee_AED]]-Table1[[#This Row],[pending Revenue]]</f>
        <v>8502</v>
      </c>
    </row>
    <row r="1594" spans="1:18" x14ac:dyDescent="0.25">
      <c r="A1594" t="s">
        <v>1671</v>
      </c>
      <c r="B1594" s="2">
        <v>45531</v>
      </c>
      <c r="C1594" t="s">
        <v>82</v>
      </c>
      <c r="D1594" t="s">
        <v>83</v>
      </c>
      <c r="E1594" t="s">
        <v>26</v>
      </c>
      <c r="F1594" s="5">
        <v>3</v>
      </c>
      <c r="G1594" s="5">
        <v>1</v>
      </c>
      <c r="H1594" s="5">
        <v>13902</v>
      </c>
      <c r="I1594" s="5">
        <v>1</v>
      </c>
      <c r="J1594" s="5">
        <v>4634</v>
      </c>
      <c r="K1594" t="s">
        <v>18</v>
      </c>
      <c r="L1594" t="s">
        <v>19</v>
      </c>
      <c r="M1594" t="s">
        <v>20</v>
      </c>
      <c r="N1594" t="s">
        <v>154</v>
      </c>
      <c r="O1594" t="s">
        <v>43</v>
      </c>
      <c r="P1594" t="s">
        <v>36</v>
      </c>
      <c r="Q1594">
        <f>Table1[[#This Row],[Course_Fee_AED]]-Table1[[#This Row],[Amount_Paid_AED]]</f>
        <v>9268</v>
      </c>
      <c r="R1594">
        <f>Table1[[#This Row],[Course_Fee_AED]]-Table1[[#This Row],[pending Revenue]]</f>
        <v>4634</v>
      </c>
    </row>
    <row r="1595" spans="1:18" x14ac:dyDescent="0.25">
      <c r="A1595" t="s">
        <v>1672</v>
      </c>
      <c r="B1595" s="2">
        <v>45525</v>
      </c>
      <c r="C1595" t="s">
        <v>113</v>
      </c>
      <c r="D1595" t="s">
        <v>93</v>
      </c>
      <c r="E1595" t="s">
        <v>17</v>
      </c>
      <c r="F1595" s="5">
        <v>6</v>
      </c>
      <c r="G1595" s="5">
        <v>1</v>
      </c>
      <c r="H1595" s="5">
        <v>4663</v>
      </c>
      <c r="I1595" s="5">
        <v>1</v>
      </c>
      <c r="J1595" s="5">
        <v>1554</v>
      </c>
      <c r="K1595" t="s">
        <v>18</v>
      </c>
      <c r="L1595" t="s">
        <v>19</v>
      </c>
      <c r="M1595" t="s">
        <v>41</v>
      </c>
      <c r="N1595" t="s">
        <v>95</v>
      </c>
      <c r="O1595" t="s">
        <v>43</v>
      </c>
      <c r="P1595" t="s">
        <v>18</v>
      </c>
      <c r="Q1595">
        <f>Table1[[#This Row],[Course_Fee_AED]]-Table1[[#This Row],[Amount_Paid_AED]]</f>
        <v>3109</v>
      </c>
      <c r="R1595">
        <f>Table1[[#This Row],[Course_Fee_AED]]-Table1[[#This Row],[pending Revenue]]</f>
        <v>1554</v>
      </c>
    </row>
    <row r="1596" spans="1:18" x14ac:dyDescent="0.25">
      <c r="A1596" t="s">
        <v>1673</v>
      </c>
      <c r="B1596" s="2">
        <v>45392</v>
      </c>
      <c r="C1596" t="s">
        <v>75</v>
      </c>
      <c r="D1596" t="s">
        <v>76</v>
      </c>
      <c r="E1596" t="s">
        <v>17</v>
      </c>
      <c r="F1596" s="5">
        <v>6</v>
      </c>
      <c r="G1596" s="5">
        <v>1</v>
      </c>
      <c r="H1596" s="5">
        <v>11583</v>
      </c>
      <c r="I1596" s="5">
        <v>1</v>
      </c>
      <c r="J1596" s="5">
        <v>3861</v>
      </c>
      <c r="K1596" t="s">
        <v>18</v>
      </c>
      <c r="L1596" t="s">
        <v>40</v>
      </c>
      <c r="M1596" t="s">
        <v>20</v>
      </c>
      <c r="N1596" t="s">
        <v>53</v>
      </c>
      <c r="O1596" t="s">
        <v>68</v>
      </c>
      <c r="P1596" t="s">
        <v>18</v>
      </c>
      <c r="Q1596">
        <f>Table1[[#This Row],[Course_Fee_AED]]-Table1[[#This Row],[Amount_Paid_AED]]</f>
        <v>7722</v>
      </c>
      <c r="R1596">
        <f>Table1[[#This Row],[Course_Fee_AED]]-Table1[[#This Row],[pending Revenue]]</f>
        <v>3861</v>
      </c>
    </row>
    <row r="1597" spans="1:18" x14ac:dyDescent="0.25">
      <c r="A1597" t="s">
        <v>1674</v>
      </c>
      <c r="B1597" s="2">
        <v>45507</v>
      </c>
      <c r="C1597" t="s">
        <v>75</v>
      </c>
      <c r="D1597" t="s">
        <v>76</v>
      </c>
      <c r="E1597" t="s">
        <v>26</v>
      </c>
      <c r="F1597" s="5">
        <v>3</v>
      </c>
      <c r="G1597" s="5">
        <v>1</v>
      </c>
      <c r="H1597" s="5">
        <v>11334</v>
      </c>
      <c r="I1597" s="5">
        <v>2</v>
      </c>
      <c r="J1597" s="5">
        <v>7556</v>
      </c>
      <c r="K1597" t="s">
        <v>18</v>
      </c>
      <c r="L1597" t="s">
        <v>40</v>
      </c>
      <c r="M1597" t="s">
        <v>63</v>
      </c>
      <c r="N1597" t="s">
        <v>79</v>
      </c>
      <c r="O1597" t="s">
        <v>64</v>
      </c>
      <c r="P1597" t="s">
        <v>18</v>
      </c>
      <c r="Q1597">
        <f>Table1[[#This Row],[Course_Fee_AED]]-Table1[[#This Row],[Amount_Paid_AED]]</f>
        <v>3778</v>
      </c>
      <c r="R1597">
        <f>Table1[[#This Row],[Course_Fee_AED]]-Table1[[#This Row],[pending Revenue]]</f>
        <v>7556</v>
      </c>
    </row>
    <row r="1598" spans="1:18" x14ac:dyDescent="0.25">
      <c r="A1598" t="s">
        <v>1675</v>
      </c>
      <c r="B1598" s="2">
        <v>45423</v>
      </c>
      <c r="C1598" t="s">
        <v>38</v>
      </c>
      <c r="D1598" t="s">
        <v>39</v>
      </c>
      <c r="E1598" t="s">
        <v>17</v>
      </c>
      <c r="F1598" s="5">
        <v>6</v>
      </c>
      <c r="G1598" s="5">
        <v>1</v>
      </c>
      <c r="H1598" s="5">
        <v>5284</v>
      </c>
      <c r="I1598" s="5">
        <v>2</v>
      </c>
      <c r="J1598" s="5">
        <v>3522</v>
      </c>
      <c r="K1598" t="s">
        <v>18</v>
      </c>
      <c r="L1598" t="s">
        <v>40</v>
      </c>
      <c r="M1598" t="s">
        <v>20</v>
      </c>
      <c r="N1598" t="s">
        <v>53</v>
      </c>
      <c r="O1598" t="s">
        <v>68</v>
      </c>
      <c r="P1598" t="s">
        <v>18</v>
      </c>
      <c r="Q1598">
        <f>Table1[[#This Row],[Course_Fee_AED]]-Table1[[#This Row],[Amount_Paid_AED]]</f>
        <v>1762</v>
      </c>
      <c r="R1598">
        <f>Table1[[#This Row],[Course_Fee_AED]]-Table1[[#This Row],[pending Revenue]]</f>
        <v>3522</v>
      </c>
    </row>
    <row r="1599" spans="1:18" x14ac:dyDescent="0.25">
      <c r="A1599" t="s">
        <v>1676</v>
      </c>
      <c r="B1599" s="2">
        <v>45618</v>
      </c>
      <c r="C1599" t="s">
        <v>106</v>
      </c>
      <c r="D1599" t="s">
        <v>107</v>
      </c>
      <c r="E1599" t="s">
        <v>26</v>
      </c>
      <c r="F1599" s="5">
        <v>3</v>
      </c>
      <c r="G1599" s="5">
        <v>1</v>
      </c>
      <c r="H1599" s="5">
        <v>5929</v>
      </c>
      <c r="I1599" s="5">
        <v>2</v>
      </c>
      <c r="J1599" s="5">
        <v>3952</v>
      </c>
      <c r="K1599" t="s">
        <v>18</v>
      </c>
      <c r="L1599" t="s">
        <v>40</v>
      </c>
      <c r="M1599" t="s">
        <v>41</v>
      </c>
      <c r="N1599" t="s">
        <v>70</v>
      </c>
      <c r="O1599" t="s">
        <v>29</v>
      </c>
      <c r="P1599" t="s">
        <v>18</v>
      </c>
      <c r="Q1599">
        <f>Table1[[#This Row],[Course_Fee_AED]]-Table1[[#This Row],[Amount_Paid_AED]]</f>
        <v>1977</v>
      </c>
      <c r="R1599">
        <f>Table1[[#This Row],[Course_Fee_AED]]-Table1[[#This Row],[pending Revenue]]</f>
        <v>3952</v>
      </c>
    </row>
    <row r="1600" spans="1:18" x14ac:dyDescent="0.25">
      <c r="A1600" t="s">
        <v>1677</v>
      </c>
      <c r="B1600" s="2">
        <v>45605</v>
      </c>
      <c r="C1600" t="s">
        <v>51</v>
      </c>
      <c r="D1600" t="s">
        <v>52</v>
      </c>
      <c r="E1600" t="s">
        <v>17</v>
      </c>
      <c r="F1600" s="5">
        <v>6</v>
      </c>
      <c r="G1600" s="5">
        <v>1</v>
      </c>
      <c r="H1600" s="5">
        <v>3803</v>
      </c>
      <c r="I1600" s="5">
        <v>3</v>
      </c>
      <c r="J1600" s="5">
        <v>3801</v>
      </c>
      <c r="K1600" t="s">
        <v>18</v>
      </c>
      <c r="L1600" t="s">
        <v>19</v>
      </c>
      <c r="M1600" t="s">
        <v>63</v>
      </c>
      <c r="N1600" t="s">
        <v>21</v>
      </c>
      <c r="O1600" t="s">
        <v>49</v>
      </c>
      <c r="P1600" t="s">
        <v>36</v>
      </c>
      <c r="Q1600">
        <f>Table1[[#This Row],[Course_Fee_AED]]-Table1[[#This Row],[Amount_Paid_AED]]</f>
        <v>2</v>
      </c>
      <c r="R1600">
        <f>Table1[[#This Row],[Course_Fee_AED]]-Table1[[#This Row],[pending Revenue]]</f>
        <v>3801</v>
      </c>
    </row>
    <row r="1601" spans="1:18" x14ac:dyDescent="0.25">
      <c r="A1601" t="s">
        <v>1678</v>
      </c>
      <c r="B1601" s="2">
        <v>45482</v>
      </c>
      <c r="C1601" t="s">
        <v>113</v>
      </c>
      <c r="D1601" t="s">
        <v>93</v>
      </c>
      <c r="E1601" t="s">
        <v>17</v>
      </c>
      <c r="F1601" s="5">
        <v>6</v>
      </c>
      <c r="G1601" s="5">
        <v>1</v>
      </c>
      <c r="H1601" s="5">
        <v>4023</v>
      </c>
      <c r="I1601" s="5">
        <v>2</v>
      </c>
      <c r="J1601" s="5">
        <v>2682</v>
      </c>
      <c r="K1601" t="s">
        <v>18</v>
      </c>
      <c r="L1601" t="s">
        <v>19</v>
      </c>
      <c r="M1601" t="s">
        <v>60</v>
      </c>
      <c r="N1601" t="s">
        <v>90</v>
      </c>
      <c r="O1601" t="s">
        <v>43</v>
      </c>
      <c r="P1601" t="s">
        <v>36</v>
      </c>
      <c r="Q1601">
        <f>Table1[[#This Row],[Course_Fee_AED]]-Table1[[#This Row],[Amount_Paid_AED]]</f>
        <v>1341</v>
      </c>
      <c r="R1601">
        <f>Table1[[#This Row],[Course_Fee_AED]]-Table1[[#This Row],[pending Revenue]]</f>
        <v>2682</v>
      </c>
    </row>
    <row r="1602" spans="1:18" x14ac:dyDescent="0.25">
      <c r="A1602" t="s">
        <v>1679</v>
      </c>
      <c r="B1602" s="2">
        <v>45482</v>
      </c>
      <c r="C1602" t="s">
        <v>92</v>
      </c>
      <c r="D1602" t="s">
        <v>93</v>
      </c>
      <c r="E1602" t="s">
        <v>26</v>
      </c>
      <c r="F1602" s="5">
        <v>3</v>
      </c>
      <c r="G1602" s="5">
        <v>1</v>
      </c>
      <c r="H1602" s="5">
        <v>6457</v>
      </c>
      <c r="I1602" s="5">
        <v>3</v>
      </c>
      <c r="J1602" s="5">
        <v>6456</v>
      </c>
      <c r="K1602" t="s">
        <v>18</v>
      </c>
      <c r="L1602" t="s">
        <v>57</v>
      </c>
      <c r="M1602" t="s">
        <v>27</v>
      </c>
      <c r="N1602" t="s">
        <v>86</v>
      </c>
      <c r="O1602" t="s">
        <v>35</v>
      </c>
      <c r="P1602" t="s">
        <v>18</v>
      </c>
      <c r="Q1602">
        <f>Table1[[#This Row],[Course_Fee_AED]]-Table1[[#This Row],[Amount_Paid_AED]]</f>
        <v>1</v>
      </c>
      <c r="R1602">
        <f>Table1[[#This Row],[Course_Fee_AED]]-Table1[[#This Row],[pending Revenue]]</f>
        <v>6456</v>
      </c>
    </row>
    <row r="1603" spans="1:18" x14ac:dyDescent="0.25">
      <c r="A1603" t="s">
        <v>1680</v>
      </c>
      <c r="B1603" s="2">
        <v>45480</v>
      </c>
      <c r="C1603" t="s">
        <v>100</v>
      </c>
      <c r="D1603" t="s">
        <v>101</v>
      </c>
      <c r="E1603" t="s">
        <v>17</v>
      </c>
      <c r="F1603" s="5">
        <v>6</v>
      </c>
      <c r="G1603" s="5">
        <v>1</v>
      </c>
      <c r="H1603" s="5">
        <v>3626</v>
      </c>
      <c r="I1603" s="5">
        <v>1</v>
      </c>
      <c r="J1603" s="5">
        <v>1208</v>
      </c>
      <c r="K1603" t="s">
        <v>18</v>
      </c>
      <c r="L1603" t="s">
        <v>40</v>
      </c>
      <c r="M1603" t="s">
        <v>47</v>
      </c>
      <c r="N1603" t="s">
        <v>28</v>
      </c>
      <c r="O1603" t="s">
        <v>29</v>
      </c>
      <c r="P1603" t="s">
        <v>36</v>
      </c>
      <c r="Q1603">
        <f>Table1[[#This Row],[Course_Fee_AED]]-Table1[[#This Row],[Amount_Paid_AED]]</f>
        <v>2418</v>
      </c>
      <c r="R1603">
        <f>Table1[[#This Row],[Course_Fee_AED]]-Table1[[#This Row],[pending Revenue]]</f>
        <v>1208</v>
      </c>
    </row>
    <row r="1604" spans="1:18" x14ac:dyDescent="0.25">
      <c r="A1604" t="s">
        <v>1681</v>
      </c>
      <c r="B1604" s="2">
        <v>45417</v>
      </c>
      <c r="C1604" t="s">
        <v>82</v>
      </c>
      <c r="D1604" t="s">
        <v>83</v>
      </c>
      <c r="E1604" t="s">
        <v>26</v>
      </c>
      <c r="F1604" s="5">
        <v>3</v>
      </c>
      <c r="G1604" s="5">
        <v>1</v>
      </c>
      <c r="H1604" s="5">
        <v>9644</v>
      </c>
      <c r="I1604" s="5">
        <v>2</v>
      </c>
      <c r="J1604" s="5">
        <v>6428</v>
      </c>
      <c r="K1604" t="s">
        <v>18</v>
      </c>
      <c r="L1604" t="s">
        <v>40</v>
      </c>
      <c r="M1604" t="s">
        <v>41</v>
      </c>
      <c r="N1604" t="s">
        <v>28</v>
      </c>
      <c r="O1604" t="s">
        <v>29</v>
      </c>
      <c r="P1604" t="s">
        <v>18</v>
      </c>
      <c r="Q1604">
        <f>Table1[[#This Row],[Course_Fee_AED]]-Table1[[#This Row],[Amount_Paid_AED]]</f>
        <v>3216</v>
      </c>
      <c r="R1604">
        <f>Table1[[#This Row],[Course_Fee_AED]]-Table1[[#This Row],[pending Revenue]]</f>
        <v>6428</v>
      </c>
    </row>
    <row r="1605" spans="1:18" x14ac:dyDescent="0.25">
      <c r="A1605" t="s">
        <v>1682</v>
      </c>
      <c r="B1605" s="2">
        <v>45553</v>
      </c>
      <c r="C1605" t="s">
        <v>38</v>
      </c>
      <c r="D1605" t="s">
        <v>39</v>
      </c>
      <c r="E1605" t="s">
        <v>26</v>
      </c>
      <c r="F1605" s="5">
        <v>3</v>
      </c>
      <c r="G1605" s="5">
        <v>1</v>
      </c>
      <c r="H1605" s="5">
        <v>6817</v>
      </c>
      <c r="I1605" s="5">
        <v>1</v>
      </c>
      <c r="J1605" s="5">
        <v>2272</v>
      </c>
      <c r="K1605" t="s">
        <v>18</v>
      </c>
      <c r="L1605" t="s">
        <v>40</v>
      </c>
      <c r="M1605" t="s">
        <v>60</v>
      </c>
      <c r="N1605" t="s">
        <v>79</v>
      </c>
      <c r="O1605" t="s">
        <v>29</v>
      </c>
      <c r="P1605" t="s">
        <v>18</v>
      </c>
      <c r="Q1605">
        <f>Table1[[#This Row],[Course_Fee_AED]]-Table1[[#This Row],[Amount_Paid_AED]]</f>
        <v>4545</v>
      </c>
      <c r="R1605">
        <f>Table1[[#This Row],[Course_Fee_AED]]-Table1[[#This Row],[pending Revenue]]</f>
        <v>2272</v>
      </c>
    </row>
    <row r="1606" spans="1:18" x14ac:dyDescent="0.25">
      <c r="A1606" t="s">
        <v>1683</v>
      </c>
      <c r="B1606" s="2">
        <v>45331</v>
      </c>
      <c r="C1606" t="s">
        <v>31</v>
      </c>
      <c r="D1606" t="s">
        <v>32</v>
      </c>
      <c r="E1606" t="s">
        <v>17</v>
      </c>
      <c r="F1606" s="5">
        <v>6</v>
      </c>
      <c r="G1606" s="5">
        <v>1</v>
      </c>
      <c r="H1606" s="5">
        <v>7929</v>
      </c>
      <c r="I1606" s="5">
        <v>1</v>
      </c>
      <c r="J1606" s="5">
        <v>2643</v>
      </c>
      <c r="K1606" t="s">
        <v>18</v>
      </c>
      <c r="L1606" t="s">
        <v>57</v>
      </c>
      <c r="M1606" t="s">
        <v>63</v>
      </c>
      <c r="N1606" t="s">
        <v>42</v>
      </c>
      <c r="O1606" t="s">
        <v>64</v>
      </c>
      <c r="P1606" t="s">
        <v>36</v>
      </c>
      <c r="Q1606">
        <f>Table1[[#This Row],[Course_Fee_AED]]-Table1[[#This Row],[Amount_Paid_AED]]</f>
        <v>5286</v>
      </c>
      <c r="R1606">
        <f>Table1[[#This Row],[Course_Fee_AED]]-Table1[[#This Row],[pending Revenue]]</f>
        <v>2643</v>
      </c>
    </row>
    <row r="1607" spans="1:18" x14ac:dyDescent="0.25">
      <c r="A1607" t="s">
        <v>1684</v>
      </c>
      <c r="B1607" s="2">
        <v>45620</v>
      </c>
      <c r="C1607" t="s">
        <v>15</v>
      </c>
      <c r="D1607" t="s">
        <v>16</v>
      </c>
      <c r="E1607" t="s">
        <v>26</v>
      </c>
      <c r="F1607" s="5">
        <v>3</v>
      </c>
      <c r="G1607" s="5">
        <v>1</v>
      </c>
      <c r="H1607" s="5">
        <v>7755</v>
      </c>
      <c r="I1607" s="5">
        <v>1</v>
      </c>
      <c r="J1607" s="5">
        <v>2585</v>
      </c>
      <c r="K1607" t="s">
        <v>18</v>
      </c>
      <c r="L1607" t="s">
        <v>40</v>
      </c>
      <c r="M1607" t="s">
        <v>47</v>
      </c>
      <c r="N1607" t="s">
        <v>70</v>
      </c>
      <c r="O1607" t="s">
        <v>58</v>
      </c>
      <c r="P1607" t="s">
        <v>18</v>
      </c>
      <c r="Q1607">
        <f>Table1[[#This Row],[Course_Fee_AED]]-Table1[[#This Row],[Amount_Paid_AED]]</f>
        <v>5170</v>
      </c>
      <c r="R1607">
        <f>Table1[[#This Row],[Course_Fee_AED]]-Table1[[#This Row],[pending Revenue]]</f>
        <v>2585</v>
      </c>
    </row>
    <row r="1608" spans="1:18" x14ac:dyDescent="0.25">
      <c r="A1608" t="s">
        <v>1685</v>
      </c>
      <c r="B1608" s="2">
        <v>45414</v>
      </c>
      <c r="C1608" t="s">
        <v>106</v>
      </c>
      <c r="D1608" t="s">
        <v>107</v>
      </c>
      <c r="E1608" t="s">
        <v>17</v>
      </c>
      <c r="F1608" s="5">
        <v>6</v>
      </c>
      <c r="G1608" s="5">
        <v>1</v>
      </c>
      <c r="H1608" s="5">
        <v>7561</v>
      </c>
      <c r="I1608" s="5">
        <v>2</v>
      </c>
      <c r="J1608" s="5">
        <v>5040</v>
      </c>
      <c r="K1608" t="s">
        <v>18</v>
      </c>
      <c r="L1608" t="s">
        <v>40</v>
      </c>
      <c r="M1608" t="s">
        <v>63</v>
      </c>
      <c r="N1608" t="s">
        <v>34</v>
      </c>
      <c r="O1608" t="s">
        <v>49</v>
      </c>
      <c r="P1608" t="s">
        <v>18</v>
      </c>
      <c r="Q1608">
        <f>Table1[[#This Row],[Course_Fee_AED]]-Table1[[#This Row],[Amount_Paid_AED]]</f>
        <v>2521</v>
      </c>
      <c r="R1608">
        <f>Table1[[#This Row],[Course_Fee_AED]]-Table1[[#This Row],[pending Revenue]]</f>
        <v>5040</v>
      </c>
    </row>
    <row r="1609" spans="1:18" x14ac:dyDescent="0.25">
      <c r="A1609" t="s">
        <v>1686</v>
      </c>
      <c r="B1609" s="2">
        <v>45298</v>
      </c>
      <c r="C1609" t="s">
        <v>55</v>
      </c>
      <c r="D1609" t="s">
        <v>56</v>
      </c>
      <c r="E1609" t="s">
        <v>26</v>
      </c>
      <c r="F1609" s="5">
        <v>3</v>
      </c>
      <c r="G1609" s="5">
        <v>1</v>
      </c>
      <c r="H1609" s="5">
        <v>9359</v>
      </c>
      <c r="I1609" s="5">
        <v>2</v>
      </c>
      <c r="J1609" s="5">
        <v>6238</v>
      </c>
      <c r="K1609" t="s">
        <v>18</v>
      </c>
      <c r="L1609" t="s">
        <v>19</v>
      </c>
      <c r="M1609" t="s">
        <v>63</v>
      </c>
      <c r="N1609" t="s">
        <v>61</v>
      </c>
      <c r="O1609" t="s">
        <v>35</v>
      </c>
      <c r="P1609" t="s">
        <v>18</v>
      </c>
      <c r="Q1609">
        <f>Table1[[#This Row],[Course_Fee_AED]]-Table1[[#This Row],[Amount_Paid_AED]]</f>
        <v>3121</v>
      </c>
      <c r="R1609">
        <f>Table1[[#This Row],[Course_Fee_AED]]-Table1[[#This Row],[pending Revenue]]</f>
        <v>6238</v>
      </c>
    </row>
    <row r="1610" spans="1:18" x14ac:dyDescent="0.25">
      <c r="A1610" t="s">
        <v>1687</v>
      </c>
      <c r="B1610" s="2">
        <v>45362</v>
      </c>
      <c r="C1610" t="s">
        <v>45</v>
      </c>
      <c r="D1610" t="s">
        <v>46</v>
      </c>
      <c r="E1610" t="s">
        <v>17</v>
      </c>
      <c r="F1610" s="5">
        <v>6</v>
      </c>
      <c r="G1610" s="5">
        <v>1</v>
      </c>
      <c r="H1610" s="5">
        <v>5816</v>
      </c>
      <c r="I1610" s="5">
        <v>1</v>
      </c>
      <c r="J1610" s="5">
        <v>1938</v>
      </c>
      <c r="K1610" t="s">
        <v>18</v>
      </c>
      <c r="L1610" t="s">
        <v>57</v>
      </c>
      <c r="M1610" t="s">
        <v>63</v>
      </c>
      <c r="N1610" t="s">
        <v>53</v>
      </c>
      <c r="O1610" t="s">
        <v>22</v>
      </c>
      <c r="P1610" t="s">
        <v>36</v>
      </c>
      <c r="Q1610">
        <f>Table1[[#This Row],[Course_Fee_AED]]-Table1[[#This Row],[Amount_Paid_AED]]</f>
        <v>3878</v>
      </c>
      <c r="R1610">
        <f>Table1[[#This Row],[Course_Fee_AED]]-Table1[[#This Row],[pending Revenue]]</f>
        <v>1938</v>
      </c>
    </row>
    <row r="1611" spans="1:18" x14ac:dyDescent="0.25">
      <c r="A1611" t="s">
        <v>1688</v>
      </c>
      <c r="B1611" s="2">
        <v>45385</v>
      </c>
      <c r="C1611" t="s">
        <v>55</v>
      </c>
      <c r="D1611" t="s">
        <v>56</v>
      </c>
      <c r="E1611" t="s">
        <v>26</v>
      </c>
      <c r="F1611" s="5">
        <v>3</v>
      </c>
      <c r="G1611" s="5">
        <v>1</v>
      </c>
      <c r="H1611" s="5">
        <v>7833</v>
      </c>
      <c r="I1611" s="5">
        <v>1</v>
      </c>
      <c r="J1611" s="5">
        <v>2611</v>
      </c>
      <c r="K1611" t="s">
        <v>18</v>
      </c>
      <c r="L1611" t="s">
        <v>57</v>
      </c>
      <c r="M1611" t="s">
        <v>47</v>
      </c>
      <c r="N1611" t="s">
        <v>70</v>
      </c>
      <c r="O1611" t="s">
        <v>35</v>
      </c>
      <c r="P1611" t="s">
        <v>36</v>
      </c>
      <c r="Q1611">
        <f>Table1[[#This Row],[Course_Fee_AED]]-Table1[[#This Row],[Amount_Paid_AED]]</f>
        <v>5222</v>
      </c>
      <c r="R1611">
        <f>Table1[[#This Row],[Course_Fee_AED]]-Table1[[#This Row],[pending Revenue]]</f>
        <v>2611</v>
      </c>
    </row>
    <row r="1612" spans="1:18" x14ac:dyDescent="0.25">
      <c r="A1612" t="s">
        <v>1689</v>
      </c>
      <c r="B1612" s="2">
        <v>45600</v>
      </c>
      <c r="C1612" t="s">
        <v>75</v>
      </c>
      <c r="D1612" t="s">
        <v>76</v>
      </c>
      <c r="E1612" t="s">
        <v>26</v>
      </c>
      <c r="F1612" s="5">
        <v>3</v>
      </c>
      <c r="G1612" s="5">
        <v>1</v>
      </c>
      <c r="H1612" s="5">
        <v>12164</v>
      </c>
      <c r="I1612" s="5">
        <v>3</v>
      </c>
      <c r="J1612" s="5">
        <v>12162</v>
      </c>
      <c r="K1612" t="s">
        <v>18</v>
      </c>
      <c r="L1612" t="s">
        <v>57</v>
      </c>
      <c r="M1612" t="s">
        <v>60</v>
      </c>
      <c r="N1612" t="s">
        <v>42</v>
      </c>
      <c r="O1612" t="s">
        <v>49</v>
      </c>
      <c r="P1612" t="s">
        <v>36</v>
      </c>
      <c r="Q1612">
        <f>Table1[[#This Row],[Course_Fee_AED]]-Table1[[#This Row],[Amount_Paid_AED]]</f>
        <v>2</v>
      </c>
      <c r="R1612">
        <f>Table1[[#This Row],[Course_Fee_AED]]-Table1[[#This Row],[pending Revenue]]</f>
        <v>12162</v>
      </c>
    </row>
    <row r="1613" spans="1:18" x14ac:dyDescent="0.25">
      <c r="A1613" t="s">
        <v>1690</v>
      </c>
      <c r="B1613" s="2">
        <v>45433</v>
      </c>
      <c r="C1613" t="s">
        <v>66</v>
      </c>
      <c r="D1613" t="s">
        <v>56</v>
      </c>
      <c r="E1613" t="s">
        <v>17</v>
      </c>
      <c r="F1613" s="5">
        <v>6</v>
      </c>
      <c r="G1613" s="5">
        <v>1</v>
      </c>
      <c r="H1613" s="5">
        <v>8845</v>
      </c>
      <c r="I1613" s="5">
        <v>2</v>
      </c>
      <c r="J1613" s="5">
        <v>5896</v>
      </c>
      <c r="K1613" t="s">
        <v>18</v>
      </c>
      <c r="L1613" t="s">
        <v>57</v>
      </c>
      <c r="M1613" t="s">
        <v>20</v>
      </c>
      <c r="N1613" t="s">
        <v>34</v>
      </c>
      <c r="O1613" t="s">
        <v>58</v>
      </c>
      <c r="P1613" t="s">
        <v>18</v>
      </c>
      <c r="Q1613">
        <f>Table1[[#This Row],[Course_Fee_AED]]-Table1[[#This Row],[Amount_Paid_AED]]</f>
        <v>2949</v>
      </c>
      <c r="R1613">
        <f>Table1[[#This Row],[Course_Fee_AED]]-Table1[[#This Row],[pending Revenue]]</f>
        <v>5896</v>
      </c>
    </row>
    <row r="1614" spans="1:18" x14ac:dyDescent="0.25">
      <c r="A1614" t="s">
        <v>1691</v>
      </c>
      <c r="B1614" s="2">
        <v>45452</v>
      </c>
      <c r="C1614" t="s">
        <v>24</v>
      </c>
      <c r="D1614" t="s">
        <v>25</v>
      </c>
      <c r="E1614" t="s">
        <v>17</v>
      </c>
      <c r="F1614" s="5">
        <v>6</v>
      </c>
      <c r="G1614" s="5">
        <v>1</v>
      </c>
      <c r="H1614" s="5">
        <v>4676</v>
      </c>
      <c r="I1614" s="5">
        <v>3</v>
      </c>
      <c r="J1614" s="5">
        <v>4674</v>
      </c>
      <c r="K1614" t="s">
        <v>18</v>
      </c>
      <c r="L1614" t="s">
        <v>19</v>
      </c>
      <c r="M1614" t="s">
        <v>63</v>
      </c>
      <c r="N1614" t="s">
        <v>34</v>
      </c>
      <c r="O1614" t="s">
        <v>35</v>
      </c>
      <c r="P1614" t="s">
        <v>18</v>
      </c>
      <c r="Q1614">
        <f>Table1[[#This Row],[Course_Fee_AED]]-Table1[[#This Row],[Amount_Paid_AED]]</f>
        <v>2</v>
      </c>
      <c r="R1614">
        <f>Table1[[#This Row],[Course_Fee_AED]]-Table1[[#This Row],[pending Revenue]]</f>
        <v>4674</v>
      </c>
    </row>
    <row r="1615" spans="1:18" x14ac:dyDescent="0.25">
      <c r="A1615" t="s">
        <v>1692</v>
      </c>
      <c r="B1615" s="2">
        <v>45548</v>
      </c>
      <c r="C1615" t="s">
        <v>113</v>
      </c>
      <c r="D1615" t="s">
        <v>93</v>
      </c>
      <c r="E1615" t="s">
        <v>26</v>
      </c>
      <c r="F1615" s="5">
        <v>3</v>
      </c>
      <c r="G1615" s="5">
        <v>1</v>
      </c>
      <c r="H1615" s="5">
        <v>3361</v>
      </c>
      <c r="I1615" s="5">
        <v>1</v>
      </c>
      <c r="J1615" s="5">
        <v>1120</v>
      </c>
      <c r="K1615" t="s">
        <v>18</v>
      </c>
      <c r="L1615" t="s">
        <v>19</v>
      </c>
      <c r="M1615" t="s">
        <v>47</v>
      </c>
      <c r="N1615" t="s">
        <v>79</v>
      </c>
      <c r="O1615" t="s">
        <v>58</v>
      </c>
      <c r="P1615" t="s">
        <v>36</v>
      </c>
      <c r="Q1615">
        <f>Table1[[#This Row],[Course_Fee_AED]]-Table1[[#This Row],[Amount_Paid_AED]]</f>
        <v>2241</v>
      </c>
      <c r="R1615">
        <f>Table1[[#This Row],[Course_Fee_AED]]-Table1[[#This Row],[pending Revenue]]</f>
        <v>1120</v>
      </c>
    </row>
    <row r="1616" spans="1:18" x14ac:dyDescent="0.25">
      <c r="A1616" t="s">
        <v>1693</v>
      </c>
      <c r="B1616" s="2">
        <v>45467</v>
      </c>
      <c r="C1616" t="s">
        <v>51</v>
      </c>
      <c r="D1616" t="s">
        <v>52</v>
      </c>
      <c r="E1616" t="s">
        <v>26</v>
      </c>
      <c r="F1616" s="5">
        <v>3</v>
      </c>
      <c r="G1616" s="5">
        <v>1</v>
      </c>
      <c r="H1616" s="5">
        <v>5851</v>
      </c>
      <c r="I1616" s="5">
        <v>3</v>
      </c>
      <c r="J1616" s="5">
        <v>5850</v>
      </c>
      <c r="K1616" t="s">
        <v>18</v>
      </c>
      <c r="L1616" t="s">
        <v>19</v>
      </c>
      <c r="M1616" t="s">
        <v>41</v>
      </c>
      <c r="N1616" t="s">
        <v>42</v>
      </c>
      <c r="O1616" t="s">
        <v>64</v>
      </c>
      <c r="P1616" t="s">
        <v>36</v>
      </c>
      <c r="Q1616">
        <f>Table1[[#This Row],[Course_Fee_AED]]-Table1[[#This Row],[Amount_Paid_AED]]</f>
        <v>1</v>
      </c>
      <c r="R1616">
        <f>Table1[[#This Row],[Course_Fee_AED]]-Table1[[#This Row],[pending Revenue]]</f>
        <v>5850</v>
      </c>
    </row>
    <row r="1617" spans="1:18" x14ac:dyDescent="0.25">
      <c r="A1617" t="s">
        <v>1694</v>
      </c>
      <c r="B1617" s="2">
        <v>45391</v>
      </c>
      <c r="C1617" t="s">
        <v>31</v>
      </c>
      <c r="D1617" t="s">
        <v>32</v>
      </c>
      <c r="E1617" t="s">
        <v>17</v>
      </c>
      <c r="F1617" s="5">
        <v>6</v>
      </c>
      <c r="G1617" s="5">
        <v>1</v>
      </c>
      <c r="H1617" s="5">
        <v>4625</v>
      </c>
      <c r="I1617" s="5">
        <v>2</v>
      </c>
      <c r="J1617" s="5">
        <v>3082</v>
      </c>
      <c r="K1617" t="s">
        <v>18</v>
      </c>
      <c r="L1617" t="s">
        <v>40</v>
      </c>
      <c r="M1617" t="s">
        <v>60</v>
      </c>
      <c r="N1617" t="s">
        <v>73</v>
      </c>
      <c r="O1617" t="s">
        <v>35</v>
      </c>
      <c r="P1617" t="s">
        <v>18</v>
      </c>
      <c r="Q1617">
        <f>Table1[[#This Row],[Course_Fee_AED]]-Table1[[#This Row],[Amount_Paid_AED]]</f>
        <v>1543</v>
      </c>
      <c r="R1617">
        <f>Table1[[#This Row],[Course_Fee_AED]]-Table1[[#This Row],[pending Revenue]]</f>
        <v>3082</v>
      </c>
    </row>
    <row r="1618" spans="1:18" x14ac:dyDescent="0.25">
      <c r="A1618" t="s">
        <v>1695</v>
      </c>
      <c r="B1618" s="2">
        <v>45317</v>
      </c>
      <c r="C1618" t="s">
        <v>66</v>
      </c>
      <c r="D1618" t="s">
        <v>56</v>
      </c>
      <c r="E1618" t="s">
        <v>26</v>
      </c>
      <c r="F1618" s="5">
        <v>3</v>
      </c>
      <c r="G1618" s="5">
        <v>1</v>
      </c>
      <c r="H1618" s="5">
        <v>7093</v>
      </c>
      <c r="I1618" s="5">
        <v>2</v>
      </c>
      <c r="J1618" s="5">
        <v>4728</v>
      </c>
      <c r="K1618" t="s">
        <v>18</v>
      </c>
      <c r="L1618" t="s">
        <v>40</v>
      </c>
      <c r="M1618" t="s">
        <v>41</v>
      </c>
      <c r="N1618" t="s">
        <v>154</v>
      </c>
      <c r="O1618" t="s">
        <v>71</v>
      </c>
      <c r="P1618" t="s">
        <v>18</v>
      </c>
      <c r="Q1618">
        <f>Table1[[#This Row],[Course_Fee_AED]]-Table1[[#This Row],[Amount_Paid_AED]]</f>
        <v>2365</v>
      </c>
      <c r="R1618">
        <f>Table1[[#This Row],[Course_Fee_AED]]-Table1[[#This Row],[pending Revenue]]</f>
        <v>4728</v>
      </c>
    </row>
    <row r="1619" spans="1:18" x14ac:dyDescent="0.25">
      <c r="A1619" t="s">
        <v>1696</v>
      </c>
      <c r="B1619" s="2">
        <v>45467</v>
      </c>
      <c r="C1619" t="s">
        <v>106</v>
      </c>
      <c r="D1619" t="s">
        <v>107</v>
      </c>
      <c r="E1619" t="s">
        <v>26</v>
      </c>
      <c r="F1619" s="5">
        <v>3</v>
      </c>
      <c r="G1619" s="5">
        <v>1</v>
      </c>
      <c r="H1619" s="5">
        <v>6283</v>
      </c>
      <c r="I1619" s="5">
        <v>3</v>
      </c>
      <c r="J1619" s="5">
        <v>6282</v>
      </c>
      <c r="K1619" t="s">
        <v>18</v>
      </c>
      <c r="L1619" t="s">
        <v>40</v>
      </c>
      <c r="M1619" t="s">
        <v>47</v>
      </c>
      <c r="N1619" t="s">
        <v>90</v>
      </c>
      <c r="O1619" t="s">
        <v>22</v>
      </c>
      <c r="P1619" t="s">
        <v>36</v>
      </c>
      <c r="Q1619">
        <f>Table1[[#This Row],[Course_Fee_AED]]-Table1[[#This Row],[Amount_Paid_AED]]</f>
        <v>1</v>
      </c>
      <c r="R1619">
        <f>Table1[[#This Row],[Course_Fee_AED]]-Table1[[#This Row],[pending Revenue]]</f>
        <v>6282</v>
      </c>
    </row>
    <row r="1620" spans="1:18" x14ac:dyDescent="0.25">
      <c r="A1620" t="s">
        <v>1697</v>
      </c>
      <c r="B1620" s="2">
        <v>45294</v>
      </c>
      <c r="C1620" t="s">
        <v>51</v>
      </c>
      <c r="D1620" t="s">
        <v>52</v>
      </c>
      <c r="E1620" t="s">
        <v>17</v>
      </c>
      <c r="F1620" s="5">
        <v>6</v>
      </c>
      <c r="G1620" s="5">
        <v>1</v>
      </c>
      <c r="H1620" s="5">
        <v>5932</v>
      </c>
      <c r="I1620" s="5">
        <v>3</v>
      </c>
      <c r="J1620" s="5">
        <v>5931</v>
      </c>
      <c r="K1620" t="s">
        <v>18</v>
      </c>
      <c r="L1620" t="s">
        <v>40</v>
      </c>
      <c r="M1620" t="s">
        <v>41</v>
      </c>
      <c r="N1620" t="s">
        <v>48</v>
      </c>
      <c r="O1620" t="s">
        <v>58</v>
      </c>
      <c r="P1620" t="s">
        <v>36</v>
      </c>
      <c r="Q1620">
        <f>Table1[[#This Row],[Course_Fee_AED]]-Table1[[#This Row],[Amount_Paid_AED]]</f>
        <v>1</v>
      </c>
      <c r="R1620">
        <f>Table1[[#This Row],[Course_Fee_AED]]-Table1[[#This Row],[pending Revenue]]</f>
        <v>5931</v>
      </c>
    </row>
    <row r="1621" spans="1:18" x14ac:dyDescent="0.25">
      <c r="A1621" t="s">
        <v>1698</v>
      </c>
      <c r="B1621" s="2">
        <v>45497</v>
      </c>
      <c r="C1621" t="s">
        <v>82</v>
      </c>
      <c r="D1621" t="s">
        <v>83</v>
      </c>
      <c r="E1621" t="s">
        <v>26</v>
      </c>
      <c r="F1621" s="5">
        <v>3</v>
      </c>
      <c r="G1621" s="5">
        <v>1</v>
      </c>
      <c r="H1621" s="5">
        <v>8159</v>
      </c>
      <c r="I1621" s="5">
        <v>3</v>
      </c>
      <c r="J1621" s="5">
        <v>8157</v>
      </c>
      <c r="K1621" t="s">
        <v>18</v>
      </c>
      <c r="L1621" t="s">
        <v>57</v>
      </c>
      <c r="M1621" t="s">
        <v>47</v>
      </c>
      <c r="N1621" t="s">
        <v>73</v>
      </c>
      <c r="O1621" t="s">
        <v>71</v>
      </c>
      <c r="P1621" t="s">
        <v>18</v>
      </c>
      <c r="Q1621">
        <f>Table1[[#This Row],[Course_Fee_AED]]-Table1[[#This Row],[Amount_Paid_AED]]</f>
        <v>2</v>
      </c>
      <c r="R1621">
        <f>Table1[[#This Row],[Course_Fee_AED]]-Table1[[#This Row],[pending Revenue]]</f>
        <v>8157</v>
      </c>
    </row>
    <row r="1622" spans="1:18" x14ac:dyDescent="0.25">
      <c r="A1622" t="s">
        <v>1699</v>
      </c>
      <c r="B1622" s="2">
        <v>45376</v>
      </c>
      <c r="C1622" t="s">
        <v>15</v>
      </c>
      <c r="D1622" t="s">
        <v>16</v>
      </c>
      <c r="E1622" t="s">
        <v>17</v>
      </c>
      <c r="F1622" s="5">
        <v>6</v>
      </c>
      <c r="G1622" s="5">
        <v>1</v>
      </c>
      <c r="H1622" s="5">
        <v>6678</v>
      </c>
      <c r="I1622" s="5">
        <v>3</v>
      </c>
      <c r="J1622" s="5">
        <v>6678</v>
      </c>
      <c r="K1622" t="s">
        <v>33</v>
      </c>
      <c r="L1622" t="s">
        <v>57</v>
      </c>
      <c r="M1622" t="s">
        <v>60</v>
      </c>
      <c r="N1622" t="s">
        <v>34</v>
      </c>
      <c r="O1622" t="s">
        <v>35</v>
      </c>
      <c r="P1622" t="s">
        <v>36</v>
      </c>
      <c r="Q1622">
        <f>Table1[[#This Row],[Course_Fee_AED]]-Table1[[#This Row],[Amount_Paid_AED]]</f>
        <v>0</v>
      </c>
      <c r="R1622">
        <f>Table1[[#This Row],[Course_Fee_AED]]-Table1[[#This Row],[pending Revenue]]</f>
        <v>6678</v>
      </c>
    </row>
    <row r="1623" spans="1:18" x14ac:dyDescent="0.25">
      <c r="A1623" t="s">
        <v>1700</v>
      </c>
      <c r="B1623" s="2">
        <v>45648</v>
      </c>
      <c r="C1623" t="s">
        <v>106</v>
      </c>
      <c r="D1623" t="s">
        <v>107</v>
      </c>
      <c r="E1623" t="s">
        <v>17</v>
      </c>
      <c r="F1623" s="5">
        <v>6</v>
      </c>
      <c r="G1623" s="5">
        <v>1</v>
      </c>
      <c r="H1623" s="5">
        <v>5246</v>
      </c>
      <c r="I1623" s="5">
        <v>2</v>
      </c>
      <c r="J1623" s="5">
        <v>3496</v>
      </c>
      <c r="K1623" t="s">
        <v>18</v>
      </c>
      <c r="L1623" t="s">
        <v>19</v>
      </c>
      <c r="M1623" t="s">
        <v>41</v>
      </c>
      <c r="N1623" t="s">
        <v>79</v>
      </c>
      <c r="O1623" t="s">
        <v>29</v>
      </c>
      <c r="P1623" t="s">
        <v>36</v>
      </c>
      <c r="Q1623">
        <f>Table1[[#This Row],[Course_Fee_AED]]-Table1[[#This Row],[Amount_Paid_AED]]</f>
        <v>1750</v>
      </c>
      <c r="R1623">
        <f>Table1[[#This Row],[Course_Fee_AED]]-Table1[[#This Row],[pending Revenue]]</f>
        <v>3496</v>
      </c>
    </row>
    <row r="1624" spans="1:18" x14ac:dyDescent="0.25">
      <c r="A1624" t="s">
        <v>1701</v>
      </c>
      <c r="B1624" s="2">
        <v>45509</v>
      </c>
      <c r="C1624" t="s">
        <v>45</v>
      </c>
      <c r="D1624" t="s">
        <v>46</v>
      </c>
      <c r="E1624" t="s">
        <v>17</v>
      </c>
      <c r="F1624" s="5">
        <v>6</v>
      </c>
      <c r="G1624" s="5">
        <v>1</v>
      </c>
      <c r="H1624" s="5">
        <v>4033</v>
      </c>
      <c r="I1624" s="5">
        <v>1</v>
      </c>
      <c r="J1624" s="5">
        <v>1344</v>
      </c>
      <c r="K1624" t="s">
        <v>18</v>
      </c>
      <c r="L1624" t="s">
        <v>40</v>
      </c>
      <c r="M1624" t="s">
        <v>63</v>
      </c>
      <c r="N1624" t="s">
        <v>34</v>
      </c>
      <c r="O1624" t="s">
        <v>35</v>
      </c>
      <c r="P1624" t="s">
        <v>36</v>
      </c>
      <c r="Q1624">
        <f>Table1[[#This Row],[Course_Fee_AED]]-Table1[[#This Row],[Amount_Paid_AED]]</f>
        <v>2689</v>
      </c>
      <c r="R1624">
        <f>Table1[[#This Row],[Course_Fee_AED]]-Table1[[#This Row],[pending Revenue]]</f>
        <v>1344</v>
      </c>
    </row>
    <row r="1625" spans="1:18" x14ac:dyDescent="0.25">
      <c r="A1625" t="s">
        <v>1702</v>
      </c>
      <c r="B1625" s="2">
        <v>45352</v>
      </c>
      <c r="C1625" t="s">
        <v>100</v>
      </c>
      <c r="D1625" t="s">
        <v>101</v>
      </c>
      <c r="E1625" t="s">
        <v>17</v>
      </c>
      <c r="F1625" s="5">
        <v>6</v>
      </c>
      <c r="G1625" s="5">
        <v>1</v>
      </c>
      <c r="H1625" s="5">
        <v>4001</v>
      </c>
      <c r="I1625" s="5">
        <v>2</v>
      </c>
      <c r="J1625" s="5">
        <v>2666</v>
      </c>
      <c r="K1625" t="s">
        <v>18</v>
      </c>
      <c r="L1625" t="s">
        <v>40</v>
      </c>
      <c r="M1625" t="s">
        <v>41</v>
      </c>
      <c r="N1625" t="s">
        <v>73</v>
      </c>
      <c r="O1625" t="s">
        <v>49</v>
      </c>
      <c r="P1625" t="s">
        <v>18</v>
      </c>
      <c r="Q1625">
        <f>Table1[[#This Row],[Course_Fee_AED]]-Table1[[#This Row],[Amount_Paid_AED]]</f>
        <v>1335</v>
      </c>
      <c r="R1625">
        <f>Table1[[#This Row],[Course_Fee_AED]]-Table1[[#This Row],[pending Revenue]]</f>
        <v>2666</v>
      </c>
    </row>
    <row r="1626" spans="1:18" x14ac:dyDescent="0.25">
      <c r="A1626" t="s">
        <v>1703</v>
      </c>
      <c r="B1626" s="2">
        <v>45591</v>
      </c>
      <c r="C1626" t="s">
        <v>75</v>
      </c>
      <c r="D1626" t="s">
        <v>76</v>
      </c>
      <c r="E1626" t="s">
        <v>26</v>
      </c>
      <c r="F1626" s="5">
        <v>3</v>
      </c>
      <c r="G1626" s="5">
        <v>1</v>
      </c>
      <c r="H1626" s="5">
        <v>10119</v>
      </c>
      <c r="I1626" s="5">
        <v>3</v>
      </c>
      <c r="J1626" s="5">
        <v>10119</v>
      </c>
      <c r="K1626" t="s">
        <v>33</v>
      </c>
      <c r="L1626" t="s">
        <v>19</v>
      </c>
      <c r="M1626" t="s">
        <v>47</v>
      </c>
      <c r="N1626" t="s">
        <v>21</v>
      </c>
      <c r="O1626" t="s">
        <v>35</v>
      </c>
      <c r="P1626" t="s">
        <v>36</v>
      </c>
      <c r="Q1626">
        <f>Table1[[#This Row],[Course_Fee_AED]]-Table1[[#This Row],[Amount_Paid_AED]]</f>
        <v>0</v>
      </c>
      <c r="R1626">
        <f>Table1[[#This Row],[Course_Fee_AED]]-Table1[[#This Row],[pending Revenue]]</f>
        <v>10119</v>
      </c>
    </row>
    <row r="1627" spans="1:18" x14ac:dyDescent="0.25">
      <c r="A1627" t="s">
        <v>1704</v>
      </c>
      <c r="B1627" s="2">
        <v>45516</v>
      </c>
      <c r="C1627" t="s">
        <v>92</v>
      </c>
      <c r="D1627" t="s">
        <v>93</v>
      </c>
      <c r="E1627" t="s">
        <v>17</v>
      </c>
      <c r="F1627" s="5">
        <v>6</v>
      </c>
      <c r="G1627" s="5">
        <v>1</v>
      </c>
      <c r="H1627" s="5">
        <v>7332</v>
      </c>
      <c r="I1627" s="5">
        <v>2</v>
      </c>
      <c r="J1627" s="5">
        <v>4888</v>
      </c>
      <c r="K1627" t="s">
        <v>18</v>
      </c>
      <c r="L1627" t="s">
        <v>40</v>
      </c>
      <c r="M1627" t="s">
        <v>20</v>
      </c>
      <c r="N1627" t="s">
        <v>95</v>
      </c>
      <c r="O1627" t="s">
        <v>49</v>
      </c>
      <c r="P1627" t="s">
        <v>36</v>
      </c>
      <c r="Q1627">
        <f>Table1[[#This Row],[Course_Fee_AED]]-Table1[[#This Row],[Amount_Paid_AED]]</f>
        <v>2444</v>
      </c>
      <c r="R1627">
        <f>Table1[[#This Row],[Course_Fee_AED]]-Table1[[#This Row],[pending Revenue]]</f>
        <v>4888</v>
      </c>
    </row>
    <row r="1628" spans="1:18" x14ac:dyDescent="0.25">
      <c r="A1628" t="s">
        <v>1705</v>
      </c>
      <c r="B1628" s="2">
        <v>45348</v>
      </c>
      <c r="C1628" t="s">
        <v>66</v>
      </c>
      <c r="D1628" t="s">
        <v>56</v>
      </c>
      <c r="E1628" t="s">
        <v>17</v>
      </c>
      <c r="F1628" s="5">
        <v>6</v>
      </c>
      <c r="G1628" s="5">
        <v>1</v>
      </c>
      <c r="H1628" s="5">
        <v>11751</v>
      </c>
      <c r="I1628" s="5">
        <v>2</v>
      </c>
      <c r="J1628" s="5">
        <v>7834</v>
      </c>
      <c r="K1628" t="s">
        <v>18</v>
      </c>
      <c r="L1628" t="s">
        <v>19</v>
      </c>
      <c r="M1628" t="s">
        <v>20</v>
      </c>
      <c r="N1628" t="s">
        <v>61</v>
      </c>
      <c r="O1628" t="s">
        <v>87</v>
      </c>
      <c r="P1628" t="s">
        <v>18</v>
      </c>
      <c r="Q1628">
        <f>Table1[[#This Row],[Course_Fee_AED]]-Table1[[#This Row],[Amount_Paid_AED]]</f>
        <v>3917</v>
      </c>
      <c r="R1628">
        <f>Table1[[#This Row],[Course_Fee_AED]]-Table1[[#This Row],[pending Revenue]]</f>
        <v>7834</v>
      </c>
    </row>
    <row r="1629" spans="1:18" x14ac:dyDescent="0.25">
      <c r="A1629" t="s">
        <v>1706</v>
      </c>
      <c r="B1629" s="2">
        <v>45296</v>
      </c>
      <c r="C1629" t="s">
        <v>15</v>
      </c>
      <c r="D1629" t="s">
        <v>16</v>
      </c>
      <c r="E1629" t="s">
        <v>26</v>
      </c>
      <c r="F1629" s="5">
        <v>3</v>
      </c>
      <c r="G1629" s="5">
        <v>1</v>
      </c>
      <c r="H1629" s="5">
        <v>5425</v>
      </c>
      <c r="I1629" s="5">
        <v>1</v>
      </c>
      <c r="J1629" s="5">
        <v>1808</v>
      </c>
      <c r="K1629" t="s">
        <v>18</v>
      </c>
      <c r="L1629" t="s">
        <v>40</v>
      </c>
      <c r="M1629" t="s">
        <v>27</v>
      </c>
      <c r="N1629" t="s">
        <v>21</v>
      </c>
      <c r="O1629" t="s">
        <v>71</v>
      </c>
      <c r="P1629" t="s">
        <v>36</v>
      </c>
      <c r="Q1629">
        <f>Table1[[#This Row],[Course_Fee_AED]]-Table1[[#This Row],[Amount_Paid_AED]]</f>
        <v>3617</v>
      </c>
      <c r="R1629">
        <f>Table1[[#This Row],[Course_Fee_AED]]-Table1[[#This Row],[pending Revenue]]</f>
        <v>1808</v>
      </c>
    </row>
    <row r="1630" spans="1:18" x14ac:dyDescent="0.25">
      <c r="A1630" t="s">
        <v>1707</v>
      </c>
      <c r="B1630" s="2">
        <v>45454</v>
      </c>
      <c r="C1630" t="s">
        <v>92</v>
      </c>
      <c r="D1630" t="s">
        <v>93</v>
      </c>
      <c r="E1630" t="s">
        <v>26</v>
      </c>
      <c r="F1630" s="5">
        <v>3</v>
      </c>
      <c r="G1630" s="5">
        <v>1</v>
      </c>
      <c r="H1630" s="5">
        <v>7086</v>
      </c>
      <c r="I1630" s="5">
        <v>1</v>
      </c>
      <c r="J1630" s="5">
        <v>2362</v>
      </c>
      <c r="K1630" t="s">
        <v>18</v>
      </c>
      <c r="L1630" t="s">
        <v>40</v>
      </c>
      <c r="M1630" t="s">
        <v>60</v>
      </c>
      <c r="N1630" t="s">
        <v>61</v>
      </c>
      <c r="O1630" t="s">
        <v>29</v>
      </c>
      <c r="P1630" t="s">
        <v>18</v>
      </c>
      <c r="Q1630">
        <f>Table1[[#This Row],[Course_Fee_AED]]-Table1[[#This Row],[Amount_Paid_AED]]</f>
        <v>4724</v>
      </c>
      <c r="R1630">
        <f>Table1[[#This Row],[Course_Fee_AED]]-Table1[[#This Row],[pending Revenue]]</f>
        <v>2362</v>
      </c>
    </row>
    <row r="1631" spans="1:18" x14ac:dyDescent="0.25">
      <c r="A1631" t="s">
        <v>1708</v>
      </c>
      <c r="B1631" s="2">
        <v>45521</v>
      </c>
      <c r="C1631" t="s">
        <v>51</v>
      </c>
      <c r="D1631" t="s">
        <v>52</v>
      </c>
      <c r="E1631" t="s">
        <v>17</v>
      </c>
      <c r="F1631" s="5">
        <v>6</v>
      </c>
      <c r="G1631" s="5">
        <v>1</v>
      </c>
      <c r="H1631" s="5">
        <v>5590</v>
      </c>
      <c r="I1631" s="5">
        <v>3</v>
      </c>
      <c r="J1631" s="5">
        <v>5589</v>
      </c>
      <c r="K1631" t="s">
        <v>18</v>
      </c>
      <c r="L1631" t="s">
        <v>40</v>
      </c>
      <c r="M1631" t="s">
        <v>63</v>
      </c>
      <c r="N1631" t="s">
        <v>42</v>
      </c>
      <c r="O1631" t="s">
        <v>64</v>
      </c>
      <c r="P1631" t="s">
        <v>36</v>
      </c>
      <c r="Q1631">
        <f>Table1[[#This Row],[Course_Fee_AED]]-Table1[[#This Row],[Amount_Paid_AED]]</f>
        <v>1</v>
      </c>
      <c r="R1631">
        <f>Table1[[#This Row],[Course_Fee_AED]]-Table1[[#This Row],[pending Revenue]]</f>
        <v>5589</v>
      </c>
    </row>
    <row r="1632" spans="1:18" x14ac:dyDescent="0.25">
      <c r="A1632" t="s">
        <v>1709</v>
      </c>
      <c r="B1632" s="2">
        <v>45519</v>
      </c>
      <c r="C1632" t="s">
        <v>38</v>
      </c>
      <c r="D1632" t="s">
        <v>39</v>
      </c>
      <c r="E1632" t="s">
        <v>17</v>
      </c>
      <c r="F1632" s="5">
        <v>6</v>
      </c>
      <c r="G1632" s="5">
        <v>1</v>
      </c>
      <c r="H1632" s="5">
        <v>4793</v>
      </c>
      <c r="I1632" s="5">
        <v>3</v>
      </c>
      <c r="J1632" s="5">
        <v>4791</v>
      </c>
      <c r="K1632" t="s">
        <v>18</v>
      </c>
      <c r="L1632" t="s">
        <v>57</v>
      </c>
      <c r="M1632" t="s">
        <v>41</v>
      </c>
      <c r="N1632" t="s">
        <v>95</v>
      </c>
      <c r="O1632" t="s">
        <v>64</v>
      </c>
      <c r="P1632" t="s">
        <v>36</v>
      </c>
      <c r="Q1632">
        <f>Table1[[#This Row],[Course_Fee_AED]]-Table1[[#This Row],[Amount_Paid_AED]]</f>
        <v>2</v>
      </c>
      <c r="R1632">
        <f>Table1[[#This Row],[Course_Fee_AED]]-Table1[[#This Row],[pending Revenue]]</f>
        <v>4791</v>
      </c>
    </row>
    <row r="1633" spans="1:18" x14ac:dyDescent="0.25">
      <c r="A1633" t="s">
        <v>1710</v>
      </c>
      <c r="B1633" s="2">
        <v>45305</v>
      </c>
      <c r="C1633" t="s">
        <v>38</v>
      </c>
      <c r="D1633" t="s">
        <v>39</v>
      </c>
      <c r="E1633" t="s">
        <v>26</v>
      </c>
      <c r="F1633" s="5">
        <v>3</v>
      </c>
      <c r="G1633" s="5">
        <v>1</v>
      </c>
      <c r="H1633" s="5">
        <v>4201</v>
      </c>
      <c r="I1633" s="5">
        <v>3</v>
      </c>
      <c r="J1633" s="5">
        <v>4200</v>
      </c>
      <c r="K1633" t="s">
        <v>18</v>
      </c>
      <c r="L1633" t="s">
        <v>40</v>
      </c>
      <c r="M1633" t="s">
        <v>20</v>
      </c>
      <c r="N1633" t="s">
        <v>61</v>
      </c>
      <c r="O1633" t="s">
        <v>64</v>
      </c>
      <c r="P1633" t="s">
        <v>18</v>
      </c>
      <c r="Q1633">
        <f>Table1[[#This Row],[Course_Fee_AED]]-Table1[[#This Row],[Amount_Paid_AED]]</f>
        <v>1</v>
      </c>
      <c r="R1633">
        <f>Table1[[#This Row],[Course_Fee_AED]]-Table1[[#This Row],[pending Revenue]]</f>
        <v>4200</v>
      </c>
    </row>
    <row r="1634" spans="1:18" x14ac:dyDescent="0.25">
      <c r="A1634" t="s">
        <v>1711</v>
      </c>
      <c r="B1634" s="2">
        <v>45594</v>
      </c>
      <c r="C1634" t="s">
        <v>113</v>
      </c>
      <c r="D1634" t="s">
        <v>93</v>
      </c>
      <c r="E1634" t="s">
        <v>17</v>
      </c>
      <c r="F1634" s="5">
        <v>6</v>
      </c>
      <c r="G1634" s="5">
        <v>1</v>
      </c>
      <c r="H1634" s="5">
        <v>3729</v>
      </c>
      <c r="I1634" s="5">
        <v>3</v>
      </c>
      <c r="J1634" s="5">
        <v>3729</v>
      </c>
      <c r="K1634" t="s">
        <v>33</v>
      </c>
      <c r="L1634" t="s">
        <v>57</v>
      </c>
      <c r="M1634" t="s">
        <v>63</v>
      </c>
      <c r="N1634" t="s">
        <v>86</v>
      </c>
      <c r="O1634" t="s">
        <v>87</v>
      </c>
      <c r="P1634" t="s">
        <v>18</v>
      </c>
      <c r="Q1634">
        <f>Table1[[#This Row],[Course_Fee_AED]]-Table1[[#This Row],[Amount_Paid_AED]]</f>
        <v>0</v>
      </c>
      <c r="R1634">
        <f>Table1[[#This Row],[Course_Fee_AED]]-Table1[[#This Row],[pending Revenue]]</f>
        <v>3729</v>
      </c>
    </row>
    <row r="1635" spans="1:18" x14ac:dyDescent="0.25">
      <c r="A1635" t="s">
        <v>1712</v>
      </c>
      <c r="B1635" s="2">
        <v>45333</v>
      </c>
      <c r="C1635" t="s">
        <v>113</v>
      </c>
      <c r="D1635" t="s">
        <v>93</v>
      </c>
      <c r="E1635" t="s">
        <v>26</v>
      </c>
      <c r="F1635" s="5">
        <v>3</v>
      </c>
      <c r="G1635" s="5">
        <v>1</v>
      </c>
      <c r="H1635" s="5">
        <v>4729</v>
      </c>
      <c r="I1635" s="5">
        <v>1</v>
      </c>
      <c r="J1635" s="5">
        <v>1576</v>
      </c>
      <c r="K1635" t="s">
        <v>18</v>
      </c>
      <c r="L1635" t="s">
        <v>40</v>
      </c>
      <c r="M1635" t="s">
        <v>20</v>
      </c>
      <c r="N1635" t="s">
        <v>95</v>
      </c>
      <c r="O1635" t="s">
        <v>87</v>
      </c>
      <c r="P1635" t="s">
        <v>36</v>
      </c>
      <c r="Q1635">
        <f>Table1[[#This Row],[Course_Fee_AED]]-Table1[[#This Row],[Amount_Paid_AED]]</f>
        <v>3153</v>
      </c>
      <c r="R1635">
        <f>Table1[[#This Row],[Course_Fee_AED]]-Table1[[#This Row],[pending Revenue]]</f>
        <v>1576</v>
      </c>
    </row>
    <row r="1636" spans="1:18" x14ac:dyDescent="0.25">
      <c r="A1636" t="s">
        <v>1713</v>
      </c>
      <c r="B1636" s="2">
        <v>45337</v>
      </c>
      <c r="C1636" t="s">
        <v>66</v>
      </c>
      <c r="D1636" t="s">
        <v>56</v>
      </c>
      <c r="E1636" t="s">
        <v>26</v>
      </c>
      <c r="F1636" s="5">
        <v>3</v>
      </c>
      <c r="G1636" s="5">
        <v>1</v>
      </c>
      <c r="H1636" s="5">
        <v>9379</v>
      </c>
      <c r="I1636" s="5">
        <v>1</v>
      </c>
      <c r="J1636" s="5">
        <v>3126</v>
      </c>
      <c r="K1636" t="s">
        <v>18</v>
      </c>
      <c r="L1636" t="s">
        <v>19</v>
      </c>
      <c r="M1636" t="s">
        <v>20</v>
      </c>
      <c r="N1636" t="s">
        <v>79</v>
      </c>
      <c r="O1636" t="s">
        <v>22</v>
      </c>
      <c r="P1636" t="s">
        <v>36</v>
      </c>
      <c r="Q1636">
        <f>Table1[[#This Row],[Course_Fee_AED]]-Table1[[#This Row],[Amount_Paid_AED]]</f>
        <v>6253</v>
      </c>
      <c r="R1636">
        <f>Table1[[#This Row],[Course_Fee_AED]]-Table1[[#This Row],[pending Revenue]]</f>
        <v>3126</v>
      </c>
    </row>
    <row r="1637" spans="1:18" x14ac:dyDescent="0.25">
      <c r="A1637" t="s">
        <v>1714</v>
      </c>
      <c r="B1637" s="2">
        <v>45642</v>
      </c>
      <c r="C1637" t="s">
        <v>92</v>
      </c>
      <c r="D1637" t="s">
        <v>93</v>
      </c>
      <c r="E1637" t="s">
        <v>17</v>
      </c>
      <c r="F1637" s="5">
        <v>6</v>
      </c>
      <c r="G1637" s="5">
        <v>1</v>
      </c>
      <c r="H1637" s="5">
        <v>5142</v>
      </c>
      <c r="I1637" s="5">
        <v>1</v>
      </c>
      <c r="J1637" s="5">
        <v>1714</v>
      </c>
      <c r="K1637" t="s">
        <v>18</v>
      </c>
      <c r="L1637" t="s">
        <v>57</v>
      </c>
      <c r="M1637" t="s">
        <v>27</v>
      </c>
      <c r="N1637" t="s">
        <v>48</v>
      </c>
      <c r="O1637" t="s">
        <v>35</v>
      </c>
      <c r="P1637" t="s">
        <v>18</v>
      </c>
      <c r="Q1637">
        <f>Table1[[#This Row],[Course_Fee_AED]]-Table1[[#This Row],[Amount_Paid_AED]]</f>
        <v>3428</v>
      </c>
      <c r="R1637">
        <f>Table1[[#This Row],[Course_Fee_AED]]-Table1[[#This Row],[pending Revenue]]</f>
        <v>1714</v>
      </c>
    </row>
    <row r="1638" spans="1:18" x14ac:dyDescent="0.25">
      <c r="A1638" t="s">
        <v>1715</v>
      </c>
      <c r="B1638" s="2">
        <v>45643</v>
      </c>
      <c r="C1638" t="s">
        <v>55</v>
      </c>
      <c r="D1638" t="s">
        <v>56</v>
      </c>
      <c r="E1638" t="s">
        <v>17</v>
      </c>
      <c r="F1638" s="5">
        <v>6</v>
      </c>
      <c r="G1638" s="5">
        <v>1</v>
      </c>
      <c r="H1638" s="5">
        <v>9366</v>
      </c>
      <c r="I1638" s="5">
        <v>1</v>
      </c>
      <c r="J1638" s="5">
        <v>3122</v>
      </c>
      <c r="K1638" t="s">
        <v>18</v>
      </c>
      <c r="L1638" t="s">
        <v>40</v>
      </c>
      <c r="M1638" t="s">
        <v>47</v>
      </c>
      <c r="N1638" t="s">
        <v>90</v>
      </c>
      <c r="O1638" t="s">
        <v>71</v>
      </c>
      <c r="P1638" t="s">
        <v>18</v>
      </c>
      <c r="Q1638">
        <f>Table1[[#This Row],[Course_Fee_AED]]-Table1[[#This Row],[Amount_Paid_AED]]</f>
        <v>6244</v>
      </c>
      <c r="R1638">
        <f>Table1[[#This Row],[Course_Fee_AED]]-Table1[[#This Row],[pending Revenue]]</f>
        <v>3122</v>
      </c>
    </row>
    <row r="1639" spans="1:18" x14ac:dyDescent="0.25">
      <c r="A1639" t="s">
        <v>1716</v>
      </c>
      <c r="B1639" s="2">
        <v>45403</v>
      </c>
      <c r="C1639" t="s">
        <v>75</v>
      </c>
      <c r="D1639" t="s">
        <v>76</v>
      </c>
      <c r="E1639" t="s">
        <v>17</v>
      </c>
      <c r="F1639" s="5">
        <v>6</v>
      </c>
      <c r="G1639" s="5">
        <v>1</v>
      </c>
      <c r="H1639" s="5">
        <v>9464</v>
      </c>
      <c r="I1639" s="5">
        <v>3</v>
      </c>
      <c r="J1639" s="5">
        <v>9462</v>
      </c>
      <c r="K1639" t="s">
        <v>18</v>
      </c>
      <c r="L1639" t="s">
        <v>40</v>
      </c>
      <c r="M1639" t="s">
        <v>41</v>
      </c>
      <c r="N1639" t="s">
        <v>42</v>
      </c>
      <c r="O1639" t="s">
        <v>49</v>
      </c>
      <c r="P1639" t="s">
        <v>18</v>
      </c>
      <c r="Q1639">
        <f>Table1[[#This Row],[Course_Fee_AED]]-Table1[[#This Row],[Amount_Paid_AED]]</f>
        <v>2</v>
      </c>
      <c r="R1639">
        <f>Table1[[#This Row],[Course_Fee_AED]]-Table1[[#This Row],[pending Revenue]]</f>
        <v>9462</v>
      </c>
    </row>
    <row r="1640" spans="1:18" x14ac:dyDescent="0.25">
      <c r="A1640" t="s">
        <v>1717</v>
      </c>
      <c r="B1640" s="2">
        <v>45612</v>
      </c>
      <c r="C1640" t="s">
        <v>45</v>
      </c>
      <c r="D1640" t="s">
        <v>46</v>
      </c>
      <c r="E1640" t="s">
        <v>26</v>
      </c>
      <c r="F1640" s="5">
        <v>3</v>
      </c>
      <c r="G1640" s="5">
        <v>1</v>
      </c>
      <c r="H1640" s="5">
        <v>6572</v>
      </c>
      <c r="I1640" s="5">
        <v>1</v>
      </c>
      <c r="J1640" s="5">
        <v>2190</v>
      </c>
      <c r="K1640" t="s">
        <v>18</v>
      </c>
      <c r="L1640" t="s">
        <v>57</v>
      </c>
      <c r="M1640" t="s">
        <v>20</v>
      </c>
      <c r="N1640" t="s">
        <v>70</v>
      </c>
      <c r="O1640" t="s">
        <v>64</v>
      </c>
      <c r="P1640" t="s">
        <v>36</v>
      </c>
      <c r="Q1640">
        <f>Table1[[#This Row],[Course_Fee_AED]]-Table1[[#This Row],[Amount_Paid_AED]]</f>
        <v>4382</v>
      </c>
      <c r="R1640">
        <f>Table1[[#This Row],[Course_Fee_AED]]-Table1[[#This Row],[pending Revenue]]</f>
        <v>2190</v>
      </c>
    </row>
    <row r="1641" spans="1:18" x14ac:dyDescent="0.25">
      <c r="A1641" t="s">
        <v>1718</v>
      </c>
      <c r="B1641" s="2">
        <v>45587</v>
      </c>
      <c r="C1641" t="s">
        <v>92</v>
      </c>
      <c r="D1641" t="s">
        <v>93</v>
      </c>
      <c r="E1641" t="s">
        <v>26</v>
      </c>
      <c r="F1641" s="5">
        <v>3</v>
      </c>
      <c r="G1641" s="5">
        <v>1</v>
      </c>
      <c r="H1641" s="5">
        <v>7516</v>
      </c>
      <c r="I1641" s="5">
        <v>2</v>
      </c>
      <c r="J1641" s="5">
        <v>5010</v>
      </c>
      <c r="K1641" t="s">
        <v>18</v>
      </c>
      <c r="L1641" t="s">
        <v>19</v>
      </c>
      <c r="M1641" t="s">
        <v>41</v>
      </c>
      <c r="N1641" t="s">
        <v>70</v>
      </c>
      <c r="O1641" t="s">
        <v>35</v>
      </c>
      <c r="P1641" t="s">
        <v>18</v>
      </c>
      <c r="Q1641">
        <f>Table1[[#This Row],[Course_Fee_AED]]-Table1[[#This Row],[Amount_Paid_AED]]</f>
        <v>2506</v>
      </c>
      <c r="R1641">
        <f>Table1[[#This Row],[Course_Fee_AED]]-Table1[[#This Row],[pending Revenue]]</f>
        <v>5010</v>
      </c>
    </row>
    <row r="1642" spans="1:18" x14ac:dyDescent="0.25">
      <c r="A1642" t="s">
        <v>1719</v>
      </c>
      <c r="B1642" s="2">
        <v>45339</v>
      </c>
      <c r="C1642" t="s">
        <v>15</v>
      </c>
      <c r="D1642" t="s">
        <v>16</v>
      </c>
      <c r="E1642" t="s">
        <v>17</v>
      </c>
      <c r="F1642" s="5">
        <v>6</v>
      </c>
      <c r="G1642" s="5">
        <v>1</v>
      </c>
      <c r="H1642" s="5">
        <v>5970</v>
      </c>
      <c r="I1642" s="5">
        <v>3</v>
      </c>
      <c r="J1642" s="5">
        <v>5970</v>
      </c>
      <c r="K1642" t="s">
        <v>33</v>
      </c>
      <c r="L1642" t="s">
        <v>19</v>
      </c>
      <c r="M1642" t="s">
        <v>20</v>
      </c>
      <c r="N1642" t="s">
        <v>86</v>
      </c>
      <c r="O1642" t="s">
        <v>49</v>
      </c>
      <c r="P1642" t="s">
        <v>36</v>
      </c>
      <c r="Q1642">
        <f>Table1[[#This Row],[Course_Fee_AED]]-Table1[[#This Row],[Amount_Paid_AED]]</f>
        <v>0</v>
      </c>
      <c r="R1642">
        <f>Table1[[#This Row],[Course_Fee_AED]]-Table1[[#This Row],[pending Revenue]]</f>
        <v>5970</v>
      </c>
    </row>
    <row r="1643" spans="1:18" x14ac:dyDescent="0.25">
      <c r="A1643" t="s">
        <v>1720</v>
      </c>
      <c r="B1643" s="2">
        <v>45598</v>
      </c>
      <c r="C1643" t="s">
        <v>31</v>
      </c>
      <c r="D1643" t="s">
        <v>32</v>
      </c>
      <c r="E1643" t="s">
        <v>26</v>
      </c>
      <c r="F1643" s="5">
        <v>3</v>
      </c>
      <c r="G1643" s="5">
        <v>1</v>
      </c>
      <c r="H1643" s="5">
        <v>7408</v>
      </c>
      <c r="I1643" s="5">
        <v>1</v>
      </c>
      <c r="J1643" s="5">
        <v>2469</v>
      </c>
      <c r="K1643" t="s">
        <v>18</v>
      </c>
      <c r="L1643" t="s">
        <v>57</v>
      </c>
      <c r="M1643" t="s">
        <v>60</v>
      </c>
      <c r="N1643" t="s">
        <v>86</v>
      </c>
      <c r="O1643" t="s">
        <v>22</v>
      </c>
      <c r="P1643" t="s">
        <v>36</v>
      </c>
      <c r="Q1643">
        <f>Table1[[#This Row],[Course_Fee_AED]]-Table1[[#This Row],[Amount_Paid_AED]]</f>
        <v>4939</v>
      </c>
      <c r="R1643">
        <f>Table1[[#This Row],[Course_Fee_AED]]-Table1[[#This Row],[pending Revenue]]</f>
        <v>2469</v>
      </c>
    </row>
    <row r="1644" spans="1:18" x14ac:dyDescent="0.25">
      <c r="A1644" t="s">
        <v>1721</v>
      </c>
      <c r="B1644" s="2">
        <v>45617</v>
      </c>
      <c r="C1644" t="s">
        <v>106</v>
      </c>
      <c r="D1644" t="s">
        <v>107</v>
      </c>
      <c r="E1644" t="s">
        <v>17</v>
      </c>
      <c r="F1644" s="5">
        <v>6</v>
      </c>
      <c r="G1644" s="5">
        <v>1</v>
      </c>
      <c r="H1644" s="5">
        <v>5899</v>
      </c>
      <c r="I1644" s="5">
        <v>3</v>
      </c>
      <c r="J1644" s="5">
        <v>5898</v>
      </c>
      <c r="K1644" t="s">
        <v>18</v>
      </c>
      <c r="L1644" t="s">
        <v>57</v>
      </c>
      <c r="M1644" t="s">
        <v>41</v>
      </c>
      <c r="N1644" t="s">
        <v>70</v>
      </c>
      <c r="O1644" t="s">
        <v>68</v>
      </c>
      <c r="P1644" t="s">
        <v>36</v>
      </c>
      <c r="Q1644">
        <f>Table1[[#This Row],[Course_Fee_AED]]-Table1[[#This Row],[Amount_Paid_AED]]</f>
        <v>1</v>
      </c>
      <c r="R1644">
        <f>Table1[[#This Row],[Course_Fee_AED]]-Table1[[#This Row],[pending Revenue]]</f>
        <v>5898</v>
      </c>
    </row>
    <row r="1645" spans="1:18" x14ac:dyDescent="0.25">
      <c r="A1645" t="s">
        <v>1722</v>
      </c>
      <c r="B1645" s="2">
        <v>45518</v>
      </c>
      <c r="C1645" t="s">
        <v>92</v>
      </c>
      <c r="D1645" t="s">
        <v>93</v>
      </c>
      <c r="E1645" t="s">
        <v>17</v>
      </c>
      <c r="F1645" s="5">
        <v>6</v>
      </c>
      <c r="G1645" s="5">
        <v>1</v>
      </c>
      <c r="H1645" s="5">
        <v>5471</v>
      </c>
      <c r="I1645" s="5">
        <v>3</v>
      </c>
      <c r="J1645" s="5">
        <v>5469</v>
      </c>
      <c r="K1645" t="s">
        <v>18</v>
      </c>
      <c r="L1645" t="s">
        <v>19</v>
      </c>
      <c r="M1645" t="s">
        <v>41</v>
      </c>
      <c r="N1645" t="s">
        <v>48</v>
      </c>
      <c r="O1645" t="s">
        <v>22</v>
      </c>
      <c r="P1645" t="s">
        <v>18</v>
      </c>
      <c r="Q1645">
        <f>Table1[[#This Row],[Course_Fee_AED]]-Table1[[#This Row],[Amount_Paid_AED]]</f>
        <v>2</v>
      </c>
      <c r="R1645">
        <f>Table1[[#This Row],[Course_Fee_AED]]-Table1[[#This Row],[pending Revenue]]</f>
        <v>5469</v>
      </c>
    </row>
    <row r="1646" spans="1:18" x14ac:dyDescent="0.25">
      <c r="A1646" t="s">
        <v>1723</v>
      </c>
      <c r="B1646" s="2">
        <v>45607</v>
      </c>
      <c r="C1646" t="s">
        <v>92</v>
      </c>
      <c r="D1646" t="s">
        <v>93</v>
      </c>
      <c r="E1646" t="s">
        <v>26</v>
      </c>
      <c r="F1646" s="5">
        <v>3</v>
      </c>
      <c r="G1646" s="5">
        <v>1</v>
      </c>
      <c r="H1646" s="5">
        <v>7067</v>
      </c>
      <c r="I1646" s="5">
        <v>3</v>
      </c>
      <c r="J1646" s="5">
        <v>7065</v>
      </c>
      <c r="K1646" t="s">
        <v>18</v>
      </c>
      <c r="L1646" t="s">
        <v>57</v>
      </c>
      <c r="M1646" t="s">
        <v>27</v>
      </c>
      <c r="N1646" t="s">
        <v>154</v>
      </c>
      <c r="O1646" t="s">
        <v>43</v>
      </c>
      <c r="P1646" t="s">
        <v>18</v>
      </c>
      <c r="Q1646">
        <f>Table1[[#This Row],[Course_Fee_AED]]-Table1[[#This Row],[Amount_Paid_AED]]</f>
        <v>2</v>
      </c>
      <c r="R1646">
        <f>Table1[[#This Row],[Course_Fee_AED]]-Table1[[#This Row],[pending Revenue]]</f>
        <v>7065</v>
      </c>
    </row>
    <row r="1647" spans="1:18" x14ac:dyDescent="0.25">
      <c r="A1647" t="s">
        <v>1724</v>
      </c>
      <c r="B1647" s="2">
        <v>45449</v>
      </c>
      <c r="C1647" t="s">
        <v>92</v>
      </c>
      <c r="D1647" t="s">
        <v>93</v>
      </c>
      <c r="E1647" t="s">
        <v>17</v>
      </c>
      <c r="F1647" s="5">
        <v>6</v>
      </c>
      <c r="G1647" s="5">
        <v>1</v>
      </c>
      <c r="H1647" s="5">
        <v>7407</v>
      </c>
      <c r="I1647" s="5">
        <v>1</v>
      </c>
      <c r="J1647" s="5">
        <v>2469</v>
      </c>
      <c r="K1647" t="s">
        <v>18</v>
      </c>
      <c r="L1647" t="s">
        <v>19</v>
      </c>
      <c r="M1647" t="s">
        <v>63</v>
      </c>
      <c r="N1647" t="s">
        <v>28</v>
      </c>
      <c r="O1647" t="s">
        <v>22</v>
      </c>
      <c r="P1647" t="s">
        <v>36</v>
      </c>
      <c r="Q1647">
        <f>Table1[[#This Row],[Course_Fee_AED]]-Table1[[#This Row],[Amount_Paid_AED]]</f>
        <v>4938</v>
      </c>
      <c r="R1647">
        <f>Table1[[#This Row],[Course_Fee_AED]]-Table1[[#This Row],[pending Revenue]]</f>
        <v>2469</v>
      </c>
    </row>
    <row r="1648" spans="1:18" x14ac:dyDescent="0.25">
      <c r="A1648" t="s">
        <v>1725</v>
      </c>
      <c r="B1648" s="2">
        <v>45519</v>
      </c>
      <c r="C1648" t="s">
        <v>75</v>
      </c>
      <c r="D1648" t="s">
        <v>76</v>
      </c>
      <c r="E1648" t="s">
        <v>17</v>
      </c>
      <c r="F1648" s="5">
        <v>6</v>
      </c>
      <c r="G1648" s="5">
        <v>1</v>
      </c>
      <c r="H1648" s="5">
        <v>10115</v>
      </c>
      <c r="I1648" s="5">
        <v>2</v>
      </c>
      <c r="J1648" s="5">
        <v>6742</v>
      </c>
      <c r="K1648" t="s">
        <v>18</v>
      </c>
      <c r="L1648" t="s">
        <v>40</v>
      </c>
      <c r="M1648" t="s">
        <v>20</v>
      </c>
      <c r="N1648" t="s">
        <v>154</v>
      </c>
      <c r="O1648" t="s">
        <v>71</v>
      </c>
      <c r="P1648" t="s">
        <v>36</v>
      </c>
      <c r="Q1648">
        <f>Table1[[#This Row],[Course_Fee_AED]]-Table1[[#This Row],[Amount_Paid_AED]]</f>
        <v>3373</v>
      </c>
      <c r="R1648">
        <f>Table1[[#This Row],[Course_Fee_AED]]-Table1[[#This Row],[pending Revenue]]</f>
        <v>6742</v>
      </c>
    </row>
    <row r="1649" spans="1:18" x14ac:dyDescent="0.25">
      <c r="A1649" t="s">
        <v>1726</v>
      </c>
      <c r="B1649" s="2">
        <v>45605</v>
      </c>
      <c r="C1649" t="s">
        <v>38</v>
      </c>
      <c r="D1649" t="s">
        <v>39</v>
      </c>
      <c r="E1649" t="s">
        <v>17</v>
      </c>
      <c r="F1649" s="5">
        <v>6</v>
      </c>
      <c r="G1649" s="5">
        <v>1</v>
      </c>
      <c r="H1649" s="5">
        <v>7371</v>
      </c>
      <c r="I1649" s="5">
        <v>1</v>
      </c>
      <c r="J1649" s="5">
        <v>2457</v>
      </c>
      <c r="K1649" t="s">
        <v>18</v>
      </c>
      <c r="L1649" t="s">
        <v>40</v>
      </c>
      <c r="M1649" t="s">
        <v>20</v>
      </c>
      <c r="N1649" t="s">
        <v>95</v>
      </c>
      <c r="O1649" t="s">
        <v>43</v>
      </c>
      <c r="P1649" t="s">
        <v>18</v>
      </c>
      <c r="Q1649">
        <f>Table1[[#This Row],[Course_Fee_AED]]-Table1[[#This Row],[Amount_Paid_AED]]</f>
        <v>4914</v>
      </c>
      <c r="R1649">
        <f>Table1[[#This Row],[Course_Fee_AED]]-Table1[[#This Row],[pending Revenue]]</f>
        <v>2457</v>
      </c>
    </row>
    <row r="1650" spans="1:18" x14ac:dyDescent="0.25">
      <c r="A1650" t="s">
        <v>1727</v>
      </c>
      <c r="B1650" s="2">
        <v>45307</v>
      </c>
      <c r="C1650" t="s">
        <v>82</v>
      </c>
      <c r="D1650" t="s">
        <v>83</v>
      </c>
      <c r="E1650" t="s">
        <v>17</v>
      </c>
      <c r="F1650" s="5">
        <v>6</v>
      </c>
      <c r="G1650" s="5">
        <v>1</v>
      </c>
      <c r="H1650" s="5">
        <v>10356</v>
      </c>
      <c r="I1650" s="5">
        <v>3</v>
      </c>
      <c r="J1650" s="5">
        <v>10356</v>
      </c>
      <c r="K1650" t="s">
        <v>33</v>
      </c>
      <c r="L1650" t="s">
        <v>57</v>
      </c>
      <c r="M1650" t="s">
        <v>47</v>
      </c>
      <c r="N1650" t="s">
        <v>42</v>
      </c>
      <c r="O1650" t="s">
        <v>64</v>
      </c>
      <c r="P1650" t="s">
        <v>36</v>
      </c>
      <c r="Q1650">
        <f>Table1[[#This Row],[Course_Fee_AED]]-Table1[[#This Row],[Amount_Paid_AED]]</f>
        <v>0</v>
      </c>
      <c r="R1650">
        <f>Table1[[#This Row],[Course_Fee_AED]]-Table1[[#This Row],[pending Revenue]]</f>
        <v>10356</v>
      </c>
    </row>
    <row r="1651" spans="1:18" x14ac:dyDescent="0.25">
      <c r="A1651" t="s">
        <v>1728</v>
      </c>
      <c r="B1651" s="2">
        <v>45445</v>
      </c>
      <c r="C1651" t="s">
        <v>113</v>
      </c>
      <c r="D1651" t="s">
        <v>93</v>
      </c>
      <c r="E1651" t="s">
        <v>26</v>
      </c>
      <c r="F1651" s="5">
        <v>3</v>
      </c>
      <c r="G1651" s="5">
        <v>1</v>
      </c>
      <c r="H1651" s="5">
        <v>4873</v>
      </c>
      <c r="I1651" s="5">
        <v>1</v>
      </c>
      <c r="J1651" s="5">
        <v>1624</v>
      </c>
      <c r="K1651" t="s">
        <v>18</v>
      </c>
      <c r="L1651" t="s">
        <v>19</v>
      </c>
      <c r="M1651" t="s">
        <v>27</v>
      </c>
      <c r="N1651" t="s">
        <v>48</v>
      </c>
      <c r="O1651" t="s">
        <v>35</v>
      </c>
      <c r="P1651" t="s">
        <v>36</v>
      </c>
      <c r="Q1651">
        <f>Table1[[#This Row],[Course_Fee_AED]]-Table1[[#This Row],[Amount_Paid_AED]]</f>
        <v>3249</v>
      </c>
      <c r="R1651">
        <f>Table1[[#This Row],[Course_Fee_AED]]-Table1[[#This Row],[pending Revenue]]</f>
        <v>1624</v>
      </c>
    </row>
    <row r="1652" spans="1:18" x14ac:dyDescent="0.25">
      <c r="A1652" t="s">
        <v>1729</v>
      </c>
      <c r="B1652" s="2">
        <v>45439</v>
      </c>
      <c r="C1652" t="s">
        <v>75</v>
      </c>
      <c r="D1652" t="s">
        <v>76</v>
      </c>
      <c r="E1652" t="s">
        <v>26</v>
      </c>
      <c r="F1652" s="5">
        <v>3</v>
      </c>
      <c r="G1652" s="5">
        <v>1</v>
      </c>
      <c r="H1652" s="5">
        <v>9954</v>
      </c>
      <c r="I1652" s="5">
        <v>2</v>
      </c>
      <c r="J1652" s="5">
        <v>6636</v>
      </c>
      <c r="K1652" t="s">
        <v>18</v>
      </c>
      <c r="L1652" t="s">
        <v>57</v>
      </c>
      <c r="M1652" t="s">
        <v>20</v>
      </c>
      <c r="N1652" t="s">
        <v>73</v>
      </c>
      <c r="O1652" t="s">
        <v>71</v>
      </c>
      <c r="P1652" t="s">
        <v>36</v>
      </c>
      <c r="Q1652">
        <f>Table1[[#This Row],[Course_Fee_AED]]-Table1[[#This Row],[Amount_Paid_AED]]</f>
        <v>3318</v>
      </c>
      <c r="R1652">
        <f>Table1[[#This Row],[Course_Fee_AED]]-Table1[[#This Row],[pending Revenue]]</f>
        <v>6636</v>
      </c>
    </row>
    <row r="1653" spans="1:18" x14ac:dyDescent="0.25">
      <c r="A1653" t="s">
        <v>1730</v>
      </c>
      <c r="B1653" s="2">
        <v>45656</v>
      </c>
      <c r="C1653" t="s">
        <v>82</v>
      </c>
      <c r="D1653" t="s">
        <v>83</v>
      </c>
      <c r="E1653" t="s">
        <v>17</v>
      </c>
      <c r="F1653" s="5">
        <v>6</v>
      </c>
      <c r="G1653" s="5">
        <v>1</v>
      </c>
      <c r="H1653" s="5">
        <v>12344</v>
      </c>
      <c r="I1653" s="5">
        <v>2</v>
      </c>
      <c r="J1653" s="5">
        <v>8228</v>
      </c>
      <c r="K1653" t="s">
        <v>18</v>
      </c>
      <c r="L1653" t="s">
        <v>57</v>
      </c>
      <c r="M1653" t="s">
        <v>41</v>
      </c>
      <c r="N1653" t="s">
        <v>21</v>
      </c>
      <c r="O1653" t="s">
        <v>35</v>
      </c>
      <c r="P1653" t="s">
        <v>18</v>
      </c>
      <c r="Q1653">
        <f>Table1[[#This Row],[Course_Fee_AED]]-Table1[[#This Row],[Amount_Paid_AED]]</f>
        <v>4116</v>
      </c>
      <c r="R1653">
        <f>Table1[[#This Row],[Course_Fee_AED]]-Table1[[#This Row],[pending Revenue]]</f>
        <v>8228</v>
      </c>
    </row>
    <row r="1654" spans="1:18" x14ac:dyDescent="0.25">
      <c r="A1654" t="s">
        <v>1731</v>
      </c>
      <c r="B1654" s="2">
        <v>45564</v>
      </c>
      <c r="C1654" t="s">
        <v>66</v>
      </c>
      <c r="D1654" t="s">
        <v>56</v>
      </c>
      <c r="E1654" t="s">
        <v>26</v>
      </c>
      <c r="F1654" s="5">
        <v>3</v>
      </c>
      <c r="G1654" s="5">
        <v>1</v>
      </c>
      <c r="H1654" s="5">
        <v>7377</v>
      </c>
      <c r="I1654" s="5">
        <v>1</v>
      </c>
      <c r="J1654" s="5">
        <v>2459</v>
      </c>
      <c r="K1654" t="s">
        <v>18</v>
      </c>
      <c r="L1654" t="s">
        <v>57</v>
      </c>
      <c r="M1654" t="s">
        <v>63</v>
      </c>
      <c r="N1654" t="s">
        <v>90</v>
      </c>
      <c r="O1654" t="s">
        <v>71</v>
      </c>
      <c r="P1654" t="s">
        <v>36</v>
      </c>
      <c r="Q1654">
        <f>Table1[[#This Row],[Course_Fee_AED]]-Table1[[#This Row],[Amount_Paid_AED]]</f>
        <v>4918</v>
      </c>
      <c r="R1654">
        <f>Table1[[#This Row],[Course_Fee_AED]]-Table1[[#This Row],[pending Revenue]]</f>
        <v>2459</v>
      </c>
    </row>
    <row r="1655" spans="1:18" x14ac:dyDescent="0.25">
      <c r="A1655" t="s">
        <v>1732</v>
      </c>
      <c r="B1655" s="2">
        <v>45483</v>
      </c>
      <c r="C1655" t="s">
        <v>51</v>
      </c>
      <c r="D1655" t="s">
        <v>52</v>
      </c>
      <c r="E1655" t="s">
        <v>26</v>
      </c>
      <c r="F1655" s="5">
        <v>3</v>
      </c>
      <c r="G1655" s="5">
        <v>1</v>
      </c>
      <c r="H1655" s="5">
        <v>5218</v>
      </c>
      <c r="I1655" s="5">
        <v>2</v>
      </c>
      <c r="J1655" s="5">
        <v>3478</v>
      </c>
      <c r="K1655" t="s">
        <v>18</v>
      </c>
      <c r="L1655" t="s">
        <v>57</v>
      </c>
      <c r="M1655" t="s">
        <v>20</v>
      </c>
      <c r="N1655" t="s">
        <v>86</v>
      </c>
      <c r="O1655" t="s">
        <v>35</v>
      </c>
      <c r="P1655" t="s">
        <v>18</v>
      </c>
      <c r="Q1655">
        <f>Table1[[#This Row],[Course_Fee_AED]]-Table1[[#This Row],[Amount_Paid_AED]]</f>
        <v>1740</v>
      </c>
      <c r="R1655">
        <f>Table1[[#This Row],[Course_Fee_AED]]-Table1[[#This Row],[pending Revenue]]</f>
        <v>3478</v>
      </c>
    </row>
    <row r="1656" spans="1:18" x14ac:dyDescent="0.25">
      <c r="A1656" t="s">
        <v>1733</v>
      </c>
      <c r="B1656" s="2">
        <v>45611</v>
      </c>
      <c r="C1656" t="s">
        <v>55</v>
      </c>
      <c r="D1656" t="s">
        <v>56</v>
      </c>
      <c r="E1656" t="s">
        <v>26</v>
      </c>
      <c r="F1656" s="5">
        <v>3</v>
      </c>
      <c r="G1656" s="5">
        <v>1</v>
      </c>
      <c r="H1656" s="5">
        <v>9237</v>
      </c>
      <c r="I1656" s="5">
        <v>3</v>
      </c>
      <c r="J1656" s="5">
        <v>9237</v>
      </c>
      <c r="K1656" t="s">
        <v>33</v>
      </c>
      <c r="L1656" t="s">
        <v>19</v>
      </c>
      <c r="M1656" t="s">
        <v>47</v>
      </c>
      <c r="N1656" t="s">
        <v>90</v>
      </c>
      <c r="O1656" t="s">
        <v>71</v>
      </c>
      <c r="P1656" t="s">
        <v>18</v>
      </c>
      <c r="Q1656">
        <f>Table1[[#This Row],[Course_Fee_AED]]-Table1[[#This Row],[Amount_Paid_AED]]</f>
        <v>0</v>
      </c>
      <c r="R1656">
        <f>Table1[[#This Row],[Course_Fee_AED]]-Table1[[#This Row],[pending Revenue]]</f>
        <v>9237</v>
      </c>
    </row>
    <row r="1657" spans="1:18" x14ac:dyDescent="0.25">
      <c r="A1657" t="s">
        <v>1734</v>
      </c>
      <c r="B1657" s="2">
        <v>45350</v>
      </c>
      <c r="C1657" t="s">
        <v>82</v>
      </c>
      <c r="D1657" t="s">
        <v>83</v>
      </c>
      <c r="E1657" t="s">
        <v>26</v>
      </c>
      <c r="F1657" s="5">
        <v>3</v>
      </c>
      <c r="G1657" s="5">
        <v>1</v>
      </c>
      <c r="H1657" s="5">
        <v>10338</v>
      </c>
      <c r="I1657" s="5">
        <v>2</v>
      </c>
      <c r="J1657" s="5">
        <v>6892</v>
      </c>
      <c r="K1657" t="s">
        <v>18</v>
      </c>
      <c r="L1657" t="s">
        <v>57</v>
      </c>
      <c r="M1657" t="s">
        <v>63</v>
      </c>
      <c r="N1657" t="s">
        <v>70</v>
      </c>
      <c r="O1657" t="s">
        <v>87</v>
      </c>
      <c r="P1657" t="s">
        <v>36</v>
      </c>
      <c r="Q1657">
        <f>Table1[[#This Row],[Course_Fee_AED]]-Table1[[#This Row],[Amount_Paid_AED]]</f>
        <v>3446</v>
      </c>
      <c r="R1657">
        <f>Table1[[#This Row],[Course_Fee_AED]]-Table1[[#This Row],[pending Revenue]]</f>
        <v>6892</v>
      </c>
    </row>
    <row r="1658" spans="1:18" x14ac:dyDescent="0.25">
      <c r="A1658" t="s">
        <v>1735</v>
      </c>
      <c r="B1658" s="2">
        <v>45316</v>
      </c>
      <c r="C1658" t="s">
        <v>24</v>
      </c>
      <c r="D1658" t="s">
        <v>25</v>
      </c>
      <c r="E1658" t="s">
        <v>26</v>
      </c>
      <c r="F1658" s="5">
        <v>3</v>
      </c>
      <c r="G1658" s="5">
        <v>1</v>
      </c>
      <c r="H1658" s="5">
        <v>5529</v>
      </c>
      <c r="I1658" s="5">
        <v>1</v>
      </c>
      <c r="J1658" s="5">
        <v>1843</v>
      </c>
      <c r="K1658" t="s">
        <v>18</v>
      </c>
      <c r="L1658" t="s">
        <v>19</v>
      </c>
      <c r="M1658" t="s">
        <v>41</v>
      </c>
      <c r="N1658" t="s">
        <v>90</v>
      </c>
      <c r="O1658" t="s">
        <v>22</v>
      </c>
      <c r="P1658" t="s">
        <v>36</v>
      </c>
      <c r="Q1658">
        <f>Table1[[#This Row],[Course_Fee_AED]]-Table1[[#This Row],[Amount_Paid_AED]]</f>
        <v>3686</v>
      </c>
      <c r="R1658">
        <f>Table1[[#This Row],[Course_Fee_AED]]-Table1[[#This Row],[pending Revenue]]</f>
        <v>1843</v>
      </c>
    </row>
    <row r="1659" spans="1:18" x14ac:dyDescent="0.25">
      <c r="A1659" t="s">
        <v>1736</v>
      </c>
      <c r="B1659" s="2">
        <v>45418</v>
      </c>
      <c r="C1659" t="s">
        <v>113</v>
      </c>
      <c r="D1659" t="s">
        <v>93</v>
      </c>
      <c r="E1659" t="s">
        <v>26</v>
      </c>
      <c r="F1659" s="5">
        <v>3</v>
      </c>
      <c r="G1659" s="5">
        <v>1</v>
      </c>
      <c r="H1659" s="5">
        <v>4466</v>
      </c>
      <c r="I1659" s="5">
        <v>2</v>
      </c>
      <c r="J1659" s="5">
        <v>2976</v>
      </c>
      <c r="K1659" t="s">
        <v>18</v>
      </c>
      <c r="L1659" t="s">
        <v>19</v>
      </c>
      <c r="M1659" t="s">
        <v>60</v>
      </c>
      <c r="N1659" t="s">
        <v>154</v>
      </c>
      <c r="O1659" t="s">
        <v>68</v>
      </c>
      <c r="P1659" t="s">
        <v>18</v>
      </c>
      <c r="Q1659">
        <f>Table1[[#This Row],[Course_Fee_AED]]-Table1[[#This Row],[Amount_Paid_AED]]</f>
        <v>1490</v>
      </c>
      <c r="R1659">
        <f>Table1[[#This Row],[Course_Fee_AED]]-Table1[[#This Row],[pending Revenue]]</f>
        <v>2976</v>
      </c>
    </row>
    <row r="1660" spans="1:18" x14ac:dyDescent="0.25">
      <c r="A1660" t="s">
        <v>1737</v>
      </c>
      <c r="B1660" s="2">
        <v>45494</v>
      </c>
      <c r="C1660" t="s">
        <v>45</v>
      </c>
      <c r="D1660" t="s">
        <v>46</v>
      </c>
      <c r="E1660" t="s">
        <v>17</v>
      </c>
      <c r="F1660" s="5">
        <v>6</v>
      </c>
      <c r="G1660" s="5">
        <v>1</v>
      </c>
      <c r="H1660" s="5">
        <v>6679</v>
      </c>
      <c r="I1660" s="5">
        <v>3</v>
      </c>
      <c r="J1660" s="5">
        <v>6678</v>
      </c>
      <c r="K1660" t="s">
        <v>18</v>
      </c>
      <c r="L1660" t="s">
        <v>19</v>
      </c>
      <c r="M1660" t="s">
        <v>27</v>
      </c>
      <c r="N1660" t="s">
        <v>116</v>
      </c>
      <c r="O1660" t="s">
        <v>58</v>
      </c>
      <c r="P1660" t="s">
        <v>36</v>
      </c>
      <c r="Q1660">
        <f>Table1[[#This Row],[Course_Fee_AED]]-Table1[[#This Row],[Amount_Paid_AED]]</f>
        <v>1</v>
      </c>
      <c r="R1660">
        <f>Table1[[#This Row],[Course_Fee_AED]]-Table1[[#This Row],[pending Revenue]]</f>
        <v>6678</v>
      </c>
    </row>
    <row r="1661" spans="1:18" x14ac:dyDescent="0.25">
      <c r="A1661" t="s">
        <v>1738</v>
      </c>
      <c r="B1661" s="2">
        <v>45473</v>
      </c>
      <c r="C1661" t="s">
        <v>24</v>
      </c>
      <c r="D1661" t="s">
        <v>25</v>
      </c>
      <c r="E1661" t="s">
        <v>26</v>
      </c>
      <c r="F1661" s="5">
        <v>3</v>
      </c>
      <c r="G1661" s="5">
        <v>1</v>
      </c>
      <c r="H1661" s="5">
        <v>6082</v>
      </c>
      <c r="I1661" s="5">
        <v>2</v>
      </c>
      <c r="J1661" s="5">
        <v>4054</v>
      </c>
      <c r="K1661" t="s">
        <v>18</v>
      </c>
      <c r="L1661" t="s">
        <v>19</v>
      </c>
      <c r="M1661" t="s">
        <v>27</v>
      </c>
      <c r="N1661" t="s">
        <v>70</v>
      </c>
      <c r="O1661" t="s">
        <v>71</v>
      </c>
      <c r="P1661" t="s">
        <v>18</v>
      </c>
      <c r="Q1661">
        <f>Table1[[#This Row],[Course_Fee_AED]]-Table1[[#This Row],[Amount_Paid_AED]]</f>
        <v>2028</v>
      </c>
      <c r="R1661">
        <f>Table1[[#This Row],[Course_Fee_AED]]-Table1[[#This Row],[pending Revenue]]</f>
        <v>4054</v>
      </c>
    </row>
    <row r="1662" spans="1:18" x14ac:dyDescent="0.25">
      <c r="A1662" t="s">
        <v>1739</v>
      </c>
      <c r="B1662" s="2">
        <v>45322</v>
      </c>
      <c r="C1662" t="s">
        <v>31</v>
      </c>
      <c r="D1662" t="s">
        <v>32</v>
      </c>
      <c r="E1662" t="s">
        <v>17</v>
      </c>
      <c r="F1662" s="5">
        <v>6</v>
      </c>
      <c r="G1662" s="5">
        <v>1</v>
      </c>
      <c r="H1662" s="5">
        <v>5568</v>
      </c>
      <c r="I1662" s="5">
        <v>3</v>
      </c>
      <c r="J1662" s="5">
        <v>5568</v>
      </c>
      <c r="K1662" t="s">
        <v>33</v>
      </c>
      <c r="L1662" t="s">
        <v>57</v>
      </c>
      <c r="M1662" t="s">
        <v>20</v>
      </c>
      <c r="N1662" t="s">
        <v>53</v>
      </c>
      <c r="O1662" t="s">
        <v>87</v>
      </c>
      <c r="P1662" t="s">
        <v>36</v>
      </c>
      <c r="Q1662">
        <f>Table1[[#This Row],[Course_Fee_AED]]-Table1[[#This Row],[Amount_Paid_AED]]</f>
        <v>0</v>
      </c>
      <c r="R1662">
        <f>Table1[[#This Row],[Course_Fee_AED]]-Table1[[#This Row],[pending Revenue]]</f>
        <v>5568</v>
      </c>
    </row>
    <row r="1663" spans="1:18" x14ac:dyDescent="0.25">
      <c r="A1663" t="s">
        <v>1740</v>
      </c>
      <c r="B1663" s="2">
        <v>45332</v>
      </c>
      <c r="C1663" t="s">
        <v>51</v>
      </c>
      <c r="D1663" t="s">
        <v>52</v>
      </c>
      <c r="E1663" t="s">
        <v>17</v>
      </c>
      <c r="F1663" s="5">
        <v>6</v>
      </c>
      <c r="G1663" s="5">
        <v>1</v>
      </c>
      <c r="H1663" s="5">
        <v>5113</v>
      </c>
      <c r="I1663" s="5">
        <v>3</v>
      </c>
      <c r="J1663" s="5">
        <v>5112</v>
      </c>
      <c r="K1663" t="s">
        <v>18</v>
      </c>
      <c r="L1663" t="s">
        <v>57</v>
      </c>
      <c r="M1663" t="s">
        <v>47</v>
      </c>
      <c r="N1663" t="s">
        <v>28</v>
      </c>
      <c r="O1663" t="s">
        <v>87</v>
      </c>
      <c r="P1663" t="s">
        <v>36</v>
      </c>
      <c r="Q1663">
        <f>Table1[[#This Row],[Course_Fee_AED]]-Table1[[#This Row],[Amount_Paid_AED]]</f>
        <v>1</v>
      </c>
      <c r="R1663">
        <f>Table1[[#This Row],[Course_Fee_AED]]-Table1[[#This Row],[pending Revenue]]</f>
        <v>5112</v>
      </c>
    </row>
    <row r="1664" spans="1:18" x14ac:dyDescent="0.25">
      <c r="A1664" t="s">
        <v>1741</v>
      </c>
      <c r="B1664" s="2">
        <v>45435</v>
      </c>
      <c r="C1664" t="s">
        <v>24</v>
      </c>
      <c r="D1664" t="s">
        <v>25</v>
      </c>
      <c r="E1664" t="s">
        <v>17</v>
      </c>
      <c r="F1664" s="5">
        <v>6</v>
      </c>
      <c r="G1664" s="5">
        <v>1</v>
      </c>
      <c r="H1664" s="5">
        <v>6671</v>
      </c>
      <c r="I1664" s="5">
        <v>3</v>
      </c>
      <c r="J1664" s="5">
        <v>6669</v>
      </c>
      <c r="K1664" t="s">
        <v>18</v>
      </c>
      <c r="L1664" t="s">
        <v>19</v>
      </c>
      <c r="M1664" t="s">
        <v>63</v>
      </c>
      <c r="N1664" t="s">
        <v>90</v>
      </c>
      <c r="O1664" t="s">
        <v>71</v>
      </c>
      <c r="P1664" t="s">
        <v>18</v>
      </c>
      <c r="Q1664">
        <f>Table1[[#This Row],[Course_Fee_AED]]-Table1[[#This Row],[Amount_Paid_AED]]</f>
        <v>2</v>
      </c>
      <c r="R1664">
        <f>Table1[[#This Row],[Course_Fee_AED]]-Table1[[#This Row],[pending Revenue]]</f>
        <v>6669</v>
      </c>
    </row>
    <row r="1665" spans="1:18" x14ac:dyDescent="0.25">
      <c r="A1665" t="s">
        <v>1742</v>
      </c>
      <c r="B1665" s="2">
        <v>45529</v>
      </c>
      <c r="C1665" t="s">
        <v>31</v>
      </c>
      <c r="D1665" t="s">
        <v>32</v>
      </c>
      <c r="E1665" t="s">
        <v>17</v>
      </c>
      <c r="F1665" s="5">
        <v>6</v>
      </c>
      <c r="G1665" s="5">
        <v>1</v>
      </c>
      <c r="H1665" s="5">
        <v>6553</v>
      </c>
      <c r="I1665" s="5">
        <v>3</v>
      </c>
      <c r="J1665" s="5">
        <v>6552</v>
      </c>
      <c r="K1665" t="s">
        <v>18</v>
      </c>
      <c r="L1665" t="s">
        <v>57</v>
      </c>
      <c r="M1665" t="s">
        <v>27</v>
      </c>
      <c r="N1665" t="s">
        <v>90</v>
      </c>
      <c r="O1665" t="s">
        <v>35</v>
      </c>
      <c r="P1665" t="s">
        <v>18</v>
      </c>
      <c r="Q1665">
        <f>Table1[[#This Row],[Course_Fee_AED]]-Table1[[#This Row],[Amount_Paid_AED]]</f>
        <v>1</v>
      </c>
      <c r="R1665">
        <f>Table1[[#This Row],[Course_Fee_AED]]-Table1[[#This Row],[pending Revenue]]</f>
        <v>6552</v>
      </c>
    </row>
    <row r="1666" spans="1:18" x14ac:dyDescent="0.25">
      <c r="A1666" t="s">
        <v>1743</v>
      </c>
      <c r="B1666" s="2">
        <v>45403</v>
      </c>
      <c r="C1666" t="s">
        <v>55</v>
      </c>
      <c r="D1666" t="s">
        <v>56</v>
      </c>
      <c r="E1666" t="s">
        <v>17</v>
      </c>
      <c r="F1666" s="5">
        <v>6</v>
      </c>
      <c r="G1666" s="5">
        <v>1</v>
      </c>
      <c r="H1666" s="5">
        <v>11641</v>
      </c>
      <c r="I1666" s="5">
        <v>2</v>
      </c>
      <c r="J1666" s="5">
        <v>7760</v>
      </c>
      <c r="K1666" t="s">
        <v>18</v>
      </c>
      <c r="L1666" t="s">
        <v>19</v>
      </c>
      <c r="M1666" t="s">
        <v>47</v>
      </c>
      <c r="N1666" t="s">
        <v>86</v>
      </c>
      <c r="O1666" t="s">
        <v>64</v>
      </c>
      <c r="P1666" t="s">
        <v>18</v>
      </c>
      <c r="Q1666">
        <f>Table1[[#This Row],[Course_Fee_AED]]-Table1[[#This Row],[Amount_Paid_AED]]</f>
        <v>3881</v>
      </c>
      <c r="R1666">
        <f>Table1[[#This Row],[Course_Fee_AED]]-Table1[[#This Row],[pending Revenue]]</f>
        <v>7760</v>
      </c>
    </row>
    <row r="1667" spans="1:18" x14ac:dyDescent="0.25">
      <c r="A1667" t="s">
        <v>1744</v>
      </c>
      <c r="B1667" s="2">
        <v>45334</v>
      </c>
      <c r="C1667" t="s">
        <v>113</v>
      </c>
      <c r="D1667" t="s">
        <v>93</v>
      </c>
      <c r="E1667" t="s">
        <v>17</v>
      </c>
      <c r="F1667" s="5">
        <v>6</v>
      </c>
      <c r="G1667" s="5">
        <v>1</v>
      </c>
      <c r="H1667" s="5">
        <v>4452</v>
      </c>
      <c r="I1667" s="5">
        <v>2</v>
      </c>
      <c r="J1667" s="5">
        <v>2968</v>
      </c>
      <c r="K1667" t="s">
        <v>18</v>
      </c>
      <c r="L1667" t="s">
        <v>57</v>
      </c>
      <c r="M1667" t="s">
        <v>63</v>
      </c>
      <c r="N1667" t="s">
        <v>61</v>
      </c>
      <c r="O1667" t="s">
        <v>49</v>
      </c>
      <c r="P1667" t="s">
        <v>36</v>
      </c>
      <c r="Q1667">
        <f>Table1[[#This Row],[Course_Fee_AED]]-Table1[[#This Row],[Amount_Paid_AED]]</f>
        <v>1484</v>
      </c>
      <c r="R1667">
        <f>Table1[[#This Row],[Course_Fee_AED]]-Table1[[#This Row],[pending Revenue]]</f>
        <v>2968</v>
      </c>
    </row>
    <row r="1668" spans="1:18" x14ac:dyDescent="0.25">
      <c r="A1668" t="s">
        <v>1745</v>
      </c>
      <c r="B1668" s="2">
        <v>45536</v>
      </c>
      <c r="C1668" t="s">
        <v>75</v>
      </c>
      <c r="D1668" t="s">
        <v>76</v>
      </c>
      <c r="E1668" t="s">
        <v>17</v>
      </c>
      <c r="F1668" s="5">
        <v>6</v>
      </c>
      <c r="G1668" s="5">
        <v>1</v>
      </c>
      <c r="H1668" s="5">
        <v>12848</v>
      </c>
      <c r="I1668" s="5">
        <v>2</v>
      </c>
      <c r="J1668" s="5">
        <v>8564</v>
      </c>
      <c r="K1668" t="s">
        <v>18</v>
      </c>
      <c r="L1668" t="s">
        <v>57</v>
      </c>
      <c r="M1668" t="s">
        <v>63</v>
      </c>
      <c r="N1668" t="s">
        <v>48</v>
      </c>
      <c r="O1668" t="s">
        <v>35</v>
      </c>
      <c r="P1668" t="s">
        <v>36</v>
      </c>
      <c r="Q1668">
        <f>Table1[[#This Row],[Course_Fee_AED]]-Table1[[#This Row],[Amount_Paid_AED]]</f>
        <v>4284</v>
      </c>
      <c r="R1668">
        <f>Table1[[#This Row],[Course_Fee_AED]]-Table1[[#This Row],[pending Revenue]]</f>
        <v>8564</v>
      </c>
    </row>
    <row r="1669" spans="1:18" x14ac:dyDescent="0.25">
      <c r="A1669" t="s">
        <v>1746</v>
      </c>
      <c r="B1669" s="2">
        <v>45483</v>
      </c>
      <c r="C1669" t="s">
        <v>82</v>
      </c>
      <c r="D1669" t="s">
        <v>83</v>
      </c>
      <c r="E1669" t="s">
        <v>26</v>
      </c>
      <c r="F1669" s="5">
        <v>3</v>
      </c>
      <c r="G1669" s="5">
        <v>1</v>
      </c>
      <c r="H1669" s="5">
        <v>11955</v>
      </c>
      <c r="I1669" s="5">
        <v>2</v>
      </c>
      <c r="J1669" s="5">
        <v>7970</v>
      </c>
      <c r="K1669" t="s">
        <v>18</v>
      </c>
      <c r="L1669" t="s">
        <v>40</v>
      </c>
      <c r="M1669" t="s">
        <v>41</v>
      </c>
      <c r="N1669" t="s">
        <v>53</v>
      </c>
      <c r="O1669" t="s">
        <v>87</v>
      </c>
      <c r="P1669" t="s">
        <v>36</v>
      </c>
      <c r="Q1669">
        <f>Table1[[#This Row],[Course_Fee_AED]]-Table1[[#This Row],[Amount_Paid_AED]]</f>
        <v>3985</v>
      </c>
      <c r="R1669">
        <f>Table1[[#This Row],[Course_Fee_AED]]-Table1[[#This Row],[pending Revenue]]</f>
        <v>7970</v>
      </c>
    </row>
    <row r="1670" spans="1:18" x14ac:dyDescent="0.25">
      <c r="A1670" t="s">
        <v>1747</v>
      </c>
      <c r="B1670" s="2">
        <v>45364</v>
      </c>
      <c r="C1670" t="s">
        <v>100</v>
      </c>
      <c r="D1670" t="s">
        <v>101</v>
      </c>
      <c r="E1670" t="s">
        <v>17</v>
      </c>
      <c r="F1670" s="5">
        <v>6</v>
      </c>
      <c r="G1670" s="5">
        <v>1</v>
      </c>
      <c r="H1670" s="5">
        <v>4474</v>
      </c>
      <c r="I1670" s="5">
        <v>2</v>
      </c>
      <c r="J1670" s="5">
        <v>2982</v>
      </c>
      <c r="K1670" t="s">
        <v>18</v>
      </c>
      <c r="L1670" t="s">
        <v>40</v>
      </c>
      <c r="M1670" t="s">
        <v>27</v>
      </c>
      <c r="N1670" t="s">
        <v>79</v>
      </c>
      <c r="O1670" t="s">
        <v>43</v>
      </c>
      <c r="P1670" t="s">
        <v>36</v>
      </c>
      <c r="Q1670">
        <f>Table1[[#This Row],[Course_Fee_AED]]-Table1[[#This Row],[Amount_Paid_AED]]</f>
        <v>1492</v>
      </c>
      <c r="R1670">
        <f>Table1[[#This Row],[Course_Fee_AED]]-Table1[[#This Row],[pending Revenue]]</f>
        <v>2982</v>
      </c>
    </row>
    <row r="1671" spans="1:18" x14ac:dyDescent="0.25">
      <c r="A1671" t="s">
        <v>1748</v>
      </c>
      <c r="B1671" s="2">
        <v>45447</v>
      </c>
      <c r="C1671" t="s">
        <v>51</v>
      </c>
      <c r="D1671" t="s">
        <v>52</v>
      </c>
      <c r="E1671" t="s">
        <v>26</v>
      </c>
      <c r="F1671" s="5">
        <v>3</v>
      </c>
      <c r="G1671" s="5">
        <v>1</v>
      </c>
      <c r="H1671" s="5">
        <v>4766</v>
      </c>
      <c r="I1671" s="5">
        <v>1</v>
      </c>
      <c r="J1671" s="5">
        <v>1588</v>
      </c>
      <c r="K1671" t="s">
        <v>18</v>
      </c>
      <c r="L1671" t="s">
        <v>40</v>
      </c>
      <c r="M1671" t="s">
        <v>27</v>
      </c>
      <c r="N1671" t="s">
        <v>73</v>
      </c>
      <c r="O1671" t="s">
        <v>43</v>
      </c>
      <c r="P1671" t="s">
        <v>36</v>
      </c>
      <c r="Q1671">
        <f>Table1[[#This Row],[Course_Fee_AED]]-Table1[[#This Row],[Amount_Paid_AED]]</f>
        <v>3178</v>
      </c>
      <c r="R1671">
        <f>Table1[[#This Row],[Course_Fee_AED]]-Table1[[#This Row],[pending Revenue]]</f>
        <v>1588</v>
      </c>
    </row>
    <row r="1672" spans="1:18" x14ac:dyDescent="0.25">
      <c r="A1672" t="s">
        <v>1749</v>
      </c>
      <c r="B1672" s="2">
        <v>45518</v>
      </c>
      <c r="C1672" t="s">
        <v>113</v>
      </c>
      <c r="D1672" t="s">
        <v>93</v>
      </c>
      <c r="E1672" t="s">
        <v>26</v>
      </c>
      <c r="F1672" s="5">
        <v>3</v>
      </c>
      <c r="G1672" s="5">
        <v>1</v>
      </c>
      <c r="H1672" s="5">
        <v>3540</v>
      </c>
      <c r="I1672" s="5">
        <v>1</v>
      </c>
      <c r="J1672" s="5">
        <v>1180</v>
      </c>
      <c r="K1672" t="s">
        <v>18</v>
      </c>
      <c r="L1672" t="s">
        <v>40</v>
      </c>
      <c r="M1672" t="s">
        <v>60</v>
      </c>
      <c r="N1672" t="s">
        <v>21</v>
      </c>
      <c r="O1672" t="s">
        <v>43</v>
      </c>
      <c r="P1672" t="s">
        <v>18</v>
      </c>
      <c r="Q1672">
        <f>Table1[[#This Row],[Course_Fee_AED]]-Table1[[#This Row],[Amount_Paid_AED]]</f>
        <v>2360</v>
      </c>
      <c r="R1672">
        <f>Table1[[#This Row],[Course_Fee_AED]]-Table1[[#This Row],[pending Revenue]]</f>
        <v>1180</v>
      </c>
    </row>
    <row r="1673" spans="1:18" x14ac:dyDescent="0.25">
      <c r="A1673" t="s">
        <v>1750</v>
      </c>
      <c r="B1673" s="2">
        <v>45649</v>
      </c>
      <c r="C1673" t="s">
        <v>100</v>
      </c>
      <c r="D1673" t="s">
        <v>101</v>
      </c>
      <c r="E1673" t="s">
        <v>26</v>
      </c>
      <c r="F1673" s="5">
        <v>3</v>
      </c>
      <c r="G1673" s="5">
        <v>1</v>
      </c>
      <c r="H1673" s="5">
        <v>4407</v>
      </c>
      <c r="I1673" s="5">
        <v>3</v>
      </c>
      <c r="J1673" s="5">
        <v>4407</v>
      </c>
      <c r="K1673" t="s">
        <v>33</v>
      </c>
      <c r="L1673" t="s">
        <v>19</v>
      </c>
      <c r="M1673" t="s">
        <v>63</v>
      </c>
      <c r="N1673" t="s">
        <v>95</v>
      </c>
      <c r="O1673" t="s">
        <v>71</v>
      </c>
      <c r="P1673" t="s">
        <v>36</v>
      </c>
      <c r="Q1673">
        <f>Table1[[#This Row],[Course_Fee_AED]]-Table1[[#This Row],[Amount_Paid_AED]]</f>
        <v>0</v>
      </c>
      <c r="R1673">
        <f>Table1[[#This Row],[Course_Fee_AED]]-Table1[[#This Row],[pending Revenue]]</f>
        <v>4407</v>
      </c>
    </row>
    <row r="1674" spans="1:18" x14ac:dyDescent="0.25">
      <c r="A1674" t="s">
        <v>1751</v>
      </c>
      <c r="B1674" s="2">
        <v>45657</v>
      </c>
      <c r="C1674" t="s">
        <v>92</v>
      </c>
      <c r="D1674" t="s">
        <v>93</v>
      </c>
      <c r="E1674" t="s">
        <v>17</v>
      </c>
      <c r="F1674" s="5">
        <v>6</v>
      </c>
      <c r="G1674" s="5">
        <v>1</v>
      </c>
      <c r="H1674" s="5">
        <v>5225</v>
      </c>
      <c r="I1674" s="5">
        <v>3</v>
      </c>
      <c r="J1674" s="5">
        <v>5223</v>
      </c>
      <c r="K1674" t="s">
        <v>18</v>
      </c>
      <c r="L1674" t="s">
        <v>57</v>
      </c>
      <c r="M1674" t="s">
        <v>41</v>
      </c>
      <c r="N1674" t="s">
        <v>70</v>
      </c>
      <c r="O1674" t="s">
        <v>71</v>
      </c>
      <c r="P1674" t="s">
        <v>36</v>
      </c>
      <c r="Q1674">
        <f>Table1[[#This Row],[Course_Fee_AED]]-Table1[[#This Row],[Amount_Paid_AED]]</f>
        <v>2</v>
      </c>
      <c r="R1674">
        <f>Table1[[#This Row],[Course_Fee_AED]]-Table1[[#This Row],[pending Revenue]]</f>
        <v>5223</v>
      </c>
    </row>
    <row r="1675" spans="1:18" x14ac:dyDescent="0.25">
      <c r="A1675" t="s">
        <v>1752</v>
      </c>
      <c r="B1675" s="2">
        <v>45384</v>
      </c>
      <c r="C1675" t="s">
        <v>113</v>
      </c>
      <c r="D1675" t="s">
        <v>93</v>
      </c>
      <c r="E1675" t="s">
        <v>26</v>
      </c>
      <c r="F1675" s="5">
        <v>3</v>
      </c>
      <c r="G1675" s="5">
        <v>1</v>
      </c>
      <c r="H1675" s="5">
        <v>3079</v>
      </c>
      <c r="I1675" s="5">
        <v>1</v>
      </c>
      <c r="J1675" s="5">
        <v>1026</v>
      </c>
      <c r="K1675" t="s">
        <v>18</v>
      </c>
      <c r="L1675" t="s">
        <v>40</v>
      </c>
      <c r="M1675" t="s">
        <v>27</v>
      </c>
      <c r="N1675" t="s">
        <v>70</v>
      </c>
      <c r="O1675" t="s">
        <v>35</v>
      </c>
      <c r="P1675" t="s">
        <v>18</v>
      </c>
      <c r="Q1675">
        <f>Table1[[#This Row],[Course_Fee_AED]]-Table1[[#This Row],[Amount_Paid_AED]]</f>
        <v>2053</v>
      </c>
      <c r="R1675">
        <f>Table1[[#This Row],[Course_Fee_AED]]-Table1[[#This Row],[pending Revenue]]</f>
        <v>1026</v>
      </c>
    </row>
    <row r="1676" spans="1:18" x14ac:dyDescent="0.25">
      <c r="A1676" t="s">
        <v>1753</v>
      </c>
      <c r="B1676" s="2">
        <v>45430</v>
      </c>
      <c r="C1676" t="s">
        <v>55</v>
      </c>
      <c r="D1676" t="s">
        <v>56</v>
      </c>
      <c r="E1676" t="s">
        <v>17</v>
      </c>
      <c r="F1676" s="5">
        <v>6</v>
      </c>
      <c r="G1676" s="5">
        <v>1</v>
      </c>
      <c r="H1676" s="5">
        <v>7126</v>
      </c>
      <c r="I1676" s="5">
        <v>3</v>
      </c>
      <c r="J1676" s="5">
        <v>7125</v>
      </c>
      <c r="K1676" t="s">
        <v>18</v>
      </c>
      <c r="L1676" t="s">
        <v>19</v>
      </c>
      <c r="M1676" t="s">
        <v>41</v>
      </c>
      <c r="N1676" t="s">
        <v>90</v>
      </c>
      <c r="O1676" t="s">
        <v>71</v>
      </c>
      <c r="P1676" t="s">
        <v>18</v>
      </c>
      <c r="Q1676">
        <f>Table1[[#This Row],[Course_Fee_AED]]-Table1[[#This Row],[Amount_Paid_AED]]</f>
        <v>1</v>
      </c>
      <c r="R1676">
        <f>Table1[[#This Row],[Course_Fee_AED]]-Table1[[#This Row],[pending Revenue]]</f>
        <v>7125</v>
      </c>
    </row>
    <row r="1677" spans="1:18" x14ac:dyDescent="0.25">
      <c r="A1677" t="s">
        <v>1754</v>
      </c>
      <c r="B1677" s="2">
        <v>45475</v>
      </c>
      <c r="C1677" t="s">
        <v>113</v>
      </c>
      <c r="D1677" t="s">
        <v>93</v>
      </c>
      <c r="E1677" t="s">
        <v>26</v>
      </c>
      <c r="F1677" s="5">
        <v>3</v>
      </c>
      <c r="G1677" s="5">
        <v>1</v>
      </c>
      <c r="H1677" s="5">
        <v>4992</v>
      </c>
      <c r="I1677" s="5">
        <v>1</v>
      </c>
      <c r="J1677" s="5">
        <v>1664</v>
      </c>
      <c r="K1677" t="s">
        <v>18</v>
      </c>
      <c r="L1677" t="s">
        <v>40</v>
      </c>
      <c r="M1677" t="s">
        <v>60</v>
      </c>
      <c r="N1677" t="s">
        <v>53</v>
      </c>
      <c r="O1677" t="s">
        <v>68</v>
      </c>
      <c r="P1677" t="s">
        <v>18</v>
      </c>
      <c r="Q1677">
        <f>Table1[[#This Row],[Course_Fee_AED]]-Table1[[#This Row],[Amount_Paid_AED]]</f>
        <v>3328</v>
      </c>
      <c r="R1677">
        <f>Table1[[#This Row],[Course_Fee_AED]]-Table1[[#This Row],[pending Revenue]]</f>
        <v>1664</v>
      </c>
    </row>
    <row r="1678" spans="1:18" x14ac:dyDescent="0.25">
      <c r="A1678" t="s">
        <v>1755</v>
      </c>
      <c r="B1678" s="2">
        <v>45618</v>
      </c>
      <c r="C1678" t="s">
        <v>31</v>
      </c>
      <c r="D1678" t="s">
        <v>32</v>
      </c>
      <c r="E1678" t="s">
        <v>17</v>
      </c>
      <c r="F1678" s="5">
        <v>6</v>
      </c>
      <c r="G1678" s="5">
        <v>1</v>
      </c>
      <c r="H1678" s="5">
        <v>7598</v>
      </c>
      <c r="I1678" s="5">
        <v>3</v>
      </c>
      <c r="J1678" s="5">
        <v>7596</v>
      </c>
      <c r="K1678" t="s">
        <v>18</v>
      </c>
      <c r="L1678" t="s">
        <v>19</v>
      </c>
      <c r="M1678" t="s">
        <v>47</v>
      </c>
      <c r="N1678" t="s">
        <v>53</v>
      </c>
      <c r="O1678" t="s">
        <v>58</v>
      </c>
      <c r="P1678" t="s">
        <v>36</v>
      </c>
      <c r="Q1678">
        <f>Table1[[#This Row],[Course_Fee_AED]]-Table1[[#This Row],[Amount_Paid_AED]]</f>
        <v>2</v>
      </c>
      <c r="R1678">
        <f>Table1[[#This Row],[Course_Fee_AED]]-Table1[[#This Row],[pending Revenue]]</f>
        <v>7596</v>
      </c>
    </row>
    <row r="1679" spans="1:18" x14ac:dyDescent="0.25">
      <c r="A1679" t="s">
        <v>1756</v>
      </c>
      <c r="B1679" s="2">
        <v>45511</v>
      </c>
      <c r="C1679" t="s">
        <v>55</v>
      </c>
      <c r="D1679" t="s">
        <v>56</v>
      </c>
      <c r="E1679" t="s">
        <v>26</v>
      </c>
      <c r="F1679" s="5">
        <v>3</v>
      </c>
      <c r="G1679" s="5">
        <v>1</v>
      </c>
      <c r="H1679" s="5">
        <v>8153</v>
      </c>
      <c r="I1679" s="5">
        <v>2</v>
      </c>
      <c r="J1679" s="5">
        <v>5434</v>
      </c>
      <c r="K1679" t="s">
        <v>18</v>
      </c>
      <c r="L1679" t="s">
        <v>57</v>
      </c>
      <c r="M1679" t="s">
        <v>47</v>
      </c>
      <c r="N1679" t="s">
        <v>61</v>
      </c>
      <c r="O1679" t="s">
        <v>22</v>
      </c>
      <c r="P1679" t="s">
        <v>18</v>
      </c>
      <c r="Q1679">
        <f>Table1[[#This Row],[Course_Fee_AED]]-Table1[[#This Row],[Amount_Paid_AED]]</f>
        <v>2719</v>
      </c>
      <c r="R1679">
        <f>Table1[[#This Row],[Course_Fee_AED]]-Table1[[#This Row],[pending Revenue]]</f>
        <v>5434</v>
      </c>
    </row>
    <row r="1680" spans="1:18" x14ac:dyDescent="0.25">
      <c r="A1680" t="s">
        <v>1757</v>
      </c>
      <c r="B1680" s="2">
        <v>45309</v>
      </c>
      <c r="C1680" t="s">
        <v>113</v>
      </c>
      <c r="D1680" t="s">
        <v>93</v>
      </c>
      <c r="E1680" t="s">
        <v>26</v>
      </c>
      <c r="F1680" s="5">
        <v>3</v>
      </c>
      <c r="G1680" s="5">
        <v>1</v>
      </c>
      <c r="H1680" s="5">
        <v>4682</v>
      </c>
      <c r="I1680" s="5">
        <v>1</v>
      </c>
      <c r="J1680" s="5">
        <v>1560</v>
      </c>
      <c r="K1680" t="s">
        <v>18</v>
      </c>
      <c r="L1680" t="s">
        <v>40</v>
      </c>
      <c r="M1680" t="s">
        <v>60</v>
      </c>
      <c r="N1680" t="s">
        <v>61</v>
      </c>
      <c r="O1680" t="s">
        <v>49</v>
      </c>
      <c r="P1680" t="s">
        <v>36</v>
      </c>
      <c r="Q1680">
        <f>Table1[[#This Row],[Course_Fee_AED]]-Table1[[#This Row],[Amount_Paid_AED]]</f>
        <v>3122</v>
      </c>
      <c r="R1680">
        <f>Table1[[#This Row],[Course_Fee_AED]]-Table1[[#This Row],[pending Revenue]]</f>
        <v>1560</v>
      </c>
    </row>
    <row r="1681" spans="1:18" x14ac:dyDescent="0.25">
      <c r="A1681" t="s">
        <v>1758</v>
      </c>
      <c r="B1681" s="2">
        <v>45635</v>
      </c>
      <c r="C1681" t="s">
        <v>45</v>
      </c>
      <c r="D1681" t="s">
        <v>46</v>
      </c>
      <c r="E1681" t="s">
        <v>26</v>
      </c>
      <c r="F1681" s="5">
        <v>3</v>
      </c>
      <c r="G1681" s="5">
        <v>1</v>
      </c>
      <c r="H1681" s="5">
        <v>5488</v>
      </c>
      <c r="I1681" s="5">
        <v>3</v>
      </c>
      <c r="J1681" s="5">
        <v>5487</v>
      </c>
      <c r="K1681" t="s">
        <v>18</v>
      </c>
      <c r="L1681" t="s">
        <v>40</v>
      </c>
      <c r="M1681" t="s">
        <v>47</v>
      </c>
      <c r="N1681" t="s">
        <v>34</v>
      </c>
      <c r="O1681" t="s">
        <v>68</v>
      </c>
      <c r="P1681" t="s">
        <v>18</v>
      </c>
      <c r="Q1681">
        <f>Table1[[#This Row],[Course_Fee_AED]]-Table1[[#This Row],[Amount_Paid_AED]]</f>
        <v>1</v>
      </c>
      <c r="R1681">
        <f>Table1[[#This Row],[Course_Fee_AED]]-Table1[[#This Row],[pending Revenue]]</f>
        <v>5487</v>
      </c>
    </row>
    <row r="1682" spans="1:18" x14ac:dyDescent="0.25">
      <c r="A1682" t="s">
        <v>1759</v>
      </c>
      <c r="B1682" s="2">
        <v>45600</v>
      </c>
      <c r="C1682" t="s">
        <v>100</v>
      </c>
      <c r="D1682" t="s">
        <v>101</v>
      </c>
      <c r="E1682" t="s">
        <v>26</v>
      </c>
      <c r="F1682" s="5">
        <v>3</v>
      </c>
      <c r="G1682" s="5">
        <v>1</v>
      </c>
      <c r="H1682" s="5">
        <v>5790</v>
      </c>
      <c r="I1682" s="5">
        <v>1</v>
      </c>
      <c r="J1682" s="5">
        <v>1930</v>
      </c>
      <c r="K1682" t="s">
        <v>18</v>
      </c>
      <c r="L1682" t="s">
        <v>57</v>
      </c>
      <c r="M1682" t="s">
        <v>60</v>
      </c>
      <c r="N1682" t="s">
        <v>79</v>
      </c>
      <c r="O1682" t="s">
        <v>29</v>
      </c>
      <c r="P1682" t="s">
        <v>18</v>
      </c>
      <c r="Q1682">
        <f>Table1[[#This Row],[Course_Fee_AED]]-Table1[[#This Row],[Amount_Paid_AED]]</f>
        <v>3860</v>
      </c>
      <c r="R1682">
        <f>Table1[[#This Row],[Course_Fee_AED]]-Table1[[#This Row],[pending Revenue]]</f>
        <v>1930</v>
      </c>
    </row>
    <row r="1683" spans="1:18" x14ac:dyDescent="0.25">
      <c r="A1683" t="s">
        <v>1760</v>
      </c>
      <c r="B1683" s="2">
        <v>45487</v>
      </c>
      <c r="C1683" t="s">
        <v>15</v>
      </c>
      <c r="D1683" t="s">
        <v>16</v>
      </c>
      <c r="E1683" t="s">
        <v>26</v>
      </c>
      <c r="F1683" s="5">
        <v>3</v>
      </c>
      <c r="G1683" s="5">
        <v>1</v>
      </c>
      <c r="H1683" s="5">
        <v>4582</v>
      </c>
      <c r="I1683" s="5">
        <v>2</v>
      </c>
      <c r="J1683" s="5">
        <v>3054</v>
      </c>
      <c r="K1683" t="s">
        <v>18</v>
      </c>
      <c r="L1683" t="s">
        <v>57</v>
      </c>
      <c r="M1683" t="s">
        <v>20</v>
      </c>
      <c r="N1683" t="s">
        <v>116</v>
      </c>
      <c r="O1683" t="s">
        <v>58</v>
      </c>
      <c r="P1683" t="s">
        <v>18</v>
      </c>
      <c r="Q1683">
        <f>Table1[[#This Row],[Course_Fee_AED]]-Table1[[#This Row],[Amount_Paid_AED]]</f>
        <v>1528</v>
      </c>
      <c r="R1683">
        <f>Table1[[#This Row],[Course_Fee_AED]]-Table1[[#This Row],[pending Revenue]]</f>
        <v>3054</v>
      </c>
    </row>
    <row r="1684" spans="1:18" x14ac:dyDescent="0.25">
      <c r="A1684" t="s">
        <v>1761</v>
      </c>
      <c r="B1684" s="2">
        <v>45353</v>
      </c>
      <c r="C1684" t="s">
        <v>24</v>
      </c>
      <c r="D1684" t="s">
        <v>25</v>
      </c>
      <c r="E1684" t="s">
        <v>17</v>
      </c>
      <c r="F1684" s="5">
        <v>6</v>
      </c>
      <c r="G1684" s="5">
        <v>1</v>
      </c>
      <c r="H1684" s="5">
        <v>6069</v>
      </c>
      <c r="I1684" s="5">
        <v>2</v>
      </c>
      <c r="J1684" s="5">
        <v>4046</v>
      </c>
      <c r="K1684" t="s">
        <v>18</v>
      </c>
      <c r="L1684" t="s">
        <v>57</v>
      </c>
      <c r="M1684" t="s">
        <v>27</v>
      </c>
      <c r="N1684" t="s">
        <v>116</v>
      </c>
      <c r="O1684" t="s">
        <v>35</v>
      </c>
      <c r="P1684" t="s">
        <v>18</v>
      </c>
      <c r="Q1684">
        <f>Table1[[#This Row],[Course_Fee_AED]]-Table1[[#This Row],[Amount_Paid_AED]]</f>
        <v>2023</v>
      </c>
      <c r="R1684">
        <f>Table1[[#This Row],[Course_Fee_AED]]-Table1[[#This Row],[pending Revenue]]</f>
        <v>4046</v>
      </c>
    </row>
    <row r="1685" spans="1:18" x14ac:dyDescent="0.25">
      <c r="A1685" t="s">
        <v>1762</v>
      </c>
      <c r="B1685" s="2">
        <v>45526</v>
      </c>
      <c r="C1685" t="s">
        <v>31</v>
      </c>
      <c r="D1685" t="s">
        <v>32</v>
      </c>
      <c r="E1685" t="s">
        <v>17</v>
      </c>
      <c r="F1685" s="5">
        <v>6</v>
      </c>
      <c r="G1685" s="5">
        <v>1</v>
      </c>
      <c r="H1685" s="5">
        <v>5535</v>
      </c>
      <c r="I1685" s="5">
        <v>1</v>
      </c>
      <c r="J1685" s="5">
        <v>1845</v>
      </c>
      <c r="K1685" t="s">
        <v>18</v>
      </c>
      <c r="L1685" t="s">
        <v>40</v>
      </c>
      <c r="M1685" t="s">
        <v>20</v>
      </c>
      <c r="N1685" t="s">
        <v>42</v>
      </c>
      <c r="O1685" t="s">
        <v>68</v>
      </c>
      <c r="P1685" t="s">
        <v>18</v>
      </c>
      <c r="Q1685">
        <f>Table1[[#This Row],[Course_Fee_AED]]-Table1[[#This Row],[Amount_Paid_AED]]</f>
        <v>3690</v>
      </c>
      <c r="R1685">
        <f>Table1[[#This Row],[Course_Fee_AED]]-Table1[[#This Row],[pending Revenue]]</f>
        <v>1845</v>
      </c>
    </row>
    <row r="1686" spans="1:18" x14ac:dyDescent="0.25">
      <c r="A1686" t="s">
        <v>1763</v>
      </c>
      <c r="B1686" s="2">
        <v>45341</v>
      </c>
      <c r="C1686" t="s">
        <v>82</v>
      </c>
      <c r="D1686" t="s">
        <v>83</v>
      </c>
      <c r="E1686" t="s">
        <v>17</v>
      </c>
      <c r="F1686" s="5">
        <v>6</v>
      </c>
      <c r="G1686" s="5">
        <v>1</v>
      </c>
      <c r="H1686" s="5">
        <v>14939</v>
      </c>
      <c r="I1686" s="5">
        <v>1</v>
      </c>
      <c r="J1686" s="5">
        <v>4979</v>
      </c>
      <c r="K1686" t="s">
        <v>18</v>
      </c>
      <c r="L1686" t="s">
        <v>57</v>
      </c>
      <c r="M1686" t="s">
        <v>60</v>
      </c>
      <c r="N1686" t="s">
        <v>53</v>
      </c>
      <c r="O1686" t="s">
        <v>22</v>
      </c>
      <c r="P1686" t="s">
        <v>18</v>
      </c>
      <c r="Q1686">
        <f>Table1[[#This Row],[Course_Fee_AED]]-Table1[[#This Row],[Amount_Paid_AED]]</f>
        <v>9960</v>
      </c>
      <c r="R1686">
        <f>Table1[[#This Row],[Course_Fee_AED]]-Table1[[#This Row],[pending Revenue]]</f>
        <v>4979</v>
      </c>
    </row>
    <row r="1687" spans="1:18" x14ac:dyDescent="0.25">
      <c r="A1687" t="s">
        <v>1764</v>
      </c>
      <c r="B1687" s="2">
        <v>45464</v>
      </c>
      <c r="C1687" t="s">
        <v>66</v>
      </c>
      <c r="D1687" t="s">
        <v>56</v>
      </c>
      <c r="E1687" t="s">
        <v>17</v>
      </c>
      <c r="F1687" s="5">
        <v>6</v>
      </c>
      <c r="G1687" s="5">
        <v>1</v>
      </c>
      <c r="H1687" s="5">
        <v>7851</v>
      </c>
      <c r="I1687" s="5">
        <v>2</v>
      </c>
      <c r="J1687" s="5">
        <v>5234</v>
      </c>
      <c r="K1687" t="s">
        <v>18</v>
      </c>
      <c r="L1687" t="s">
        <v>19</v>
      </c>
      <c r="M1687" t="s">
        <v>47</v>
      </c>
      <c r="N1687" t="s">
        <v>34</v>
      </c>
      <c r="O1687" t="s">
        <v>68</v>
      </c>
      <c r="P1687" t="s">
        <v>18</v>
      </c>
      <c r="Q1687">
        <f>Table1[[#This Row],[Course_Fee_AED]]-Table1[[#This Row],[Amount_Paid_AED]]</f>
        <v>2617</v>
      </c>
      <c r="R1687">
        <f>Table1[[#This Row],[Course_Fee_AED]]-Table1[[#This Row],[pending Revenue]]</f>
        <v>5234</v>
      </c>
    </row>
    <row r="1688" spans="1:18" x14ac:dyDescent="0.25">
      <c r="A1688" t="s">
        <v>1765</v>
      </c>
      <c r="B1688" s="2">
        <v>45465</v>
      </c>
      <c r="C1688" t="s">
        <v>92</v>
      </c>
      <c r="D1688" t="s">
        <v>93</v>
      </c>
      <c r="E1688" t="s">
        <v>17</v>
      </c>
      <c r="F1688" s="5">
        <v>6</v>
      </c>
      <c r="G1688" s="5">
        <v>1</v>
      </c>
      <c r="H1688" s="5">
        <v>5720</v>
      </c>
      <c r="I1688" s="5">
        <v>2</v>
      </c>
      <c r="J1688" s="5">
        <v>3812</v>
      </c>
      <c r="K1688" t="s">
        <v>18</v>
      </c>
      <c r="L1688" t="s">
        <v>57</v>
      </c>
      <c r="M1688" t="s">
        <v>20</v>
      </c>
      <c r="N1688" t="s">
        <v>34</v>
      </c>
      <c r="O1688" t="s">
        <v>68</v>
      </c>
      <c r="P1688" t="s">
        <v>36</v>
      </c>
      <c r="Q1688">
        <f>Table1[[#This Row],[Course_Fee_AED]]-Table1[[#This Row],[Amount_Paid_AED]]</f>
        <v>1908</v>
      </c>
      <c r="R1688">
        <f>Table1[[#This Row],[Course_Fee_AED]]-Table1[[#This Row],[pending Revenue]]</f>
        <v>3812</v>
      </c>
    </row>
    <row r="1689" spans="1:18" x14ac:dyDescent="0.25">
      <c r="A1689" t="s">
        <v>1766</v>
      </c>
      <c r="B1689" s="2">
        <v>45571</v>
      </c>
      <c r="C1689" t="s">
        <v>15</v>
      </c>
      <c r="D1689" t="s">
        <v>16</v>
      </c>
      <c r="E1689" t="s">
        <v>26</v>
      </c>
      <c r="F1689" s="5">
        <v>3</v>
      </c>
      <c r="G1689" s="5">
        <v>1</v>
      </c>
      <c r="H1689" s="5">
        <v>6524</v>
      </c>
      <c r="I1689" s="5">
        <v>2</v>
      </c>
      <c r="J1689" s="5">
        <v>4348</v>
      </c>
      <c r="K1689" t="s">
        <v>18</v>
      </c>
      <c r="L1689" t="s">
        <v>40</v>
      </c>
      <c r="M1689" t="s">
        <v>20</v>
      </c>
      <c r="N1689" t="s">
        <v>53</v>
      </c>
      <c r="O1689" t="s">
        <v>68</v>
      </c>
      <c r="P1689" t="s">
        <v>18</v>
      </c>
      <c r="Q1689">
        <f>Table1[[#This Row],[Course_Fee_AED]]-Table1[[#This Row],[Amount_Paid_AED]]</f>
        <v>2176</v>
      </c>
      <c r="R1689">
        <f>Table1[[#This Row],[Course_Fee_AED]]-Table1[[#This Row],[pending Revenue]]</f>
        <v>4348</v>
      </c>
    </row>
    <row r="1690" spans="1:18" x14ac:dyDescent="0.25">
      <c r="A1690" t="s">
        <v>1767</v>
      </c>
      <c r="B1690" s="2">
        <v>45359</v>
      </c>
      <c r="C1690" t="s">
        <v>45</v>
      </c>
      <c r="D1690" t="s">
        <v>46</v>
      </c>
      <c r="E1690" t="s">
        <v>26</v>
      </c>
      <c r="F1690" s="5">
        <v>3</v>
      </c>
      <c r="G1690" s="5">
        <v>1</v>
      </c>
      <c r="H1690" s="5">
        <v>5516</v>
      </c>
      <c r="I1690" s="5">
        <v>2</v>
      </c>
      <c r="J1690" s="5">
        <v>3676</v>
      </c>
      <c r="K1690" t="s">
        <v>18</v>
      </c>
      <c r="L1690" t="s">
        <v>19</v>
      </c>
      <c r="M1690" t="s">
        <v>20</v>
      </c>
      <c r="N1690" t="s">
        <v>86</v>
      </c>
      <c r="O1690" t="s">
        <v>43</v>
      </c>
      <c r="P1690" t="s">
        <v>36</v>
      </c>
      <c r="Q1690">
        <f>Table1[[#This Row],[Course_Fee_AED]]-Table1[[#This Row],[Amount_Paid_AED]]</f>
        <v>1840</v>
      </c>
      <c r="R1690">
        <f>Table1[[#This Row],[Course_Fee_AED]]-Table1[[#This Row],[pending Revenue]]</f>
        <v>3676</v>
      </c>
    </row>
    <row r="1691" spans="1:18" x14ac:dyDescent="0.25">
      <c r="A1691" t="s">
        <v>1768</v>
      </c>
      <c r="B1691" s="2">
        <v>45545</v>
      </c>
      <c r="C1691" t="s">
        <v>15</v>
      </c>
      <c r="D1691" t="s">
        <v>16</v>
      </c>
      <c r="E1691" t="s">
        <v>17</v>
      </c>
      <c r="F1691" s="5">
        <v>6</v>
      </c>
      <c r="G1691" s="5">
        <v>1</v>
      </c>
      <c r="H1691" s="5">
        <v>7713</v>
      </c>
      <c r="I1691" s="5">
        <v>2</v>
      </c>
      <c r="J1691" s="5">
        <v>5142</v>
      </c>
      <c r="K1691" t="s">
        <v>18</v>
      </c>
      <c r="L1691" t="s">
        <v>57</v>
      </c>
      <c r="M1691" t="s">
        <v>63</v>
      </c>
      <c r="N1691" t="s">
        <v>53</v>
      </c>
      <c r="O1691" t="s">
        <v>58</v>
      </c>
      <c r="P1691" t="s">
        <v>18</v>
      </c>
      <c r="Q1691">
        <f>Table1[[#This Row],[Course_Fee_AED]]-Table1[[#This Row],[Amount_Paid_AED]]</f>
        <v>2571</v>
      </c>
      <c r="R1691">
        <f>Table1[[#This Row],[Course_Fee_AED]]-Table1[[#This Row],[pending Revenue]]</f>
        <v>5142</v>
      </c>
    </row>
    <row r="1692" spans="1:18" x14ac:dyDescent="0.25">
      <c r="A1692" t="s">
        <v>1769</v>
      </c>
      <c r="B1692" s="2">
        <v>45546</v>
      </c>
      <c r="C1692" t="s">
        <v>51</v>
      </c>
      <c r="D1692" t="s">
        <v>52</v>
      </c>
      <c r="E1692" t="s">
        <v>26</v>
      </c>
      <c r="F1692" s="5">
        <v>3</v>
      </c>
      <c r="G1692" s="5">
        <v>1</v>
      </c>
      <c r="H1692" s="5">
        <v>4470</v>
      </c>
      <c r="I1692" s="5">
        <v>1</v>
      </c>
      <c r="J1692" s="5">
        <v>1490</v>
      </c>
      <c r="K1692" t="s">
        <v>18</v>
      </c>
      <c r="L1692" t="s">
        <v>40</v>
      </c>
      <c r="M1692" t="s">
        <v>63</v>
      </c>
      <c r="N1692" t="s">
        <v>42</v>
      </c>
      <c r="O1692" t="s">
        <v>43</v>
      </c>
      <c r="P1692" t="s">
        <v>36</v>
      </c>
      <c r="Q1692">
        <f>Table1[[#This Row],[Course_Fee_AED]]-Table1[[#This Row],[Amount_Paid_AED]]</f>
        <v>2980</v>
      </c>
      <c r="R1692">
        <f>Table1[[#This Row],[Course_Fee_AED]]-Table1[[#This Row],[pending Revenue]]</f>
        <v>1490</v>
      </c>
    </row>
    <row r="1693" spans="1:18" x14ac:dyDescent="0.25">
      <c r="A1693" t="s">
        <v>1770</v>
      </c>
      <c r="B1693" s="2">
        <v>45344</v>
      </c>
      <c r="C1693" t="s">
        <v>15</v>
      </c>
      <c r="D1693" t="s">
        <v>16</v>
      </c>
      <c r="E1693" t="s">
        <v>17</v>
      </c>
      <c r="F1693" s="5">
        <v>6</v>
      </c>
      <c r="G1693" s="5">
        <v>1</v>
      </c>
      <c r="H1693" s="5">
        <v>5044</v>
      </c>
      <c r="I1693" s="5">
        <v>2</v>
      </c>
      <c r="J1693" s="5">
        <v>3362</v>
      </c>
      <c r="K1693" t="s">
        <v>18</v>
      </c>
      <c r="L1693" t="s">
        <v>19</v>
      </c>
      <c r="M1693" t="s">
        <v>27</v>
      </c>
      <c r="N1693" t="s">
        <v>116</v>
      </c>
      <c r="O1693" t="s">
        <v>49</v>
      </c>
      <c r="P1693" t="s">
        <v>36</v>
      </c>
      <c r="Q1693">
        <f>Table1[[#This Row],[Course_Fee_AED]]-Table1[[#This Row],[Amount_Paid_AED]]</f>
        <v>1682</v>
      </c>
      <c r="R1693">
        <f>Table1[[#This Row],[Course_Fee_AED]]-Table1[[#This Row],[pending Revenue]]</f>
        <v>3362</v>
      </c>
    </row>
    <row r="1694" spans="1:18" x14ac:dyDescent="0.25">
      <c r="A1694" t="s">
        <v>1771</v>
      </c>
      <c r="B1694" s="2">
        <v>45606</v>
      </c>
      <c r="C1694" t="s">
        <v>92</v>
      </c>
      <c r="D1694" t="s">
        <v>93</v>
      </c>
      <c r="E1694" t="s">
        <v>26</v>
      </c>
      <c r="F1694" s="5">
        <v>3</v>
      </c>
      <c r="G1694" s="5">
        <v>1</v>
      </c>
      <c r="H1694" s="5">
        <v>7593</v>
      </c>
      <c r="I1694" s="5">
        <v>2</v>
      </c>
      <c r="J1694" s="5">
        <v>5062</v>
      </c>
      <c r="K1694" t="s">
        <v>18</v>
      </c>
      <c r="L1694" t="s">
        <v>40</v>
      </c>
      <c r="M1694" t="s">
        <v>47</v>
      </c>
      <c r="N1694" t="s">
        <v>61</v>
      </c>
      <c r="O1694" t="s">
        <v>68</v>
      </c>
      <c r="P1694" t="s">
        <v>18</v>
      </c>
      <c r="Q1694">
        <f>Table1[[#This Row],[Course_Fee_AED]]-Table1[[#This Row],[Amount_Paid_AED]]</f>
        <v>2531</v>
      </c>
      <c r="R1694">
        <f>Table1[[#This Row],[Course_Fee_AED]]-Table1[[#This Row],[pending Revenue]]</f>
        <v>5062</v>
      </c>
    </row>
    <row r="1695" spans="1:18" x14ac:dyDescent="0.25">
      <c r="A1695" t="s">
        <v>1772</v>
      </c>
      <c r="B1695" s="2">
        <v>45439</v>
      </c>
      <c r="C1695" t="s">
        <v>24</v>
      </c>
      <c r="D1695" t="s">
        <v>25</v>
      </c>
      <c r="E1695" t="s">
        <v>17</v>
      </c>
      <c r="F1695" s="5">
        <v>6</v>
      </c>
      <c r="G1695" s="5">
        <v>1</v>
      </c>
      <c r="H1695" s="5">
        <v>5588</v>
      </c>
      <c r="I1695" s="5">
        <v>3</v>
      </c>
      <c r="J1695" s="5">
        <v>5586</v>
      </c>
      <c r="K1695" t="s">
        <v>18</v>
      </c>
      <c r="L1695" t="s">
        <v>40</v>
      </c>
      <c r="M1695" t="s">
        <v>41</v>
      </c>
      <c r="N1695" t="s">
        <v>42</v>
      </c>
      <c r="O1695" t="s">
        <v>68</v>
      </c>
      <c r="P1695" t="s">
        <v>36</v>
      </c>
      <c r="Q1695">
        <f>Table1[[#This Row],[Course_Fee_AED]]-Table1[[#This Row],[Amount_Paid_AED]]</f>
        <v>2</v>
      </c>
      <c r="R1695">
        <f>Table1[[#This Row],[Course_Fee_AED]]-Table1[[#This Row],[pending Revenue]]</f>
        <v>5586</v>
      </c>
    </row>
    <row r="1696" spans="1:18" x14ac:dyDescent="0.25">
      <c r="A1696" t="s">
        <v>1773</v>
      </c>
      <c r="B1696" s="2">
        <v>45359</v>
      </c>
      <c r="C1696" t="s">
        <v>38</v>
      </c>
      <c r="D1696" t="s">
        <v>39</v>
      </c>
      <c r="E1696" t="s">
        <v>26</v>
      </c>
      <c r="F1696" s="5">
        <v>3</v>
      </c>
      <c r="G1696" s="5">
        <v>1</v>
      </c>
      <c r="H1696" s="5">
        <v>6057</v>
      </c>
      <c r="I1696" s="5">
        <v>3</v>
      </c>
      <c r="J1696" s="5">
        <v>6057</v>
      </c>
      <c r="K1696" t="s">
        <v>33</v>
      </c>
      <c r="L1696" t="s">
        <v>57</v>
      </c>
      <c r="M1696" t="s">
        <v>63</v>
      </c>
      <c r="N1696" t="s">
        <v>95</v>
      </c>
      <c r="O1696" t="s">
        <v>71</v>
      </c>
      <c r="P1696" t="s">
        <v>36</v>
      </c>
      <c r="Q1696">
        <f>Table1[[#This Row],[Course_Fee_AED]]-Table1[[#This Row],[Amount_Paid_AED]]</f>
        <v>0</v>
      </c>
      <c r="R1696">
        <f>Table1[[#This Row],[Course_Fee_AED]]-Table1[[#This Row],[pending Revenue]]</f>
        <v>6057</v>
      </c>
    </row>
    <row r="1697" spans="1:18" x14ac:dyDescent="0.25">
      <c r="A1697" t="s">
        <v>1774</v>
      </c>
      <c r="B1697" s="2">
        <v>45495</v>
      </c>
      <c r="C1697" t="s">
        <v>15</v>
      </c>
      <c r="D1697" t="s">
        <v>16</v>
      </c>
      <c r="E1697" t="s">
        <v>17</v>
      </c>
      <c r="F1697" s="5">
        <v>6</v>
      </c>
      <c r="G1697" s="5">
        <v>1</v>
      </c>
      <c r="H1697" s="5">
        <v>5400</v>
      </c>
      <c r="I1697" s="5">
        <v>3</v>
      </c>
      <c r="J1697" s="5">
        <v>5400</v>
      </c>
      <c r="K1697" t="s">
        <v>33</v>
      </c>
      <c r="L1697" t="s">
        <v>40</v>
      </c>
      <c r="M1697" t="s">
        <v>47</v>
      </c>
      <c r="N1697" t="s">
        <v>90</v>
      </c>
      <c r="O1697" t="s">
        <v>64</v>
      </c>
      <c r="P1697" t="s">
        <v>36</v>
      </c>
      <c r="Q1697">
        <f>Table1[[#This Row],[Course_Fee_AED]]-Table1[[#This Row],[Amount_Paid_AED]]</f>
        <v>0</v>
      </c>
      <c r="R1697">
        <f>Table1[[#This Row],[Course_Fee_AED]]-Table1[[#This Row],[pending Revenue]]</f>
        <v>5400</v>
      </c>
    </row>
    <row r="1698" spans="1:18" x14ac:dyDescent="0.25">
      <c r="A1698" t="s">
        <v>1775</v>
      </c>
      <c r="B1698" s="2">
        <v>45626</v>
      </c>
      <c r="C1698" t="s">
        <v>106</v>
      </c>
      <c r="D1698" t="s">
        <v>107</v>
      </c>
      <c r="E1698" t="s">
        <v>26</v>
      </c>
      <c r="F1698" s="5">
        <v>3</v>
      </c>
      <c r="G1698" s="5">
        <v>1</v>
      </c>
      <c r="H1698" s="5">
        <v>6381</v>
      </c>
      <c r="I1698" s="5">
        <v>1</v>
      </c>
      <c r="J1698" s="5">
        <v>2127</v>
      </c>
      <c r="K1698" t="s">
        <v>18</v>
      </c>
      <c r="L1698" t="s">
        <v>19</v>
      </c>
      <c r="M1698" t="s">
        <v>47</v>
      </c>
      <c r="N1698" t="s">
        <v>61</v>
      </c>
      <c r="O1698" t="s">
        <v>64</v>
      </c>
      <c r="P1698" t="s">
        <v>18</v>
      </c>
      <c r="Q1698">
        <f>Table1[[#This Row],[Course_Fee_AED]]-Table1[[#This Row],[Amount_Paid_AED]]</f>
        <v>4254</v>
      </c>
      <c r="R1698">
        <f>Table1[[#This Row],[Course_Fee_AED]]-Table1[[#This Row],[pending Revenue]]</f>
        <v>2127</v>
      </c>
    </row>
    <row r="1699" spans="1:18" x14ac:dyDescent="0.25">
      <c r="A1699" t="s">
        <v>1776</v>
      </c>
      <c r="B1699" s="2">
        <v>45523</v>
      </c>
      <c r="C1699" t="s">
        <v>92</v>
      </c>
      <c r="D1699" t="s">
        <v>93</v>
      </c>
      <c r="E1699" t="s">
        <v>17</v>
      </c>
      <c r="F1699" s="5">
        <v>6</v>
      </c>
      <c r="G1699" s="5">
        <v>1</v>
      </c>
      <c r="H1699" s="5">
        <v>7566</v>
      </c>
      <c r="I1699" s="5">
        <v>2</v>
      </c>
      <c r="J1699" s="5">
        <v>5044</v>
      </c>
      <c r="K1699" t="s">
        <v>18</v>
      </c>
      <c r="L1699" t="s">
        <v>40</v>
      </c>
      <c r="M1699" t="s">
        <v>47</v>
      </c>
      <c r="N1699" t="s">
        <v>42</v>
      </c>
      <c r="O1699" t="s">
        <v>58</v>
      </c>
      <c r="P1699" t="s">
        <v>36</v>
      </c>
      <c r="Q1699">
        <f>Table1[[#This Row],[Course_Fee_AED]]-Table1[[#This Row],[Amount_Paid_AED]]</f>
        <v>2522</v>
      </c>
      <c r="R1699">
        <f>Table1[[#This Row],[Course_Fee_AED]]-Table1[[#This Row],[pending Revenue]]</f>
        <v>5044</v>
      </c>
    </row>
    <row r="1700" spans="1:18" x14ac:dyDescent="0.25">
      <c r="A1700" t="s">
        <v>1777</v>
      </c>
      <c r="B1700" s="2">
        <v>45353</v>
      </c>
      <c r="C1700" t="s">
        <v>31</v>
      </c>
      <c r="D1700" t="s">
        <v>32</v>
      </c>
      <c r="E1700" t="s">
        <v>17</v>
      </c>
      <c r="F1700" s="5">
        <v>6</v>
      </c>
      <c r="G1700" s="5">
        <v>1</v>
      </c>
      <c r="H1700" s="5">
        <v>7893</v>
      </c>
      <c r="I1700" s="5">
        <v>1</v>
      </c>
      <c r="J1700" s="5">
        <v>2631</v>
      </c>
      <c r="K1700" t="s">
        <v>18</v>
      </c>
      <c r="L1700" t="s">
        <v>19</v>
      </c>
      <c r="M1700" t="s">
        <v>63</v>
      </c>
      <c r="N1700" t="s">
        <v>34</v>
      </c>
      <c r="O1700" t="s">
        <v>71</v>
      </c>
      <c r="P1700" t="s">
        <v>36</v>
      </c>
      <c r="Q1700">
        <f>Table1[[#This Row],[Course_Fee_AED]]-Table1[[#This Row],[Amount_Paid_AED]]</f>
        <v>5262</v>
      </c>
      <c r="R1700">
        <f>Table1[[#This Row],[Course_Fee_AED]]-Table1[[#This Row],[pending Revenue]]</f>
        <v>2631</v>
      </c>
    </row>
    <row r="1701" spans="1:18" x14ac:dyDescent="0.25">
      <c r="A1701" t="s">
        <v>1778</v>
      </c>
      <c r="B1701" s="2">
        <v>45323</v>
      </c>
      <c r="C1701" t="s">
        <v>92</v>
      </c>
      <c r="D1701" t="s">
        <v>93</v>
      </c>
      <c r="E1701" t="s">
        <v>17</v>
      </c>
      <c r="F1701" s="5">
        <v>6</v>
      </c>
      <c r="G1701" s="5">
        <v>1</v>
      </c>
      <c r="H1701" s="5">
        <v>6304</v>
      </c>
      <c r="I1701" s="5">
        <v>1</v>
      </c>
      <c r="J1701" s="5">
        <v>2101</v>
      </c>
      <c r="K1701" t="s">
        <v>18</v>
      </c>
      <c r="L1701" t="s">
        <v>19</v>
      </c>
      <c r="M1701" t="s">
        <v>20</v>
      </c>
      <c r="N1701" t="s">
        <v>28</v>
      </c>
      <c r="O1701" t="s">
        <v>29</v>
      </c>
      <c r="P1701" t="s">
        <v>18</v>
      </c>
      <c r="Q1701">
        <f>Table1[[#This Row],[Course_Fee_AED]]-Table1[[#This Row],[Amount_Paid_AED]]</f>
        <v>4203</v>
      </c>
      <c r="R1701">
        <f>Table1[[#This Row],[Course_Fee_AED]]-Table1[[#This Row],[pending Revenue]]</f>
        <v>2101</v>
      </c>
    </row>
    <row r="1702" spans="1:18" x14ac:dyDescent="0.25">
      <c r="A1702" t="s">
        <v>1779</v>
      </c>
      <c r="B1702" s="2">
        <v>45301</v>
      </c>
      <c r="C1702" t="s">
        <v>51</v>
      </c>
      <c r="D1702" t="s">
        <v>52</v>
      </c>
      <c r="E1702" t="s">
        <v>17</v>
      </c>
      <c r="F1702" s="5">
        <v>6</v>
      </c>
      <c r="G1702" s="5">
        <v>1</v>
      </c>
      <c r="H1702" s="5">
        <v>4119</v>
      </c>
      <c r="I1702" s="5">
        <v>2</v>
      </c>
      <c r="J1702" s="5">
        <v>2746</v>
      </c>
      <c r="K1702" t="s">
        <v>18</v>
      </c>
      <c r="L1702" t="s">
        <v>57</v>
      </c>
      <c r="M1702" t="s">
        <v>60</v>
      </c>
      <c r="N1702" t="s">
        <v>42</v>
      </c>
      <c r="O1702" t="s">
        <v>29</v>
      </c>
      <c r="P1702" t="s">
        <v>36</v>
      </c>
      <c r="Q1702">
        <f>Table1[[#This Row],[Course_Fee_AED]]-Table1[[#This Row],[Amount_Paid_AED]]</f>
        <v>1373</v>
      </c>
      <c r="R1702">
        <f>Table1[[#This Row],[Course_Fee_AED]]-Table1[[#This Row],[pending Revenue]]</f>
        <v>2746</v>
      </c>
    </row>
    <row r="1703" spans="1:18" x14ac:dyDescent="0.25">
      <c r="A1703" t="s">
        <v>1780</v>
      </c>
      <c r="B1703" s="2">
        <v>45602</v>
      </c>
      <c r="C1703" t="s">
        <v>15</v>
      </c>
      <c r="D1703" t="s">
        <v>16</v>
      </c>
      <c r="E1703" t="s">
        <v>17</v>
      </c>
      <c r="F1703" s="5">
        <v>6</v>
      </c>
      <c r="G1703" s="5">
        <v>1</v>
      </c>
      <c r="H1703" s="5">
        <v>7646</v>
      </c>
      <c r="I1703" s="5">
        <v>2</v>
      </c>
      <c r="J1703" s="5">
        <v>5096</v>
      </c>
      <c r="K1703" t="s">
        <v>18</v>
      </c>
      <c r="L1703" t="s">
        <v>57</v>
      </c>
      <c r="M1703" t="s">
        <v>41</v>
      </c>
      <c r="N1703" t="s">
        <v>86</v>
      </c>
      <c r="O1703" t="s">
        <v>64</v>
      </c>
      <c r="P1703" t="s">
        <v>18</v>
      </c>
      <c r="Q1703">
        <f>Table1[[#This Row],[Course_Fee_AED]]-Table1[[#This Row],[Amount_Paid_AED]]</f>
        <v>2550</v>
      </c>
      <c r="R1703">
        <f>Table1[[#This Row],[Course_Fee_AED]]-Table1[[#This Row],[pending Revenue]]</f>
        <v>5096</v>
      </c>
    </row>
    <row r="1704" spans="1:18" x14ac:dyDescent="0.25">
      <c r="A1704" t="s">
        <v>1781</v>
      </c>
      <c r="B1704" s="2">
        <v>45313</v>
      </c>
      <c r="C1704" t="s">
        <v>55</v>
      </c>
      <c r="D1704" t="s">
        <v>56</v>
      </c>
      <c r="E1704" t="s">
        <v>17</v>
      </c>
      <c r="F1704" s="5">
        <v>6</v>
      </c>
      <c r="G1704" s="5">
        <v>1</v>
      </c>
      <c r="H1704" s="5">
        <v>11005</v>
      </c>
      <c r="I1704" s="5">
        <v>2</v>
      </c>
      <c r="J1704" s="5">
        <v>7336</v>
      </c>
      <c r="K1704" t="s">
        <v>18</v>
      </c>
      <c r="L1704" t="s">
        <v>19</v>
      </c>
      <c r="M1704" t="s">
        <v>47</v>
      </c>
      <c r="N1704" t="s">
        <v>86</v>
      </c>
      <c r="O1704" t="s">
        <v>71</v>
      </c>
      <c r="P1704" t="s">
        <v>18</v>
      </c>
      <c r="Q1704">
        <f>Table1[[#This Row],[Course_Fee_AED]]-Table1[[#This Row],[Amount_Paid_AED]]</f>
        <v>3669</v>
      </c>
      <c r="R1704">
        <f>Table1[[#This Row],[Course_Fee_AED]]-Table1[[#This Row],[pending Revenue]]</f>
        <v>7336</v>
      </c>
    </row>
    <row r="1705" spans="1:18" x14ac:dyDescent="0.25">
      <c r="A1705" t="s">
        <v>1782</v>
      </c>
      <c r="B1705" s="2">
        <v>45457</v>
      </c>
      <c r="C1705" t="s">
        <v>55</v>
      </c>
      <c r="D1705" t="s">
        <v>56</v>
      </c>
      <c r="E1705" t="s">
        <v>26</v>
      </c>
      <c r="F1705" s="5">
        <v>3</v>
      </c>
      <c r="G1705" s="5">
        <v>1</v>
      </c>
      <c r="H1705" s="5">
        <v>10944</v>
      </c>
      <c r="I1705" s="5">
        <v>2</v>
      </c>
      <c r="J1705" s="5">
        <v>7296</v>
      </c>
      <c r="K1705" t="s">
        <v>18</v>
      </c>
      <c r="L1705" t="s">
        <v>40</v>
      </c>
      <c r="M1705" t="s">
        <v>27</v>
      </c>
      <c r="N1705" t="s">
        <v>42</v>
      </c>
      <c r="O1705" t="s">
        <v>29</v>
      </c>
      <c r="P1705" t="s">
        <v>18</v>
      </c>
      <c r="Q1705">
        <f>Table1[[#This Row],[Course_Fee_AED]]-Table1[[#This Row],[Amount_Paid_AED]]</f>
        <v>3648</v>
      </c>
      <c r="R1705">
        <f>Table1[[#This Row],[Course_Fee_AED]]-Table1[[#This Row],[pending Revenue]]</f>
        <v>7296</v>
      </c>
    </row>
    <row r="1706" spans="1:18" x14ac:dyDescent="0.25">
      <c r="A1706" t="s">
        <v>1783</v>
      </c>
      <c r="B1706" s="2">
        <v>45550</v>
      </c>
      <c r="C1706" t="s">
        <v>24</v>
      </c>
      <c r="D1706" t="s">
        <v>25</v>
      </c>
      <c r="E1706" t="s">
        <v>17</v>
      </c>
      <c r="F1706" s="5">
        <v>6</v>
      </c>
      <c r="G1706" s="5">
        <v>1</v>
      </c>
      <c r="H1706" s="5">
        <v>5047</v>
      </c>
      <c r="I1706" s="5">
        <v>2</v>
      </c>
      <c r="J1706" s="5">
        <v>3364</v>
      </c>
      <c r="K1706" t="s">
        <v>18</v>
      </c>
      <c r="L1706" t="s">
        <v>57</v>
      </c>
      <c r="M1706" t="s">
        <v>60</v>
      </c>
      <c r="N1706" t="s">
        <v>86</v>
      </c>
      <c r="O1706" t="s">
        <v>49</v>
      </c>
      <c r="P1706" t="s">
        <v>18</v>
      </c>
      <c r="Q1706">
        <f>Table1[[#This Row],[Course_Fee_AED]]-Table1[[#This Row],[Amount_Paid_AED]]</f>
        <v>1683</v>
      </c>
      <c r="R1706">
        <f>Table1[[#This Row],[Course_Fee_AED]]-Table1[[#This Row],[pending Revenue]]</f>
        <v>3364</v>
      </c>
    </row>
    <row r="1707" spans="1:18" x14ac:dyDescent="0.25">
      <c r="A1707" t="s">
        <v>1784</v>
      </c>
      <c r="B1707" s="2">
        <v>45318</v>
      </c>
      <c r="C1707" t="s">
        <v>82</v>
      </c>
      <c r="D1707" t="s">
        <v>83</v>
      </c>
      <c r="E1707" t="s">
        <v>26</v>
      </c>
      <c r="F1707" s="5">
        <v>3</v>
      </c>
      <c r="G1707" s="5">
        <v>1</v>
      </c>
      <c r="H1707" s="5">
        <v>14179</v>
      </c>
      <c r="I1707" s="5">
        <v>1</v>
      </c>
      <c r="J1707" s="5">
        <v>4726</v>
      </c>
      <c r="K1707" t="s">
        <v>18</v>
      </c>
      <c r="L1707" t="s">
        <v>19</v>
      </c>
      <c r="M1707" t="s">
        <v>60</v>
      </c>
      <c r="N1707" t="s">
        <v>70</v>
      </c>
      <c r="O1707" t="s">
        <v>49</v>
      </c>
      <c r="P1707" t="s">
        <v>18</v>
      </c>
      <c r="Q1707">
        <f>Table1[[#This Row],[Course_Fee_AED]]-Table1[[#This Row],[Amount_Paid_AED]]</f>
        <v>9453</v>
      </c>
      <c r="R1707">
        <f>Table1[[#This Row],[Course_Fee_AED]]-Table1[[#This Row],[pending Revenue]]</f>
        <v>4726</v>
      </c>
    </row>
    <row r="1708" spans="1:18" x14ac:dyDescent="0.25">
      <c r="A1708" t="s">
        <v>1785</v>
      </c>
      <c r="B1708" s="2">
        <v>45504</v>
      </c>
      <c r="C1708" t="s">
        <v>106</v>
      </c>
      <c r="D1708" t="s">
        <v>107</v>
      </c>
      <c r="E1708" t="s">
        <v>26</v>
      </c>
      <c r="F1708" s="5">
        <v>3</v>
      </c>
      <c r="G1708" s="5">
        <v>1</v>
      </c>
      <c r="H1708" s="5">
        <v>5230</v>
      </c>
      <c r="I1708" s="5">
        <v>1</v>
      </c>
      <c r="J1708" s="5">
        <v>1743</v>
      </c>
      <c r="K1708" t="s">
        <v>18</v>
      </c>
      <c r="L1708" t="s">
        <v>19</v>
      </c>
      <c r="M1708" t="s">
        <v>47</v>
      </c>
      <c r="N1708" t="s">
        <v>90</v>
      </c>
      <c r="O1708" t="s">
        <v>29</v>
      </c>
      <c r="P1708" t="s">
        <v>36</v>
      </c>
      <c r="Q1708">
        <f>Table1[[#This Row],[Course_Fee_AED]]-Table1[[#This Row],[Amount_Paid_AED]]</f>
        <v>3487</v>
      </c>
      <c r="R1708">
        <f>Table1[[#This Row],[Course_Fee_AED]]-Table1[[#This Row],[pending Revenue]]</f>
        <v>1743</v>
      </c>
    </row>
    <row r="1709" spans="1:18" x14ac:dyDescent="0.25">
      <c r="A1709" t="s">
        <v>1786</v>
      </c>
      <c r="B1709" s="2">
        <v>45304</v>
      </c>
      <c r="C1709" t="s">
        <v>113</v>
      </c>
      <c r="D1709" t="s">
        <v>93</v>
      </c>
      <c r="E1709" t="s">
        <v>17</v>
      </c>
      <c r="F1709" s="5">
        <v>6</v>
      </c>
      <c r="G1709" s="5">
        <v>1</v>
      </c>
      <c r="H1709" s="5">
        <v>4876</v>
      </c>
      <c r="I1709" s="5">
        <v>1</v>
      </c>
      <c r="J1709" s="5">
        <v>1625</v>
      </c>
      <c r="K1709" t="s">
        <v>18</v>
      </c>
      <c r="L1709" t="s">
        <v>57</v>
      </c>
      <c r="M1709" t="s">
        <v>20</v>
      </c>
      <c r="N1709" t="s">
        <v>73</v>
      </c>
      <c r="O1709" t="s">
        <v>29</v>
      </c>
      <c r="P1709" t="s">
        <v>18</v>
      </c>
      <c r="Q1709">
        <f>Table1[[#This Row],[Course_Fee_AED]]-Table1[[#This Row],[Amount_Paid_AED]]</f>
        <v>3251</v>
      </c>
      <c r="R1709">
        <f>Table1[[#This Row],[Course_Fee_AED]]-Table1[[#This Row],[pending Revenue]]</f>
        <v>1625</v>
      </c>
    </row>
    <row r="1710" spans="1:18" x14ac:dyDescent="0.25">
      <c r="A1710" t="s">
        <v>1787</v>
      </c>
      <c r="B1710" s="2">
        <v>45407</v>
      </c>
      <c r="C1710" t="s">
        <v>66</v>
      </c>
      <c r="D1710" t="s">
        <v>56</v>
      </c>
      <c r="E1710" t="s">
        <v>26</v>
      </c>
      <c r="F1710" s="5">
        <v>3</v>
      </c>
      <c r="G1710" s="5">
        <v>1</v>
      </c>
      <c r="H1710" s="5">
        <v>8530</v>
      </c>
      <c r="I1710" s="5">
        <v>3</v>
      </c>
      <c r="J1710" s="5">
        <v>8529</v>
      </c>
      <c r="K1710" t="s">
        <v>18</v>
      </c>
      <c r="L1710" t="s">
        <v>40</v>
      </c>
      <c r="M1710" t="s">
        <v>41</v>
      </c>
      <c r="N1710" t="s">
        <v>61</v>
      </c>
      <c r="O1710" t="s">
        <v>71</v>
      </c>
      <c r="P1710" t="s">
        <v>18</v>
      </c>
      <c r="Q1710">
        <f>Table1[[#This Row],[Course_Fee_AED]]-Table1[[#This Row],[Amount_Paid_AED]]</f>
        <v>1</v>
      </c>
      <c r="R1710">
        <f>Table1[[#This Row],[Course_Fee_AED]]-Table1[[#This Row],[pending Revenue]]</f>
        <v>8529</v>
      </c>
    </row>
    <row r="1711" spans="1:18" x14ac:dyDescent="0.25">
      <c r="A1711" t="s">
        <v>1788</v>
      </c>
      <c r="B1711" s="2">
        <v>45544</v>
      </c>
      <c r="C1711" t="s">
        <v>82</v>
      </c>
      <c r="D1711" t="s">
        <v>83</v>
      </c>
      <c r="E1711" t="s">
        <v>17</v>
      </c>
      <c r="F1711" s="5">
        <v>6</v>
      </c>
      <c r="G1711" s="5">
        <v>1</v>
      </c>
      <c r="H1711" s="5">
        <v>14220</v>
      </c>
      <c r="I1711" s="5">
        <v>1</v>
      </c>
      <c r="J1711" s="5">
        <v>4740</v>
      </c>
      <c r="K1711" t="s">
        <v>18</v>
      </c>
      <c r="L1711" t="s">
        <v>57</v>
      </c>
      <c r="M1711" t="s">
        <v>20</v>
      </c>
      <c r="N1711" t="s">
        <v>28</v>
      </c>
      <c r="O1711" t="s">
        <v>22</v>
      </c>
      <c r="P1711" t="s">
        <v>18</v>
      </c>
      <c r="Q1711">
        <f>Table1[[#This Row],[Course_Fee_AED]]-Table1[[#This Row],[Amount_Paid_AED]]</f>
        <v>9480</v>
      </c>
      <c r="R1711">
        <f>Table1[[#This Row],[Course_Fee_AED]]-Table1[[#This Row],[pending Revenue]]</f>
        <v>4740</v>
      </c>
    </row>
    <row r="1712" spans="1:18" x14ac:dyDescent="0.25">
      <c r="A1712" t="s">
        <v>1789</v>
      </c>
      <c r="B1712" s="2">
        <v>45519</v>
      </c>
      <c r="C1712" t="s">
        <v>31</v>
      </c>
      <c r="D1712" t="s">
        <v>32</v>
      </c>
      <c r="E1712" t="s">
        <v>26</v>
      </c>
      <c r="F1712" s="5">
        <v>3</v>
      </c>
      <c r="G1712" s="5">
        <v>1</v>
      </c>
      <c r="H1712" s="5">
        <v>5734</v>
      </c>
      <c r="I1712" s="5">
        <v>1</v>
      </c>
      <c r="J1712" s="5">
        <v>1911</v>
      </c>
      <c r="K1712" t="s">
        <v>18</v>
      </c>
      <c r="L1712" t="s">
        <v>57</v>
      </c>
      <c r="M1712" t="s">
        <v>41</v>
      </c>
      <c r="N1712" t="s">
        <v>90</v>
      </c>
      <c r="O1712" t="s">
        <v>68</v>
      </c>
      <c r="P1712" t="s">
        <v>36</v>
      </c>
      <c r="Q1712">
        <f>Table1[[#This Row],[Course_Fee_AED]]-Table1[[#This Row],[Amount_Paid_AED]]</f>
        <v>3823</v>
      </c>
      <c r="R1712">
        <f>Table1[[#This Row],[Course_Fee_AED]]-Table1[[#This Row],[pending Revenue]]</f>
        <v>1911</v>
      </c>
    </row>
    <row r="1713" spans="1:18" x14ac:dyDescent="0.25">
      <c r="A1713" t="s">
        <v>1790</v>
      </c>
      <c r="B1713" s="2">
        <v>45429</v>
      </c>
      <c r="C1713" t="s">
        <v>15</v>
      </c>
      <c r="D1713" t="s">
        <v>16</v>
      </c>
      <c r="E1713" t="s">
        <v>17</v>
      </c>
      <c r="F1713" s="5">
        <v>6</v>
      </c>
      <c r="G1713" s="5">
        <v>1</v>
      </c>
      <c r="H1713" s="5">
        <v>5527</v>
      </c>
      <c r="I1713" s="5">
        <v>3</v>
      </c>
      <c r="J1713" s="5">
        <v>5526</v>
      </c>
      <c r="K1713" t="s">
        <v>18</v>
      </c>
      <c r="L1713" t="s">
        <v>40</v>
      </c>
      <c r="M1713" t="s">
        <v>47</v>
      </c>
      <c r="N1713" t="s">
        <v>86</v>
      </c>
      <c r="O1713" t="s">
        <v>87</v>
      </c>
      <c r="P1713" t="s">
        <v>36</v>
      </c>
      <c r="Q1713">
        <f>Table1[[#This Row],[Course_Fee_AED]]-Table1[[#This Row],[Amount_Paid_AED]]</f>
        <v>1</v>
      </c>
      <c r="R1713">
        <f>Table1[[#This Row],[Course_Fee_AED]]-Table1[[#This Row],[pending Revenue]]</f>
        <v>5526</v>
      </c>
    </row>
    <row r="1714" spans="1:18" x14ac:dyDescent="0.25">
      <c r="A1714" t="s">
        <v>1791</v>
      </c>
      <c r="B1714" s="2">
        <v>45597</v>
      </c>
      <c r="C1714" t="s">
        <v>106</v>
      </c>
      <c r="D1714" t="s">
        <v>107</v>
      </c>
      <c r="E1714" t="s">
        <v>17</v>
      </c>
      <c r="F1714" s="5">
        <v>6</v>
      </c>
      <c r="G1714" s="5">
        <v>1</v>
      </c>
      <c r="H1714" s="5">
        <v>8710</v>
      </c>
      <c r="I1714" s="5">
        <v>3</v>
      </c>
      <c r="J1714" s="5">
        <v>8709</v>
      </c>
      <c r="K1714" t="s">
        <v>18</v>
      </c>
      <c r="L1714" t="s">
        <v>57</v>
      </c>
      <c r="M1714" t="s">
        <v>60</v>
      </c>
      <c r="N1714" t="s">
        <v>116</v>
      </c>
      <c r="O1714" t="s">
        <v>58</v>
      </c>
      <c r="P1714" t="s">
        <v>18</v>
      </c>
      <c r="Q1714">
        <f>Table1[[#This Row],[Course_Fee_AED]]-Table1[[#This Row],[Amount_Paid_AED]]</f>
        <v>1</v>
      </c>
      <c r="R1714">
        <f>Table1[[#This Row],[Course_Fee_AED]]-Table1[[#This Row],[pending Revenue]]</f>
        <v>8709</v>
      </c>
    </row>
    <row r="1715" spans="1:18" x14ac:dyDescent="0.25">
      <c r="A1715" t="s">
        <v>1792</v>
      </c>
      <c r="B1715" s="2">
        <v>45625</v>
      </c>
      <c r="C1715" t="s">
        <v>45</v>
      </c>
      <c r="D1715" t="s">
        <v>46</v>
      </c>
      <c r="E1715" t="s">
        <v>26</v>
      </c>
      <c r="F1715" s="5">
        <v>3</v>
      </c>
      <c r="G1715" s="5">
        <v>1</v>
      </c>
      <c r="H1715" s="5">
        <v>5264</v>
      </c>
      <c r="I1715" s="5">
        <v>1</v>
      </c>
      <c r="J1715" s="5">
        <v>1754</v>
      </c>
      <c r="K1715" t="s">
        <v>18</v>
      </c>
      <c r="L1715" t="s">
        <v>19</v>
      </c>
      <c r="M1715" t="s">
        <v>63</v>
      </c>
      <c r="N1715" t="s">
        <v>79</v>
      </c>
      <c r="O1715" t="s">
        <v>64</v>
      </c>
      <c r="P1715" t="s">
        <v>18</v>
      </c>
      <c r="Q1715">
        <f>Table1[[#This Row],[Course_Fee_AED]]-Table1[[#This Row],[Amount_Paid_AED]]</f>
        <v>3510</v>
      </c>
      <c r="R1715">
        <f>Table1[[#This Row],[Course_Fee_AED]]-Table1[[#This Row],[pending Revenue]]</f>
        <v>1754</v>
      </c>
    </row>
    <row r="1716" spans="1:18" x14ac:dyDescent="0.25">
      <c r="A1716" t="s">
        <v>1793</v>
      </c>
      <c r="B1716" s="2">
        <v>45645</v>
      </c>
      <c r="C1716" t="s">
        <v>38</v>
      </c>
      <c r="D1716" t="s">
        <v>39</v>
      </c>
      <c r="E1716" t="s">
        <v>26</v>
      </c>
      <c r="F1716" s="5">
        <v>3</v>
      </c>
      <c r="G1716" s="5">
        <v>1</v>
      </c>
      <c r="H1716" s="5">
        <v>4605</v>
      </c>
      <c r="I1716" s="5">
        <v>1</v>
      </c>
      <c r="J1716" s="5">
        <v>1535</v>
      </c>
      <c r="K1716" t="s">
        <v>18</v>
      </c>
      <c r="L1716" t="s">
        <v>57</v>
      </c>
      <c r="M1716" t="s">
        <v>41</v>
      </c>
      <c r="N1716" t="s">
        <v>53</v>
      </c>
      <c r="O1716" t="s">
        <v>43</v>
      </c>
      <c r="P1716" t="s">
        <v>18</v>
      </c>
      <c r="Q1716">
        <f>Table1[[#This Row],[Course_Fee_AED]]-Table1[[#This Row],[Amount_Paid_AED]]</f>
        <v>3070</v>
      </c>
      <c r="R1716">
        <f>Table1[[#This Row],[Course_Fee_AED]]-Table1[[#This Row],[pending Revenue]]</f>
        <v>1535</v>
      </c>
    </row>
    <row r="1717" spans="1:18" x14ac:dyDescent="0.25">
      <c r="A1717" t="s">
        <v>1794</v>
      </c>
      <c r="B1717" s="2">
        <v>45321</v>
      </c>
      <c r="C1717" t="s">
        <v>113</v>
      </c>
      <c r="D1717" t="s">
        <v>93</v>
      </c>
      <c r="E1717" t="s">
        <v>26</v>
      </c>
      <c r="F1717" s="5">
        <v>3</v>
      </c>
      <c r="G1717" s="5">
        <v>1</v>
      </c>
      <c r="H1717" s="5">
        <v>4901</v>
      </c>
      <c r="I1717" s="5">
        <v>1</v>
      </c>
      <c r="J1717" s="5">
        <v>1633</v>
      </c>
      <c r="K1717" t="s">
        <v>18</v>
      </c>
      <c r="L1717" t="s">
        <v>19</v>
      </c>
      <c r="M1717" t="s">
        <v>41</v>
      </c>
      <c r="N1717" t="s">
        <v>28</v>
      </c>
      <c r="O1717" t="s">
        <v>68</v>
      </c>
      <c r="P1717" t="s">
        <v>18</v>
      </c>
      <c r="Q1717">
        <f>Table1[[#This Row],[Course_Fee_AED]]-Table1[[#This Row],[Amount_Paid_AED]]</f>
        <v>3268</v>
      </c>
      <c r="R1717">
        <f>Table1[[#This Row],[Course_Fee_AED]]-Table1[[#This Row],[pending Revenue]]</f>
        <v>1633</v>
      </c>
    </row>
    <row r="1718" spans="1:18" x14ac:dyDescent="0.25">
      <c r="A1718" t="s">
        <v>1795</v>
      </c>
      <c r="B1718" s="2">
        <v>45521</v>
      </c>
      <c r="C1718" t="s">
        <v>31</v>
      </c>
      <c r="D1718" t="s">
        <v>32</v>
      </c>
      <c r="E1718" t="s">
        <v>26</v>
      </c>
      <c r="F1718" s="5">
        <v>3</v>
      </c>
      <c r="G1718" s="5">
        <v>1</v>
      </c>
      <c r="H1718" s="5">
        <v>6050</v>
      </c>
      <c r="I1718" s="5">
        <v>1</v>
      </c>
      <c r="J1718" s="5">
        <v>2016</v>
      </c>
      <c r="K1718" t="s">
        <v>18</v>
      </c>
      <c r="L1718" t="s">
        <v>19</v>
      </c>
      <c r="M1718" t="s">
        <v>47</v>
      </c>
      <c r="N1718" t="s">
        <v>79</v>
      </c>
      <c r="O1718" t="s">
        <v>64</v>
      </c>
      <c r="P1718" t="s">
        <v>18</v>
      </c>
      <c r="Q1718">
        <f>Table1[[#This Row],[Course_Fee_AED]]-Table1[[#This Row],[Amount_Paid_AED]]</f>
        <v>4034</v>
      </c>
      <c r="R1718">
        <f>Table1[[#This Row],[Course_Fee_AED]]-Table1[[#This Row],[pending Revenue]]</f>
        <v>2016</v>
      </c>
    </row>
    <row r="1719" spans="1:18" x14ac:dyDescent="0.25">
      <c r="A1719" t="s">
        <v>1796</v>
      </c>
      <c r="B1719" s="2">
        <v>45356</v>
      </c>
      <c r="C1719" t="s">
        <v>51</v>
      </c>
      <c r="D1719" t="s">
        <v>52</v>
      </c>
      <c r="E1719" t="s">
        <v>17</v>
      </c>
      <c r="F1719" s="5">
        <v>6</v>
      </c>
      <c r="G1719" s="5">
        <v>1</v>
      </c>
      <c r="H1719" s="5">
        <v>5975</v>
      </c>
      <c r="I1719" s="5">
        <v>1</v>
      </c>
      <c r="J1719" s="5">
        <v>1991</v>
      </c>
      <c r="K1719" t="s">
        <v>18</v>
      </c>
      <c r="L1719" t="s">
        <v>57</v>
      </c>
      <c r="M1719" t="s">
        <v>20</v>
      </c>
      <c r="N1719" t="s">
        <v>61</v>
      </c>
      <c r="O1719" t="s">
        <v>68</v>
      </c>
      <c r="P1719" t="s">
        <v>18</v>
      </c>
      <c r="Q1719">
        <f>Table1[[#This Row],[Course_Fee_AED]]-Table1[[#This Row],[Amount_Paid_AED]]</f>
        <v>3984</v>
      </c>
      <c r="R1719">
        <f>Table1[[#This Row],[Course_Fee_AED]]-Table1[[#This Row],[pending Revenue]]</f>
        <v>1991</v>
      </c>
    </row>
    <row r="1720" spans="1:18" x14ac:dyDescent="0.25">
      <c r="A1720" t="s">
        <v>1797</v>
      </c>
      <c r="B1720" s="2">
        <v>45366</v>
      </c>
      <c r="C1720" t="s">
        <v>31</v>
      </c>
      <c r="D1720" t="s">
        <v>32</v>
      </c>
      <c r="E1720" t="s">
        <v>26</v>
      </c>
      <c r="F1720" s="5">
        <v>3</v>
      </c>
      <c r="G1720" s="5">
        <v>1</v>
      </c>
      <c r="H1720" s="5">
        <v>6348</v>
      </c>
      <c r="I1720" s="5">
        <v>1</v>
      </c>
      <c r="J1720" s="5">
        <v>2116</v>
      </c>
      <c r="K1720" t="s">
        <v>18</v>
      </c>
      <c r="L1720" t="s">
        <v>19</v>
      </c>
      <c r="M1720" t="s">
        <v>63</v>
      </c>
      <c r="N1720" t="s">
        <v>34</v>
      </c>
      <c r="O1720" t="s">
        <v>29</v>
      </c>
      <c r="P1720" t="s">
        <v>36</v>
      </c>
      <c r="Q1720">
        <f>Table1[[#This Row],[Course_Fee_AED]]-Table1[[#This Row],[Amount_Paid_AED]]</f>
        <v>4232</v>
      </c>
      <c r="R1720">
        <f>Table1[[#This Row],[Course_Fee_AED]]-Table1[[#This Row],[pending Revenue]]</f>
        <v>2116</v>
      </c>
    </row>
    <row r="1721" spans="1:18" x14ac:dyDescent="0.25">
      <c r="A1721" t="s">
        <v>1798</v>
      </c>
      <c r="B1721" s="2">
        <v>45591</v>
      </c>
      <c r="C1721" t="s">
        <v>38</v>
      </c>
      <c r="D1721" t="s">
        <v>39</v>
      </c>
      <c r="E1721" t="s">
        <v>17</v>
      </c>
      <c r="F1721" s="5">
        <v>6</v>
      </c>
      <c r="G1721" s="5">
        <v>1</v>
      </c>
      <c r="H1721" s="5">
        <v>7203</v>
      </c>
      <c r="I1721" s="5">
        <v>3</v>
      </c>
      <c r="J1721" s="5">
        <v>7203</v>
      </c>
      <c r="K1721" t="s">
        <v>33</v>
      </c>
      <c r="L1721" t="s">
        <v>57</v>
      </c>
      <c r="M1721" t="s">
        <v>27</v>
      </c>
      <c r="N1721" t="s">
        <v>73</v>
      </c>
      <c r="O1721" t="s">
        <v>22</v>
      </c>
      <c r="P1721" t="s">
        <v>36</v>
      </c>
      <c r="Q1721">
        <f>Table1[[#This Row],[Course_Fee_AED]]-Table1[[#This Row],[Amount_Paid_AED]]</f>
        <v>0</v>
      </c>
      <c r="R1721">
        <f>Table1[[#This Row],[Course_Fee_AED]]-Table1[[#This Row],[pending Revenue]]</f>
        <v>7203</v>
      </c>
    </row>
    <row r="1722" spans="1:18" x14ac:dyDescent="0.25">
      <c r="A1722" t="s">
        <v>1799</v>
      </c>
      <c r="B1722" s="2">
        <v>45636</v>
      </c>
      <c r="C1722" t="s">
        <v>82</v>
      </c>
      <c r="D1722" t="s">
        <v>83</v>
      </c>
      <c r="E1722" t="s">
        <v>17</v>
      </c>
      <c r="F1722" s="5">
        <v>6</v>
      </c>
      <c r="G1722" s="5">
        <v>1</v>
      </c>
      <c r="H1722" s="5">
        <v>10993</v>
      </c>
      <c r="I1722" s="5">
        <v>1</v>
      </c>
      <c r="J1722" s="5">
        <v>3664</v>
      </c>
      <c r="K1722" t="s">
        <v>18</v>
      </c>
      <c r="L1722" t="s">
        <v>57</v>
      </c>
      <c r="M1722" t="s">
        <v>41</v>
      </c>
      <c r="N1722" t="s">
        <v>70</v>
      </c>
      <c r="O1722" t="s">
        <v>22</v>
      </c>
      <c r="P1722" t="s">
        <v>36</v>
      </c>
      <c r="Q1722">
        <f>Table1[[#This Row],[Course_Fee_AED]]-Table1[[#This Row],[Amount_Paid_AED]]</f>
        <v>7329</v>
      </c>
      <c r="R1722">
        <f>Table1[[#This Row],[Course_Fee_AED]]-Table1[[#This Row],[pending Revenue]]</f>
        <v>3664</v>
      </c>
    </row>
    <row r="1723" spans="1:18" x14ac:dyDescent="0.25">
      <c r="A1723" t="s">
        <v>1800</v>
      </c>
      <c r="B1723" s="2">
        <v>45358</v>
      </c>
      <c r="C1723" t="s">
        <v>51</v>
      </c>
      <c r="D1723" t="s">
        <v>52</v>
      </c>
      <c r="E1723" t="s">
        <v>26</v>
      </c>
      <c r="F1723" s="5">
        <v>3</v>
      </c>
      <c r="G1723" s="5">
        <v>1</v>
      </c>
      <c r="H1723" s="5">
        <v>4469</v>
      </c>
      <c r="I1723" s="5">
        <v>3</v>
      </c>
      <c r="J1723" s="5">
        <v>4467</v>
      </c>
      <c r="K1723" t="s">
        <v>18</v>
      </c>
      <c r="L1723" t="s">
        <v>57</v>
      </c>
      <c r="M1723" t="s">
        <v>47</v>
      </c>
      <c r="N1723" t="s">
        <v>86</v>
      </c>
      <c r="O1723" t="s">
        <v>58</v>
      </c>
      <c r="P1723" t="s">
        <v>36</v>
      </c>
      <c r="Q1723">
        <f>Table1[[#This Row],[Course_Fee_AED]]-Table1[[#This Row],[Amount_Paid_AED]]</f>
        <v>2</v>
      </c>
      <c r="R1723">
        <f>Table1[[#This Row],[Course_Fee_AED]]-Table1[[#This Row],[pending Revenue]]</f>
        <v>4467</v>
      </c>
    </row>
    <row r="1724" spans="1:18" x14ac:dyDescent="0.25">
      <c r="A1724" t="s">
        <v>1801</v>
      </c>
      <c r="B1724" s="2">
        <v>45635</v>
      </c>
      <c r="C1724" t="s">
        <v>38</v>
      </c>
      <c r="D1724" t="s">
        <v>39</v>
      </c>
      <c r="E1724" t="s">
        <v>17</v>
      </c>
      <c r="F1724" s="5">
        <v>6</v>
      </c>
      <c r="G1724" s="5">
        <v>1</v>
      </c>
      <c r="H1724" s="5">
        <v>7328</v>
      </c>
      <c r="I1724" s="5">
        <v>1</v>
      </c>
      <c r="J1724" s="5">
        <v>2442</v>
      </c>
      <c r="K1724" t="s">
        <v>18</v>
      </c>
      <c r="L1724" t="s">
        <v>19</v>
      </c>
      <c r="M1724" t="s">
        <v>27</v>
      </c>
      <c r="N1724" t="s">
        <v>90</v>
      </c>
      <c r="O1724" t="s">
        <v>87</v>
      </c>
      <c r="P1724" t="s">
        <v>18</v>
      </c>
      <c r="Q1724">
        <f>Table1[[#This Row],[Course_Fee_AED]]-Table1[[#This Row],[Amount_Paid_AED]]</f>
        <v>4886</v>
      </c>
      <c r="R1724">
        <f>Table1[[#This Row],[Course_Fee_AED]]-Table1[[#This Row],[pending Revenue]]</f>
        <v>2442</v>
      </c>
    </row>
    <row r="1725" spans="1:18" x14ac:dyDescent="0.25">
      <c r="A1725" t="s">
        <v>1802</v>
      </c>
      <c r="B1725" s="2">
        <v>45503</v>
      </c>
      <c r="C1725" t="s">
        <v>24</v>
      </c>
      <c r="D1725" t="s">
        <v>25</v>
      </c>
      <c r="E1725" t="s">
        <v>17</v>
      </c>
      <c r="F1725" s="5">
        <v>6</v>
      </c>
      <c r="G1725" s="5">
        <v>1</v>
      </c>
      <c r="H1725" s="5">
        <v>6427</v>
      </c>
      <c r="I1725" s="5">
        <v>2</v>
      </c>
      <c r="J1725" s="5">
        <v>4284</v>
      </c>
      <c r="K1725" t="s">
        <v>18</v>
      </c>
      <c r="L1725" t="s">
        <v>19</v>
      </c>
      <c r="M1725" t="s">
        <v>41</v>
      </c>
      <c r="N1725" t="s">
        <v>21</v>
      </c>
      <c r="O1725" t="s">
        <v>87</v>
      </c>
      <c r="P1725" t="s">
        <v>18</v>
      </c>
      <c r="Q1725">
        <f>Table1[[#This Row],[Course_Fee_AED]]-Table1[[#This Row],[Amount_Paid_AED]]</f>
        <v>2143</v>
      </c>
      <c r="R1725">
        <f>Table1[[#This Row],[Course_Fee_AED]]-Table1[[#This Row],[pending Revenue]]</f>
        <v>4284</v>
      </c>
    </row>
    <row r="1726" spans="1:18" x14ac:dyDescent="0.25">
      <c r="A1726" t="s">
        <v>1803</v>
      </c>
      <c r="B1726" s="2">
        <v>45616</v>
      </c>
      <c r="C1726" t="s">
        <v>100</v>
      </c>
      <c r="D1726" t="s">
        <v>101</v>
      </c>
      <c r="E1726" t="s">
        <v>26</v>
      </c>
      <c r="F1726" s="5">
        <v>3</v>
      </c>
      <c r="G1726" s="5">
        <v>1</v>
      </c>
      <c r="H1726" s="5">
        <v>5336</v>
      </c>
      <c r="I1726" s="5">
        <v>3</v>
      </c>
      <c r="J1726" s="5">
        <v>5334</v>
      </c>
      <c r="K1726" t="s">
        <v>18</v>
      </c>
      <c r="L1726" t="s">
        <v>57</v>
      </c>
      <c r="M1726" t="s">
        <v>41</v>
      </c>
      <c r="N1726" t="s">
        <v>61</v>
      </c>
      <c r="O1726" t="s">
        <v>43</v>
      </c>
      <c r="P1726" t="s">
        <v>18</v>
      </c>
      <c r="Q1726">
        <f>Table1[[#This Row],[Course_Fee_AED]]-Table1[[#This Row],[Amount_Paid_AED]]</f>
        <v>2</v>
      </c>
      <c r="R1726">
        <f>Table1[[#This Row],[Course_Fee_AED]]-Table1[[#This Row],[pending Revenue]]</f>
        <v>5334</v>
      </c>
    </row>
    <row r="1727" spans="1:18" x14ac:dyDescent="0.25">
      <c r="A1727" t="s">
        <v>1804</v>
      </c>
      <c r="B1727" s="2">
        <v>45363</v>
      </c>
      <c r="C1727" t="s">
        <v>92</v>
      </c>
      <c r="D1727" t="s">
        <v>93</v>
      </c>
      <c r="E1727" t="s">
        <v>26</v>
      </c>
      <c r="F1727" s="5">
        <v>3</v>
      </c>
      <c r="G1727" s="5">
        <v>1</v>
      </c>
      <c r="H1727" s="5">
        <v>5041</v>
      </c>
      <c r="I1727" s="5">
        <v>1</v>
      </c>
      <c r="J1727" s="5">
        <v>1680</v>
      </c>
      <c r="K1727" t="s">
        <v>18</v>
      </c>
      <c r="L1727" t="s">
        <v>19</v>
      </c>
      <c r="M1727" t="s">
        <v>63</v>
      </c>
      <c r="N1727" t="s">
        <v>79</v>
      </c>
      <c r="O1727" t="s">
        <v>35</v>
      </c>
      <c r="P1727" t="s">
        <v>18</v>
      </c>
      <c r="Q1727">
        <f>Table1[[#This Row],[Course_Fee_AED]]-Table1[[#This Row],[Amount_Paid_AED]]</f>
        <v>3361</v>
      </c>
      <c r="R1727">
        <f>Table1[[#This Row],[Course_Fee_AED]]-Table1[[#This Row],[pending Revenue]]</f>
        <v>1680</v>
      </c>
    </row>
    <row r="1728" spans="1:18" x14ac:dyDescent="0.25">
      <c r="A1728" t="s">
        <v>1805</v>
      </c>
      <c r="B1728" s="2">
        <v>45584</v>
      </c>
      <c r="C1728" t="s">
        <v>55</v>
      </c>
      <c r="D1728" t="s">
        <v>56</v>
      </c>
      <c r="E1728" t="s">
        <v>17</v>
      </c>
      <c r="F1728" s="5">
        <v>6</v>
      </c>
      <c r="G1728" s="5">
        <v>1</v>
      </c>
      <c r="H1728" s="5">
        <v>10271</v>
      </c>
      <c r="I1728" s="5">
        <v>1</v>
      </c>
      <c r="J1728" s="5">
        <v>3423</v>
      </c>
      <c r="K1728" t="s">
        <v>18</v>
      </c>
      <c r="L1728" t="s">
        <v>40</v>
      </c>
      <c r="M1728" t="s">
        <v>63</v>
      </c>
      <c r="N1728" t="s">
        <v>116</v>
      </c>
      <c r="O1728" t="s">
        <v>49</v>
      </c>
      <c r="P1728" t="s">
        <v>36</v>
      </c>
      <c r="Q1728">
        <f>Table1[[#This Row],[Course_Fee_AED]]-Table1[[#This Row],[Amount_Paid_AED]]</f>
        <v>6848</v>
      </c>
      <c r="R1728">
        <f>Table1[[#This Row],[Course_Fee_AED]]-Table1[[#This Row],[pending Revenue]]</f>
        <v>3423</v>
      </c>
    </row>
    <row r="1729" spans="1:18" x14ac:dyDescent="0.25">
      <c r="A1729" t="s">
        <v>1806</v>
      </c>
      <c r="B1729" s="2">
        <v>45388</v>
      </c>
      <c r="C1729" t="s">
        <v>106</v>
      </c>
      <c r="D1729" t="s">
        <v>107</v>
      </c>
      <c r="E1729" t="s">
        <v>26</v>
      </c>
      <c r="F1729" s="5">
        <v>3</v>
      </c>
      <c r="G1729" s="5">
        <v>1</v>
      </c>
      <c r="H1729" s="5">
        <v>8160</v>
      </c>
      <c r="I1729" s="5">
        <v>1</v>
      </c>
      <c r="J1729" s="5">
        <v>2720</v>
      </c>
      <c r="K1729" t="s">
        <v>18</v>
      </c>
      <c r="L1729" t="s">
        <v>40</v>
      </c>
      <c r="M1729" t="s">
        <v>60</v>
      </c>
      <c r="N1729" t="s">
        <v>95</v>
      </c>
      <c r="O1729" t="s">
        <v>29</v>
      </c>
      <c r="P1729" t="s">
        <v>18</v>
      </c>
      <c r="Q1729">
        <f>Table1[[#This Row],[Course_Fee_AED]]-Table1[[#This Row],[Amount_Paid_AED]]</f>
        <v>5440</v>
      </c>
      <c r="R1729">
        <f>Table1[[#This Row],[Course_Fee_AED]]-Table1[[#This Row],[pending Revenue]]</f>
        <v>2720</v>
      </c>
    </row>
    <row r="1730" spans="1:18" x14ac:dyDescent="0.25">
      <c r="A1730" t="s">
        <v>1807</v>
      </c>
      <c r="B1730" s="2">
        <v>45512</v>
      </c>
      <c r="C1730" t="s">
        <v>15</v>
      </c>
      <c r="D1730" t="s">
        <v>16</v>
      </c>
      <c r="E1730" t="s">
        <v>26</v>
      </c>
      <c r="F1730" s="5">
        <v>3</v>
      </c>
      <c r="G1730" s="5">
        <v>1</v>
      </c>
      <c r="H1730" s="5">
        <v>6519</v>
      </c>
      <c r="I1730" s="5">
        <v>2</v>
      </c>
      <c r="J1730" s="5">
        <v>4346</v>
      </c>
      <c r="K1730" t="s">
        <v>18</v>
      </c>
      <c r="L1730" t="s">
        <v>19</v>
      </c>
      <c r="M1730" t="s">
        <v>63</v>
      </c>
      <c r="N1730" t="s">
        <v>61</v>
      </c>
      <c r="O1730" t="s">
        <v>71</v>
      </c>
      <c r="P1730" t="s">
        <v>36</v>
      </c>
      <c r="Q1730">
        <f>Table1[[#This Row],[Course_Fee_AED]]-Table1[[#This Row],[Amount_Paid_AED]]</f>
        <v>2173</v>
      </c>
      <c r="R1730">
        <f>Table1[[#This Row],[Course_Fee_AED]]-Table1[[#This Row],[pending Revenue]]</f>
        <v>4346</v>
      </c>
    </row>
    <row r="1731" spans="1:18" x14ac:dyDescent="0.25">
      <c r="A1731" t="s">
        <v>1808</v>
      </c>
      <c r="B1731" s="2">
        <v>45594</v>
      </c>
      <c r="C1731" t="s">
        <v>24</v>
      </c>
      <c r="D1731" t="s">
        <v>25</v>
      </c>
      <c r="E1731" t="s">
        <v>26</v>
      </c>
      <c r="F1731" s="5">
        <v>3</v>
      </c>
      <c r="G1731" s="5">
        <v>1</v>
      </c>
      <c r="H1731" s="5">
        <v>5368</v>
      </c>
      <c r="I1731" s="5">
        <v>3</v>
      </c>
      <c r="J1731" s="5">
        <v>5367</v>
      </c>
      <c r="K1731" t="s">
        <v>18</v>
      </c>
      <c r="L1731" t="s">
        <v>40</v>
      </c>
      <c r="M1731" t="s">
        <v>27</v>
      </c>
      <c r="N1731" t="s">
        <v>90</v>
      </c>
      <c r="O1731" t="s">
        <v>43</v>
      </c>
      <c r="P1731" t="s">
        <v>18</v>
      </c>
      <c r="Q1731">
        <f>Table1[[#This Row],[Course_Fee_AED]]-Table1[[#This Row],[Amount_Paid_AED]]</f>
        <v>1</v>
      </c>
      <c r="R1731">
        <f>Table1[[#This Row],[Course_Fee_AED]]-Table1[[#This Row],[pending Revenue]]</f>
        <v>5367</v>
      </c>
    </row>
    <row r="1732" spans="1:18" x14ac:dyDescent="0.25">
      <c r="A1732" t="s">
        <v>1809</v>
      </c>
      <c r="B1732" s="2">
        <v>45459</v>
      </c>
      <c r="C1732" t="s">
        <v>55</v>
      </c>
      <c r="D1732" t="s">
        <v>56</v>
      </c>
      <c r="E1732" t="s">
        <v>26</v>
      </c>
      <c r="F1732" s="5">
        <v>3</v>
      </c>
      <c r="G1732" s="5">
        <v>1</v>
      </c>
      <c r="H1732" s="5">
        <v>8160</v>
      </c>
      <c r="I1732" s="5">
        <v>1</v>
      </c>
      <c r="J1732" s="5">
        <v>2720</v>
      </c>
      <c r="K1732" t="s">
        <v>18</v>
      </c>
      <c r="L1732" t="s">
        <v>57</v>
      </c>
      <c r="M1732" t="s">
        <v>41</v>
      </c>
      <c r="N1732" t="s">
        <v>34</v>
      </c>
      <c r="O1732" t="s">
        <v>64</v>
      </c>
      <c r="P1732" t="s">
        <v>18</v>
      </c>
      <c r="Q1732">
        <f>Table1[[#This Row],[Course_Fee_AED]]-Table1[[#This Row],[Amount_Paid_AED]]</f>
        <v>5440</v>
      </c>
      <c r="R1732">
        <f>Table1[[#This Row],[Course_Fee_AED]]-Table1[[#This Row],[pending Revenue]]</f>
        <v>2720</v>
      </c>
    </row>
    <row r="1733" spans="1:18" x14ac:dyDescent="0.25">
      <c r="A1733" t="s">
        <v>1810</v>
      </c>
      <c r="B1733" s="2">
        <v>45606</v>
      </c>
      <c r="C1733" t="s">
        <v>82</v>
      </c>
      <c r="D1733" t="s">
        <v>83</v>
      </c>
      <c r="E1733" t="s">
        <v>17</v>
      </c>
      <c r="F1733" s="5">
        <v>6</v>
      </c>
      <c r="G1733" s="5">
        <v>1</v>
      </c>
      <c r="H1733" s="5">
        <v>10002</v>
      </c>
      <c r="I1733" s="5">
        <v>2</v>
      </c>
      <c r="J1733" s="5">
        <v>6668</v>
      </c>
      <c r="K1733" t="s">
        <v>18</v>
      </c>
      <c r="L1733" t="s">
        <v>19</v>
      </c>
      <c r="M1733" t="s">
        <v>41</v>
      </c>
      <c r="N1733" t="s">
        <v>70</v>
      </c>
      <c r="O1733" t="s">
        <v>64</v>
      </c>
      <c r="P1733" t="s">
        <v>36</v>
      </c>
      <c r="Q1733">
        <f>Table1[[#This Row],[Course_Fee_AED]]-Table1[[#This Row],[Amount_Paid_AED]]</f>
        <v>3334</v>
      </c>
      <c r="R1733">
        <f>Table1[[#This Row],[Course_Fee_AED]]-Table1[[#This Row],[pending Revenue]]</f>
        <v>6668</v>
      </c>
    </row>
    <row r="1734" spans="1:18" x14ac:dyDescent="0.25">
      <c r="A1734" t="s">
        <v>1811</v>
      </c>
      <c r="B1734" s="2">
        <v>45303</v>
      </c>
      <c r="C1734" t="s">
        <v>100</v>
      </c>
      <c r="D1734" t="s">
        <v>101</v>
      </c>
      <c r="E1734" t="s">
        <v>26</v>
      </c>
      <c r="F1734" s="5">
        <v>3</v>
      </c>
      <c r="G1734" s="5">
        <v>1</v>
      </c>
      <c r="H1734" s="5">
        <v>5460</v>
      </c>
      <c r="I1734" s="5">
        <v>2</v>
      </c>
      <c r="J1734" s="5">
        <v>3640</v>
      </c>
      <c r="K1734" t="s">
        <v>18</v>
      </c>
      <c r="L1734" t="s">
        <v>40</v>
      </c>
      <c r="M1734" t="s">
        <v>41</v>
      </c>
      <c r="N1734" t="s">
        <v>28</v>
      </c>
      <c r="O1734" t="s">
        <v>68</v>
      </c>
      <c r="P1734" t="s">
        <v>18</v>
      </c>
      <c r="Q1734">
        <f>Table1[[#This Row],[Course_Fee_AED]]-Table1[[#This Row],[Amount_Paid_AED]]</f>
        <v>1820</v>
      </c>
      <c r="R1734">
        <f>Table1[[#This Row],[Course_Fee_AED]]-Table1[[#This Row],[pending Revenue]]</f>
        <v>3640</v>
      </c>
    </row>
    <row r="1735" spans="1:18" x14ac:dyDescent="0.25">
      <c r="A1735" t="s">
        <v>1812</v>
      </c>
      <c r="B1735" s="2">
        <v>45635</v>
      </c>
      <c r="C1735" t="s">
        <v>24</v>
      </c>
      <c r="D1735" t="s">
        <v>25</v>
      </c>
      <c r="E1735" t="s">
        <v>17</v>
      </c>
      <c r="F1735" s="5">
        <v>6</v>
      </c>
      <c r="G1735" s="5">
        <v>1</v>
      </c>
      <c r="H1735" s="5">
        <v>6396</v>
      </c>
      <c r="I1735" s="5">
        <v>3</v>
      </c>
      <c r="J1735" s="5">
        <v>6396</v>
      </c>
      <c r="K1735" t="s">
        <v>33</v>
      </c>
      <c r="L1735" t="s">
        <v>19</v>
      </c>
      <c r="M1735" t="s">
        <v>27</v>
      </c>
      <c r="N1735" t="s">
        <v>53</v>
      </c>
      <c r="O1735" t="s">
        <v>71</v>
      </c>
      <c r="P1735" t="s">
        <v>36</v>
      </c>
      <c r="Q1735">
        <f>Table1[[#This Row],[Course_Fee_AED]]-Table1[[#This Row],[Amount_Paid_AED]]</f>
        <v>0</v>
      </c>
      <c r="R1735">
        <f>Table1[[#This Row],[Course_Fee_AED]]-Table1[[#This Row],[pending Revenue]]</f>
        <v>6396</v>
      </c>
    </row>
    <row r="1736" spans="1:18" x14ac:dyDescent="0.25">
      <c r="A1736" t="s">
        <v>1813</v>
      </c>
      <c r="B1736" s="2">
        <v>45581</v>
      </c>
      <c r="C1736" t="s">
        <v>66</v>
      </c>
      <c r="D1736" t="s">
        <v>56</v>
      </c>
      <c r="E1736" t="s">
        <v>26</v>
      </c>
      <c r="F1736" s="5">
        <v>3</v>
      </c>
      <c r="G1736" s="5">
        <v>1</v>
      </c>
      <c r="H1736" s="5">
        <v>10466</v>
      </c>
      <c r="I1736" s="5">
        <v>1</v>
      </c>
      <c r="J1736" s="5">
        <v>3488</v>
      </c>
      <c r="K1736" t="s">
        <v>18</v>
      </c>
      <c r="L1736" t="s">
        <v>40</v>
      </c>
      <c r="M1736" t="s">
        <v>47</v>
      </c>
      <c r="N1736" t="s">
        <v>70</v>
      </c>
      <c r="O1736" t="s">
        <v>71</v>
      </c>
      <c r="P1736" t="s">
        <v>36</v>
      </c>
      <c r="Q1736">
        <f>Table1[[#This Row],[Course_Fee_AED]]-Table1[[#This Row],[Amount_Paid_AED]]</f>
        <v>6978</v>
      </c>
      <c r="R1736">
        <f>Table1[[#This Row],[Course_Fee_AED]]-Table1[[#This Row],[pending Revenue]]</f>
        <v>3488</v>
      </c>
    </row>
    <row r="1737" spans="1:18" x14ac:dyDescent="0.25">
      <c r="A1737" t="s">
        <v>1814</v>
      </c>
      <c r="B1737" s="2">
        <v>45505</v>
      </c>
      <c r="C1737" t="s">
        <v>55</v>
      </c>
      <c r="D1737" t="s">
        <v>56</v>
      </c>
      <c r="E1737" t="s">
        <v>26</v>
      </c>
      <c r="F1737" s="5">
        <v>3</v>
      </c>
      <c r="G1737" s="5">
        <v>1</v>
      </c>
      <c r="H1737" s="5">
        <v>11257</v>
      </c>
      <c r="I1737" s="5">
        <v>1</v>
      </c>
      <c r="J1737" s="5">
        <v>3752</v>
      </c>
      <c r="K1737" t="s">
        <v>18</v>
      </c>
      <c r="L1737" t="s">
        <v>19</v>
      </c>
      <c r="M1737" t="s">
        <v>27</v>
      </c>
      <c r="N1737" t="s">
        <v>53</v>
      </c>
      <c r="O1737" t="s">
        <v>68</v>
      </c>
      <c r="P1737" t="s">
        <v>36</v>
      </c>
      <c r="Q1737">
        <f>Table1[[#This Row],[Course_Fee_AED]]-Table1[[#This Row],[Amount_Paid_AED]]</f>
        <v>7505</v>
      </c>
      <c r="R1737">
        <f>Table1[[#This Row],[Course_Fee_AED]]-Table1[[#This Row],[pending Revenue]]</f>
        <v>3752</v>
      </c>
    </row>
    <row r="1738" spans="1:18" x14ac:dyDescent="0.25">
      <c r="A1738" t="s">
        <v>1815</v>
      </c>
      <c r="B1738" s="2">
        <v>45594</v>
      </c>
      <c r="C1738" t="s">
        <v>51</v>
      </c>
      <c r="D1738" t="s">
        <v>52</v>
      </c>
      <c r="E1738" t="s">
        <v>17</v>
      </c>
      <c r="F1738" s="5">
        <v>6</v>
      </c>
      <c r="G1738" s="5">
        <v>1</v>
      </c>
      <c r="H1738" s="5">
        <v>3988</v>
      </c>
      <c r="I1738" s="5">
        <v>3</v>
      </c>
      <c r="J1738" s="5">
        <v>3987</v>
      </c>
      <c r="K1738" t="s">
        <v>18</v>
      </c>
      <c r="L1738" t="s">
        <v>57</v>
      </c>
      <c r="M1738" t="s">
        <v>47</v>
      </c>
      <c r="N1738" t="s">
        <v>28</v>
      </c>
      <c r="O1738" t="s">
        <v>49</v>
      </c>
      <c r="P1738" t="s">
        <v>36</v>
      </c>
      <c r="Q1738">
        <f>Table1[[#This Row],[Course_Fee_AED]]-Table1[[#This Row],[Amount_Paid_AED]]</f>
        <v>1</v>
      </c>
      <c r="R1738">
        <f>Table1[[#This Row],[Course_Fee_AED]]-Table1[[#This Row],[pending Revenue]]</f>
        <v>3987</v>
      </c>
    </row>
    <row r="1739" spans="1:18" x14ac:dyDescent="0.25">
      <c r="A1739" t="s">
        <v>1816</v>
      </c>
      <c r="B1739" s="2">
        <v>45332</v>
      </c>
      <c r="C1739" t="s">
        <v>38</v>
      </c>
      <c r="D1739" t="s">
        <v>39</v>
      </c>
      <c r="E1739" t="s">
        <v>17</v>
      </c>
      <c r="F1739" s="5">
        <v>6</v>
      </c>
      <c r="G1739" s="5">
        <v>1</v>
      </c>
      <c r="H1739" s="5">
        <v>5291</v>
      </c>
      <c r="I1739" s="5">
        <v>2</v>
      </c>
      <c r="J1739" s="5">
        <v>3526</v>
      </c>
      <c r="K1739" t="s">
        <v>18</v>
      </c>
      <c r="L1739" t="s">
        <v>40</v>
      </c>
      <c r="M1739" t="s">
        <v>47</v>
      </c>
      <c r="N1739" t="s">
        <v>48</v>
      </c>
      <c r="O1739" t="s">
        <v>29</v>
      </c>
      <c r="P1739" t="s">
        <v>36</v>
      </c>
      <c r="Q1739">
        <f>Table1[[#This Row],[Course_Fee_AED]]-Table1[[#This Row],[Amount_Paid_AED]]</f>
        <v>1765</v>
      </c>
      <c r="R1739">
        <f>Table1[[#This Row],[Course_Fee_AED]]-Table1[[#This Row],[pending Revenue]]</f>
        <v>3526</v>
      </c>
    </row>
    <row r="1740" spans="1:18" x14ac:dyDescent="0.25">
      <c r="A1740" t="s">
        <v>1817</v>
      </c>
      <c r="B1740" s="2">
        <v>45595</v>
      </c>
      <c r="C1740" t="s">
        <v>45</v>
      </c>
      <c r="D1740" t="s">
        <v>46</v>
      </c>
      <c r="E1740" t="s">
        <v>17</v>
      </c>
      <c r="F1740" s="5">
        <v>6</v>
      </c>
      <c r="G1740" s="5">
        <v>1</v>
      </c>
      <c r="H1740" s="5">
        <v>5470</v>
      </c>
      <c r="I1740" s="5">
        <v>2</v>
      </c>
      <c r="J1740" s="5">
        <v>3646</v>
      </c>
      <c r="K1740" t="s">
        <v>18</v>
      </c>
      <c r="L1740" t="s">
        <v>40</v>
      </c>
      <c r="M1740" t="s">
        <v>27</v>
      </c>
      <c r="N1740" t="s">
        <v>70</v>
      </c>
      <c r="O1740" t="s">
        <v>64</v>
      </c>
      <c r="P1740" t="s">
        <v>18</v>
      </c>
      <c r="Q1740">
        <f>Table1[[#This Row],[Course_Fee_AED]]-Table1[[#This Row],[Amount_Paid_AED]]</f>
        <v>1824</v>
      </c>
      <c r="R1740">
        <f>Table1[[#This Row],[Course_Fee_AED]]-Table1[[#This Row],[pending Revenue]]</f>
        <v>3646</v>
      </c>
    </row>
    <row r="1741" spans="1:18" x14ac:dyDescent="0.25">
      <c r="A1741" t="s">
        <v>1818</v>
      </c>
      <c r="B1741" s="2">
        <v>45409</v>
      </c>
      <c r="C1741" t="s">
        <v>66</v>
      </c>
      <c r="D1741" t="s">
        <v>56</v>
      </c>
      <c r="E1741" t="s">
        <v>26</v>
      </c>
      <c r="F1741" s="5">
        <v>3</v>
      </c>
      <c r="G1741" s="5">
        <v>1</v>
      </c>
      <c r="H1741" s="5">
        <v>9455</v>
      </c>
      <c r="I1741" s="5">
        <v>1</v>
      </c>
      <c r="J1741" s="5">
        <v>3151</v>
      </c>
      <c r="K1741" t="s">
        <v>18</v>
      </c>
      <c r="L1741" t="s">
        <v>19</v>
      </c>
      <c r="M1741" t="s">
        <v>41</v>
      </c>
      <c r="N1741" t="s">
        <v>70</v>
      </c>
      <c r="O1741" t="s">
        <v>22</v>
      </c>
      <c r="P1741" t="s">
        <v>18</v>
      </c>
      <c r="Q1741">
        <f>Table1[[#This Row],[Course_Fee_AED]]-Table1[[#This Row],[Amount_Paid_AED]]</f>
        <v>6304</v>
      </c>
      <c r="R1741">
        <f>Table1[[#This Row],[Course_Fee_AED]]-Table1[[#This Row],[pending Revenue]]</f>
        <v>3151</v>
      </c>
    </row>
    <row r="1742" spans="1:18" x14ac:dyDescent="0.25">
      <c r="A1742" t="s">
        <v>1819</v>
      </c>
      <c r="B1742" s="2">
        <v>45615</v>
      </c>
      <c r="C1742" t="s">
        <v>55</v>
      </c>
      <c r="D1742" t="s">
        <v>56</v>
      </c>
      <c r="E1742" t="s">
        <v>17</v>
      </c>
      <c r="F1742" s="5">
        <v>6</v>
      </c>
      <c r="G1742" s="5">
        <v>1</v>
      </c>
      <c r="H1742" s="5">
        <v>10102</v>
      </c>
      <c r="I1742" s="5">
        <v>1</v>
      </c>
      <c r="J1742" s="5">
        <v>3367</v>
      </c>
      <c r="K1742" t="s">
        <v>18</v>
      </c>
      <c r="L1742" t="s">
        <v>40</v>
      </c>
      <c r="M1742" t="s">
        <v>20</v>
      </c>
      <c r="N1742" t="s">
        <v>86</v>
      </c>
      <c r="O1742" t="s">
        <v>58</v>
      </c>
      <c r="P1742" t="s">
        <v>36</v>
      </c>
      <c r="Q1742">
        <f>Table1[[#This Row],[Course_Fee_AED]]-Table1[[#This Row],[Amount_Paid_AED]]</f>
        <v>6735</v>
      </c>
      <c r="R1742">
        <f>Table1[[#This Row],[Course_Fee_AED]]-Table1[[#This Row],[pending Revenue]]</f>
        <v>3367</v>
      </c>
    </row>
    <row r="1743" spans="1:18" x14ac:dyDescent="0.25">
      <c r="A1743" t="s">
        <v>1820</v>
      </c>
      <c r="B1743" s="2">
        <v>45476</v>
      </c>
      <c r="C1743" t="s">
        <v>106</v>
      </c>
      <c r="D1743" t="s">
        <v>107</v>
      </c>
      <c r="E1743" t="s">
        <v>26</v>
      </c>
      <c r="F1743" s="5">
        <v>3</v>
      </c>
      <c r="G1743" s="5">
        <v>1</v>
      </c>
      <c r="H1743" s="5">
        <v>8358</v>
      </c>
      <c r="I1743" s="5">
        <v>3</v>
      </c>
      <c r="J1743" s="5">
        <v>8358</v>
      </c>
      <c r="K1743" t="s">
        <v>33</v>
      </c>
      <c r="L1743" t="s">
        <v>40</v>
      </c>
      <c r="M1743" t="s">
        <v>27</v>
      </c>
      <c r="N1743" t="s">
        <v>42</v>
      </c>
      <c r="O1743" t="s">
        <v>68</v>
      </c>
      <c r="P1743" t="s">
        <v>36</v>
      </c>
      <c r="Q1743">
        <f>Table1[[#This Row],[Course_Fee_AED]]-Table1[[#This Row],[Amount_Paid_AED]]</f>
        <v>0</v>
      </c>
      <c r="R1743">
        <f>Table1[[#This Row],[Course_Fee_AED]]-Table1[[#This Row],[pending Revenue]]</f>
        <v>8358</v>
      </c>
    </row>
    <row r="1744" spans="1:18" x14ac:dyDescent="0.25">
      <c r="A1744" t="s">
        <v>1821</v>
      </c>
      <c r="B1744" s="2">
        <v>45403</v>
      </c>
      <c r="C1744" t="s">
        <v>31</v>
      </c>
      <c r="D1744" t="s">
        <v>32</v>
      </c>
      <c r="E1744" t="s">
        <v>17</v>
      </c>
      <c r="F1744" s="5">
        <v>6</v>
      </c>
      <c r="G1744" s="5">
        <v>1</v>
      </c>
      <c r="H1744" s="5">
        <v>5503</v>
      </c>
      <c r="I1744" s="5">
        <v>3</v>
      </c>
      <c r="J1744" s="5">
        <v>5502</v>
      </c>
      <c r="K1744" t="s">
        <v>18</v>
      </c>
      <c r="L1744" t="s">
        <v>40</v>
      </c>
      <c r="M1744" t="s">
        <v>60</v>
      </c>
      <c r="N1744" t="s">
        <v>86</v>
      </c>
      <c r="O1744" t="s">
        <v>58</v>
      </c>
      <c r="P1744" t="s">
        <v>18</v>
      </c>
      <c r="Q1744">
        <f>Table1[[#This Row],[Course_Fee_AED]]-Table1[[#This Row],[Amount_Paid_AED]]</f>
        <v>1</v>
      </c>
      <c r="R1744">
        <f>Table1[[#This Row],[Course_Fee_AED]]-Table1[[#This Row],[pending Revenue]]</f>
        <v>5502</v>
      </c>
    </row>
    <row r="1745" spans="1:18" x14ac:dyDescent="0.25">
      <c r="A1745" t="s">
        <v>1822</v>
      </c>
      <c r="B1745" s="2">
        <v>45628</v>
      </c>
      <c r="C1745" t="s">
        <v>15</v>
      </c>
      <c r="D1745" t="s">
        <v>16</v>
      </c>
      <c r="E1745" t="s">
        <v>17</v>
      </c>
      <c r="F1745" s="5">
        <v>6</v>
      </c>
      <c r="G1745" s="5">
        <v>1</v>
      </c>
      <c r="H1745" s="5">
        <v>5475</v>
      </c>
      <c r="I1745" s="5">
        <v>3</v>
      </c>
      <c r="J1745" s="5">
        <v>5475</v>
      </c>
      <c r="K1745" t="s">
        <v>33</v>
      </c>
      <c r="L1745" t="s">
        <v>57</v>
      </c>
      <c r="M1745" t="s">
        <v>27</v>
      </c>
      <c r="N1745" t="s">
        <v>154</v>
      </c>
      <c r="O1745" t="s">
        <v>29</v>
      </c>
      <c r="P1745" t="s">
        <v>36</v>
      </c>
      <c r="Q1745">
        <f>Table1[[#This Row],[Course_Fee_AED]]-Table1[[#This Row],[Amount_Paid_AED]]</f>
        <v>0</v>
      </c>
      <c r="R1745">
        <f>Table1[[#This Row],[Course_Fee_AED]]-Table1[[#This Row],[pending Revenue]]</f>
        <v>5475</v>
      </c>
    </row>
    <row r="1746" spans="1:18" x14ac:dyDescent="0.25">
      <c r="A1746" t="s">
        <v>1823</v>
      </c>
      <c r="B1746" s="2">
        <v>45305</v>
      </c>
      <c r="C1746" t="s">
        <v>113</v>
      </c>
      <c r="D1746" t="s">
        <v>93</v>
      </c>
      <c r="E1746" t="s">
        <v>17</v>
      </c>
      <c r="F1746" s="5">
        <v>6</v>
      </c>
      <c r="G1746" s="5">
        <v>1</v>
      </c>
      <c r="H1746" s="5">
        <v>4471</v>
      </c>
      <c r="I1746" s="5">
        <v>3</v>
      </c>
      <c r="J1746" s="5">
        <v>4470</v>
      </c>
      <c r="K1746" t="s">
        <v>18</v>
      </c>
      <c r="L1746" t="s">
        <v>40</v>
      </c>
      <c r="M1746" t="s">
        <v>27</v>
      </c>
      <c r="N1746" t="s">
        <v>90</v>
      </c>
      <c r="O1746" t="s">
        <v>29</v>
      </c>
      <c r="P1746" t="s">
        <v>36</v>
      </c>
      <c r="Q1746">
        <f>Table1[[#This Row],[Course_Fee_AED]]-Table1[[#This Row],[Amount_Paid_AED]]</f>
        <v>1</v>
      </c>
      <c r="R1746">
        <f>Table1[[#This Row],[Course_Fee_AED]]-Table1[[#This Row],[pending Revenue]]</f>
        <v>4470</v>
      </c>
    </row>
    <row r="1747" spans="1:18" x14ac:dyDescent="0.25">
      <c r="A1747" t="s">
        <v>1824</v>
      </c>
      <c r="B1747" s="2">
        <v>45433</v>
      </c>
      <c r="C1747" t="s">
        <v>51</v>
      </c>
      <c r="D1747" t="s">
        <v>52</v>
      </c>
      <c r="E1747" t="s">
        <v>26</v>
      </c>
      <c r="F1747" s="5">
        <v>3</v>
      </c>
      <c r="G1747" s="5">
        <v>1</v>
      </c>
      <c r="H1747" s="5">
        <v>4935</v>
      </c>
      <c r="I1747" s="5">
        <v>3</v>
      </c>
      <c r="J1747" s="5">
        <v>4935</v>
      </c>
      <c r="K1747" t="s">
        <v>33</v>
      </c>
      <c r="L1747" t="s">
        <v>19</v>
      </c>
      <c r="M1747" t="s">
        <v>41</v>
      </c>
      <c r="N1747" t="s">
        <v>48</v>
      </c>
      <c r="O1747" t="s">
        <v>64</v>
      </c>
      <c r="P1747" t="s">
        <v>18</v>
      </c>
      <c r="Q1747">
        <f>Table1[[#This Row],[Course_Fee_AED]]-Table1[[#This Row],[Amount_Paid_AED]]</f>
        <v>0</v>
      </c>
      <c r="R1747">
        <f>Table1[[#This Row],[Course_Fee_AED]]-Table1[[#This Row],[pending Revenue]]</f>
        <v>4935</v>
      </c>
    </row>
    <row r="1748" spans="1:18" x14ac:dyDescent="0.25">
      <c r="A1748" t="s">
        <v>1825</v>
      </c>
      <c r="B1748" s="2">
        <v>45536</v>
      </c>
      <c r="C1748" t="s">
        <v>66</v>
      </c>
      <c r="D1748" t="s">
        <v>56</v>
      </c>
      <c r="E1748" t="s">
        <v>26</v>
      </c>
      <c r="F1748" s="5">
        <v>3</v>
      </c>
      <c r="G1748" s="5">
        <v>1</v>
      </c>
      <c r="H1748" s="5">
        <v>11065</v>
      </c>
      <c r="I1748" s="5">
        <v>1</v>
      </c>
      <c r="J1748" s="5">
        <v>3688</v>
      </c>
      <c r="K1748" t="s">
        <v>18</v>
      </c>
      <c r="L1748" t="s">
        <v>57</v>
      </c>
      <c r="M1748" t="s">
        <v>60</v>
      </c>
      <c r="N1748" t="s">
        <v>48</v>
      </c>
      <c r="O1748" t="s">
        <v>58</v>
      </c>
      <c r="P1748" t="s">
        <v>18</v>
      </c>
      <c r="Q1748">
        <f>Table1[[#This Row],[Course_Fee_AED]]-Table1[[#This Row],[Amount_Paid_AED]]</f>
        <v>7377</v>
      </c>
      <c r="R1748">
        <f>Table1[[#This Row],[Course_Fee_AED]]-Table1[[#This Row],[pending Revenue]]</f>
        <v>3688</v>
      </c>
    </row>
    <row r="1749" spans="1:18" x14ac:dyDescent="0.25">
      <c r="A1749" t="s">
        <v>1826</v>
      </c>
      <c r="B1749" s="2">
        <v>45330</v>
      </c>
      <c r="C1749" t="s">
        <v>92</v>
      </c>
      <c r="D1749" t="s">
        <v>93</v>
      </c>
      <c r="E1749" t="s">
        <v>26</v>
      </c>
      <c r="F1749" s="5">
        <v>3</v>
      </c>
      <c r="G1749" s="5">
        <v>1</v>
      </c>
      <c r="H1749" s="5">
        <v>5604</v>
      </c>
      <c r="I1749" s="5">
        <v>1</v>
      </c>
      <c r="J1749" s="5">
        <v>1868</v>
      </c>
      <c r="K1749" t="s">
        <v>18</v>
      </c>
      <c r="L1749" t="s">
        <v>57</v>
      </c>
      <c r="M1749" t="s">
        <v>47</v>
      </c>
      <c r="N1749" t="s">
        <v>61</v>
      </c>
      <c r="O1749" t="s">
        <v>49</v>
      </c>
      <c r="P1749" t="s">
        <v>18</v>
      </c>
      <c r="Q1749">
        <f>Table1[[#This Row],[Course_Fee_AED]]-Table1[[#This Row],[Amount_Paid_AED]]</f>
        <v>3736</v>
      </c>
      <c r="R1749">
        <f>Table1[[#This Row],[Course_Fee_AED]]-Table1[[#This Row],[pending Revenue]]</f>
        <v>1868</v>
      </c>
    </row>
    <row r="1750" spans="1:18" x14ac:dyDescent="0.25">
      <c r="A1750" t="s">
        <v>1827</v>
      </c>
      <c r="B1750" s="2">
        <v>45344</v>
      </c>
      <c r="C1750" t="s">
        <v>38</v>
      </c>
      <c r="D1750" t="s">
        <v>39</v>
      </c>
      <c r="E1750" t="s">
        <v>26</v>
      </c>
      <c r="F1750" s="5">
        <v>3</v>
      </c>
      <c r="G1750" s="5">
        <v>1</v>
      </c>
      <c r="H1750" s="5">
        <v>6091</v>
      </c>
      <c r="I1750" s="5">
        <v>2</v>
      </c>
      <c r="J1750" s="5">
        <v>4060</v>
      </c>
      <c r="K1750" t="s">
        <v>18</v>
      </c>
      <c r="L1750" t="s">
        <v>57</v>
      </c>
      <c r="M1750" t="s">
        <v>41</v>
      </c>
      <c r="N1750" t="s">
        <v>48</v>
      </c>
      <c r="O1750" t="s">
        <v>64</v>
      </c>
      <c r="P1750" t="s">
        <v>18</v>
      </c>
      <c r="Q1750">
        <f>Table1[[#This Row],[Course_Fee_AED]]-Table1[[#This Row],[Amount_Paid_AED]]</f>
        <v>2031</v>
      </c>
      <c r="R1750">
        <f>Table1[[#This Row],[Course_Fee_AED]]-Table1[[#This Row],[pending Revenue]]</f>
        <v>4060</v>
      </c>
    </row>
    <row r="1751" spans="1:18" x14ac:dyDescent="0.25">
      <c r="A1751" t="s">
        <v>1828</v>
      </c>
      <c r="B1751" s="2">
        <v>45554</v>
      </c>
      <c r="C1751" t="s">
        <v>38</v>
      </c>
      <c r="D1751" t="s">
        <v>39</v>
      </c>
      <c r="E1751" t="s">
        <v>26</v>
      </c>
      <c r="F1751" s="5">
        <v>3</v>
      </c>
      <c r="G1751" s="5">
        <v>1</v>
      </c>
      <c r="H1751" s="5">
        <v>5216</v>
      </c>
      <c r="I1751" s="5">
        <v>2</v>
      </c>
      <c r="J1751" s="5">
        <v>3476</v>
      </c>
      <c r="K1751" t="s">
        <v>18</v>
      </c>
      <c r="L1751" t="s">
        <v>19</v>
      </c>
      <c r="M1751" t="s">
        <v>63</v>
      </c>
      <c r="N1751" t="s">
        <v>61</v>
      </c>
      <c r="O1751" t="s">
        <v>71</v>
      </c>
      <c r="P1751" t="s">
        <v>18</v>
      </c>
      <c r="Q1751">
        <f>Table1[[#This Row],[Course_Fee_AED]]-Table1[[#This Row],[Amount_Paid_AED]]</f>
        <v>1740</v>
      </c>
      <c r="R1751">
        <f>Table1[[#This Row],[Course_Fee_AED]]-Table1[[#This Row],[pending Revenue]]</f>
        <v>3476</v>
      </c>
    </row>
    <row r="1752" spans="1:18" x14ac:dyDescent="0.25">
      <c r="A1752" t="s">
        <v>1829</v>
      </c>
      <c r="B1752" s="2">
        <v>45329</v>
      </c>
      <c r="C1752" t="s">
        <v>75</v>
      </c>
      <c r="D1752" t="s">
        <v>76</v>
      </c>
      <c r="E1752" t="s">
        <v>26</v>
      </c>
      <c r="F1752" s="5">
        <v>3</v>
      </c>
      <c r="G1752" s="5">
        <v>1</v>
      </c>
      <c r="H1752" s="5">
        <v>10052</v>
      </c>
      <c r="I1752" s="5">
        <v>1</v>
      </c>
      <c r="J1752" s="5">
        <v>3350</v>
      </c>
      <c r="K1752" t="s">
        <v>18</v>
      </c>
      <c r="L1752" t="s">
        <v>40</v>
      </c>
      <c r="M1752" t="s">
        <v>41</v>
      </c>
      <c r="N1752" t="s">
        <v>95</v>
      </c>
      <c r="O1752" t="s">
        <v>68</v>
      </c>
      <c r="P1752" t="s">
        <v>36</v>
      </c>
      <c r="Q1752">
        <f>Table1[[#This Row],[Course_Fee_AED]]-Table1[[#This Row],[Amount_Paid_AED]]</f>
        <v>6702</v>
      </c>
      <c r="R1752">
        <f>Table1[[#This Row],[Course_Fee_AED]]-Table1[[#This Row],[pending Revenue]]</f>
        <v>3350</v>
      </c>
    </row>
    <row r="1753" spans="1:18" x14ac:dyDescent="0.25">
      <c r="A1753" t="s">
        <v>1830</v>
      </c>
      <c r="B1753" s="2">
        <v>45330</v>
      </c>
      <c r="C1753" t="s">
        <v>24</v>
      </c>
      <c r="D1753" t="s">
        <v>25</v>
      </c>
      <c r="E1753" t="s">
        <v>17</v>
      </c>
      <c r="F1753" s="5">
        <v>6</v>
      </c>
      <c r="G1753" s="5">
        <v>1</v>
      </c>
      <c r="H1753" s="5">
        <v>6548</v>
      </c>
      <c r="I1753" s="5">
        <v>2</v>
      </c>
      <c r="J1753" s="5">
        <v>4364</v>
      </c>
      <c r="K1753" t="s">
        <v>18</v>
      </c>
      <c r="L1753" t="s">
        <v>19</v>
      </c>
      <c r="M1753" t="s">
        <v>27</v>
      </c>
      <c r="N1753" t="s">
        <v>73</v>
      </c>
      <c r="O1753" t="s">
        <v>22</v>
      </c>
      <c r="P1753" t="s">
        <v>36</v>
      </c>
      <c r="Q1753">
        <f>Table1[[#This Row],[Course_Fee_AED]]-Table1[[#This Row],[Amount_Paid_AED]]</f>
        <v>2184</v>
      </c>
      <c r="R1753">
        <f>Table1[[#This Row],[Course_Fee_AED]]-Table1[[#This Row],[pending Revenue]]</f>
        <v>4364</v>
      </c>
    </row>
    <row r="1754" spans="1:18" x14ac:dyDescent="0.25">
      <c r="A1754" t="s">
        <v>1831</v>
      </c>
      <c r="B1754" s="2">
        <v>45429</v>
      </c>
      <c r="C1754" t="s">
        <v>45</v>
      </c>
      <c r="D1754" t="s">
        <v>46</v>
      </c>
      <c r="E1754" t="s">
        <v>26</v>
      </c>
      <c r="F1754" s="5">
        <v>3</v>
      </c>
      <c r="G1754" s="5">
        <v>1</v>
      </c>
      <c r="H1754" s="5">
        <v>4694</v>
      </c>
      <c r="I1754" s="5">
        <v>3</v>
      </c>
      <c r="J1754" s="5">
        <v>4692</v>
      </c>
      <c r="K1754" t="s">
        <v>18</v>
      </c>
      <c r="L1754" t="s">
        <v>57</v>
      </c>
      <c r="M1754" t="s">
        <v>27</v>
      </c>
      <c r="N1754" t="s">
        <v>86</v>
      </c>
      <c r="O1754" t="s">
        <v>43</v>
      </c>
      <c r="P1754" t="s">
        <v>36</v>
      </c>
      <c r="Q1754">
        <f>Table1[[#This Row],[Course_Fee_AED]]-Table1[[#This Row],[Amount_Paid_AED]]</f>
        <v>2</v>
      </c>
      <c r="R1754">
        <f>Table1[[#This Row],[Course_Fee_AED]]-Table1[[#This Row],[pending Revenue]]</f>
        <v>4692</v>
      </c>
    </row>
    <row r="1755" spans="1:18" x14ac:dyDescent="0.25">
      <c r="A1755" t="s">
        <v>1832</v>
      </c>
      <c r="B1755" s="2">
        <v>45541</v>
      </c>
      <c r="C1755" t="s">
        <v>100</v>
      </c>
      <c r="D1755" t="s">
        <v>101</v>
      </c>
      <c r="E1755" t="s">
        <v>26</v>
      </c>
      <c r="F1755" s="5">
        <v>3</v>
      </c>
      <c r="G1755" s="5">
        <v>1</v>
      </c>
      <c r="H1755" s="5">
        <v>5663</v>
      </c>
      <c r="I1755" s="5">
        <v>1</v>
      </c>
      <c r="J1755" s="5">
        <v>1887</v>
      </c>
      <c r="K1755" t="s">
        <v>18</v>
      </c>
      <c r="L1755" t="s">
        <v>19</v>
      </c>
      <c r="M1755" t="s">
        <v>63</v>
      </c>
      <c r="N1755" t="s">
        <v>48</v>
      </c>
      <c r="O1755" t="s">
        <v>43</v>
      </c>
      <c r="P1755" t="s">
        <v>18</v>
      </c>
      <c r="Q1755">
        <f>Table1[[#This Row],[Course_Fee_AED]]-Table1[[#This Row],[Amount_Paid_AED]]</f>
        <v>3776</v>
      </c>
      <c r="R1755">
        <f>Table1[[#This Row],[Course_Fee_AED]]-Table1[[#This Row],[pending Revenue]]</f>
        <v>1887</v>
      </c>
    </row>
    <row r="1756" spans="1:18" x14ac:dyDescent="0.25">
      <c r="A1756" t="s">
        <v>1833</v>
      </c>
      <c r="B1756" s="2">
        <v>45309</v>
      </c>
      <c r="C1756" t="s">
        <v>24</v>
      </c>
      <c r="D1756" t="s">
        <v>25</v>
      </c>
      <c r="E1756" t="s">
        <v>26</v>
      </c>
      <c r="F1756" s="5">
        <v>3</v>
      </c>
      <c r="G1756" s="5">
        <v>1</v>
      </c>
      <c r="H1756" s="5">
        <v>6708</v>
      </c>
      <c r="I1756" s="5">
        <v>2</v>
      </c>
      <c r="J1756" s="5">
        <v>4472</v>
      </c>
      <c r="K1756" t="s">
        <v>18</v>
      </c>
      <c r="L1756" t="s">
        <v>40</v>
      </c>
      <c r="M1756" t="s">
        <v>63</v>
      </c>
      <c r="N1756" t="s">
        <v>48</v>
      </c>
      <c r="O1756" t="s">
        <v>87</v>
      </c>
      <c r="P1756" t="s">
        <v>36</v>
      </c>
      <c r="Q1756">
        <f>Table1[[#This Row],[Course_Fee_AED]]-Table1[[#This Row],[Amount_Paid_AED]]</f>
        <v>2236</v>
      </c>
      <c r="R1756">
        <f>Table1[[#This Row],[Course_Fee_AED]]-Table1[[#This Row],[pending Revenue]]</f>
        <v>4472</v>
      </c>
    </row>
    <row r="1757" spans="1:18" x14ac:dyDescent="0.25">
      <c r="A1757" t="s">
        <v>1834</v>
      </c>
      <c r="B1757" s="2">
        <v>45388</v>
      </c>
      <c r="C1757" t="s">
        <v>31</v>
      </c>
      <c r="D1757" t="s">
        <v>32</v>
      </c>
      <c r="E1757" t="s">
        <v>17</v>
      </c>
      <c r="F1757" s="5">
        <v>6</v>
      </c>
      <c r="G1757" s="5">
        <v>1</v>
      </c>
      <c r="H1757" s="5">
        <v>7887</v>
      </c>
      <c r="I1757" s="5">
        <v>1</v>
      </c>
      <c r="J1757" s="5">
        <v>2629</v>
      </c>
      <c r="K1757" t="s">
        <v>18</v>
      </c>
      <c r="L1757" t="s">
        <v>40</v>
      </c>
      <c r="M1757" t="s">
        <v>63</v>
      </c>
      <c r="N1757" t="s">
        <v>28</v>
      </c>
      <c r="O1757" t="s">
        <v>49</v>
      </c>
      <c r="P1757" t="s">
        <v>36</v>
      </c>
      <c r="Q1757">
        <f>Table1[[#This Row],[Course_Fee_AED]]-Table1[[#This Row],[Amount_Paid_AED]]</f>
        <v>5258</v>
      </c>
      <c r="R1757">
        <f>Table1[[#This Row],[Course_Fee_AED]]-Table1[[#This Row],[pending Revenue]]</f>
        <v>2629</v>
      </c>
    </row>
    <row r="1758" spans="1:18" x14ac:dyDescent="0.25">
      <c r="A1758" t="s">
        <v>1835</v>
      </c>
      <c r="B1758" s="2">
        <v>45543</v>
      </c>
      <c r="C1758" t="s">
        <v>38</v>
      </c>
      <c r="D1758" t="s">
        <v>39</v>
      </c>
      <c r="E1758" t="s">
        <v>17</v>
      </c>
      <c r="F1758" s="5">
        <v>6</v>
      </c>
      <c r="G1758" s="5">
        <v>1</v>
      </c>
      <c r="H1758" s="5">
        <v>4076</v>
      </c>
      <c r="I1758" s="5">
        <v>1</v>
      </c>
      <c r="J1758" s="5">
        <v>1358</v>
      </c>
      <c r="K1758" t="s">
        <v>18</v>
      </c>
      <c r="L1758" t="s">
        <v>40</v>
      </c>
      <c r="M1758" t="s">
        <v>20</v>
      </c>
      <c r="N1758" t="s">
        <v>48</v>
      </c>
      <c r="O1758" t="s">
        <v>58</v>
      </c>
      <c r="P1758" t="s">
        <v>18</v>
      </c>
      <c r="Q1758">
        <f>Table1[[#This Row],[Course_Fee_AED]]-Table1[[#This Row],[Amount_Paid_AED]]</f>
        <v>2718</v>
      </c>
      <c r="R1758">
        <f>Table1[[#This Row],[Course_Fee_AED]]-Table1[[#This Row],[pending Revenue]]</f>
        <v>1358</v>
      </c>
    </row>
    <row r="1759" spans="1:18" x14ac:dyDescent="0.25">
      <c r="A1759" t="s">
        <v>1836</v>
      </c>
      <c r="B1759" s="2">
        <v>45584</v>
      </c>
      <c r="C1759" t="s">
        <v>92</v>
      </c>
      <c r="D1759" t="s">
        <v>93</v>
      </c>
      <c r="E1759" t="s">
        <v>17</v>
      </c>
      <c r="F1759" s="5">
        <v>6</v>
      </c>
      <c r="G1759" s="5">
        <v>1</v>
      </c>
      <c r="H1759" s="5">
        <v>5323</v>
      </c>
      <c r="I1759" s="5">
        <v>1</v>
      </c>
      <c r="J1759" s="5">
        <v>1774</v>
      </c>
      <c r="K1759" t="s">
        <v>18</v>
      </c>
      <c r="L1759" t="s">
        <v>57</v>
      </c>
      <c r="M1759" t="s">
        <v>41</v>
      </c>
      <c r="N1759" t="s">
        <v>61</v>
      </c>
      <c r="O1759" t="s">
        <v>87</v>
      </c>
      <c r="P1759" t="s">
        <v>18</v>
      </c>
      <c r="Q1759">
        <f>Table1[[#This Row],[Course_Fee_AED]]-Table1[[#This Row],[Amount_Paid_AED]]</f>
        <v>3549</v>
      </c>
      <c r="R1759">
        <f>Table1[[#This Row],[Course_Fee_AED]]-Table1[[#This Row],[pending Revenue]]</f>
        <v>1774</v>
      </c>
    </row>
    <row r="1760" spans="1:18" x14ac:dyDescent="0.25">
      <c r="A1760" t="s">
        <v>1837</v>
      </c>
      <c r="B1760" s="2">
        <v>45575</v>
      </c>
      <c r="C1760" t="s">
        <v>113</v>
      </c>
      <c r="D1760" t="s">
        <v>93</v>
      </c>
      <c r="E1760" t="s">
        <v>17</v>
      </c>
      <c r="F1760" s="5">
        <v>6</v>
      </c>
      <c r="G1760" s="5">
        <v>1</v>
      </c>
      <c r="H1760" s="5">
        <v>4397</v>
      </c>
      <c r="I1760" s="5">
        <v>1</v>
      </c>
      <c r="J1760" s="5">
        <v>1465</v>
      </c>
      <c r="K1760" t="s">
        <v>18</v>
      </c>
      <c r="L1760" t="s">
        <v>40</v>
      </c>
      <c r="M1760" t="s">
        <v>47</v>
      </c>
      <c r="N1760" t="s">
        <v>116</v>
      </c>
      <c r="O1760" t="s">
        <v>43</v>
      </c>
      <c r="P1760" t="s">
        <v>18</v>
      </c>
      <c r="Q1760">
        <f>Table1[[#This Row],[Course_Fee_AED]]-Table1[[#This Row],[Amount_Paid_AED]]</f>
        <v>2932</v>
      </c>
      <c r="R1760">
        <f>Table1[[#This Row],[Course_Fee_AED]]-Table1[[#This Row],[pending Revenue]]</f>
        <v>1465</v>
      </c>
    </row>
    <row r="1761" spans="1:18" x14ac:dyDescent="0.25">
      <c r="A1761" t="s">
        <v>1838</v>
      </c>
      <c r="B1761" s="2">
        <v>45303</v>
      </c>
      <c r="C1761" t="s">
        <v>82</v>
      </c>
      <c r="D1761" t="s">
        <v>83</v>
      </c>
      <c r="E1761" t="s">
        <v>17</v>
      </c>
      <c r="F1761" s="5">
        <v>6</v>
      </c>
      <c r="G1761" s="5">
        <v>1</v>
      </c>
      <c r="H1761" s="5">
        <v>14159</v>
      </c>
      <c r="I1761" s="5">
        <v>3</v>
      </c>
      <c r="J1761" s="5">
        <v>14157</v>
      </c>
      <c r="K1761" t="s">
        <v>18</v>
      </c>
      <c r="L1761" t="s">
        <v>57</v>
      </c>
      <c r="M1761" t="s">
        <v>27</v>
      </c>
      <c r="N1761" t="s">
        <v>48</v>
      </c>
      <c r="O1761" t="s">
        <v>49</v>
      </c>
      <c r="P1761" t="s">
        <v>18</v>
      </c>
      <c r="Q1761">
        <f>Table1[[#This Row],[Course_Fee_AED]]-Table1[[#This Row],[Amount_Paid_AED]]</f>
        <v>2</v>
      </c>
      <c r="R1761">
        <f>Table1[[#This Row],[Course_Fee_AED]]-Table1[[#This Row],[pending Revenue]]</f>
        <v>14157</v>
      </c>
    </row>
    <row r="1762" spans="1:18" x14ac:dyDescent="0.25">
      <c r="A1762" t="s">
        <v>1839</v>
      </c>
      <c r="B1762" s="2">
        <v>45351</v>
      </c>
      <c r="C1762" t="s">
        <v>75</v>
      </c>
      <c r="D1762" t="s">
        <v>76</v>
      </c>
      <c r="E1762" t="s">
        <v>17</v>
      </c>
      <c r="F1762" s="5">
        <v>6</v>
      </c>
      <c r="G1762" s="5">
        <v>1</v>
      </c>
      <c r="H1762" s="5">
        <v>7879</v>
      </c>
      <c r="I1762" s="5">
        <v>3</v>
      </c>
      <c r="J1762" s="5">
        <v>7878</v>
      </c>
      <c r="K1762" t="s">
        <v>18</v>
      </c>
      <c r="L1762" t="s">
        <v>40</v>
      </c>
      <c r="M1762" t="s">
        <v>20</v>
      </c>
      <c r="N1762" t="s">
        <v>95</v>
      </c>
      <c r="O1762" t="s">
        <v>29</v>
      </c>
      <c r="P1762" t="s">
        <v>18</v>
      </c>
      <c r="Q1762">
        <f>Table1[[#This Row],[Course_Fee_AED]]-Table1[[#This Row],[Amount_Paid_AED]]</f>
        <v>1</v>
      </c>
      <c r="R1762">
        <f>Table1[[#This Row],[Course_Fee_AED]]-Table1[[#This Row],[pending Revenue]]</f>
        <v>7878</v>
      </c>
    </row>
    <row r="1763" spans="1:18" x14ac:dyDescent="0.25">
      <c r="A1763" t="s">
        <v>1840</v>
      </c>
      <c r="B1763" s="2">
        <v>45405</v>
      </c>
      <c r="C1763" t="s">
        <v>51</v>
      </c>
      <c r="D1763" t="s">
        <v>52</v>
      </c>
      <c r="E1763" t="s">
        <v>26</v>
      </c>
      <c r="F1763" s="5">
        <v>3</v>
      </c>
      <c r="G1763" s="5">
        <v>1</v>
      </c>
      <c r="H1763" s="5">
        <v>5713</v>
      </c>
      <c r="I1763" s="5">
        <v>1</v>
      </c>
      <c r="J1763" s="5">
        <v>1904</v>
      </c>
      <c r="K1763" t="s">
        <v>18</v>
      </c>
      <c r="L1763" t="s">
        <v>40</v>
      </c>
      <c r="M1763" t="s">
        <v>20</v>
      </c>
      <c r="N1763" t="s">
        <v>53</v>
      </c>
      <c r="O1763" t="s">
        <v>71</v>
      </c>
      <c r="P1763" t="s">
        <v>18</v>
      </c>
      <c r="Q1763">
        <f>Table1[[#This Row],[Course_Fee_AED]]-Table1[[#This Row],[Amount_Paid_AED]]</f>
        <v>3809</v>
      </c>
      <c r="R1763">
        <f>Table1[[#This Row],[Course_Fee_AED]]-Table1[[#This Row],[pending Revenue]]</f>
        <v>1904</v>
      </c>
    </row>
    <row r="1764" spans="1:18" x14ac:dyDescent="0.25">
      <c r="A1764" t="s">
        <v>1841</v>
      </c>
      <c r="B1764" s="2">
        <v>45368</v>
      </c>
      <c r="C1764" t="s">
        <v>113</v>
      </c>
      <c r="D1764" t="s">
        <v>93</v>
      </c>
      <c r="E1764" t="s">
        <v>17</v>
      </c>
      <c r="F1764" s="5">
        <v>6</v>
      </c>
      <c r="G1764" s="5">
        <v>1</v>
      </c>
      <c r="H1764" s="5">
        <v>3221</v>
      </c>
      <c r="I1764" s="5">
        <v>3</v>
      </c>
      <c r="J1764" s="5">
        <v>3219</v>
      </c>
      <c r="K1764" t="s">
        <v>18</v>
      </c>
      <c r="L1764" t="s">
        <v>57</v>
      </c>
      <c r="M1764" t="s">
        <v>60</v>
      </c>
      <c r="N1764" t="s">
        <v>28</v>
      </c>
      <c r="O1764" t="s">
        <v>64</v>
      </c>
      <c r="P1764" t="s">
        <v>18</v>
      </c>
      <c r="Q1764">
        <f>Table1[[#This Row],[Course_Fee_AED]]-Table1[[#This Row],[Amount_Paid_AED]]</f>
        <v>2</v>
      </c>
      <c r="R1764">
        <f>Table1[[#This Row],[Course_Fee_AED]]-Table1[[#This Row],[pending Revenue]]</f>
        <v>3219</v>
      </c>
    </row>
    <row r="1765" spans="1:18" x14ac:dyDescent="0.25">
      <c r="A1765" t="s">
        <v>1842</v>
      </c>
      <c r="B1765" s="2">
        <v>45397</v>
      </c>
      <c r="C1765" t="s">
        <v>100</v>
      </c>
      <c r="D1765" t="s">
        <v>101</v>
      </c>
      <c r="E1765" t="s">
        <v>17</v>
      </c>
      <c r="F1765" s="5">
        <v>6</v>
      </c>
      <c r="G1765" s="5">
        <v>1</v>
      </c>
      <c r="H1765" s="5">
        <v>5788</v>
      </c>
      <c r="I1765" s="5">
        <v>2</v>
      </c>
      <c r="J1765" s="5">
        <v>3858</v>
      </c>
      <c r="K1765" t="s">
        <v>18</v>
      </c>
      <c r="L1765" t="s">
        <v>19</v>
      </c>
      <c r="M1765" t="s">
        <v>47</v>
      </c>
      <c r="N1765" t="s">
        <v>53</v>
      </c>
      <c r="O1765" t="s">
        <v>68</v>
      </c>
      <c r="P1765" t="s">
        <v>18</v>
      </c>
      <c r="Q1765">
        <f>Table1[[#This Row],[Course_Fee_AED]]-Table1[[#This Row],[Amount_Paid_AED]]</f>
        <v>1930</v>
      </c>
      <c r="R1765">
        <f>Table1[[#This Row],[Course_Fee_AED]]-Table1[[#This Row],[pending Revenue]]</f>
        <v>3858</v>
      </c>
    </row>
    <row r="1766" spans="1:18" x14ac:dyDescent="0.25">
      <c r="A1766" t="s">
        <v>1843</v>
      </c>
      <c r="B1766" s="2">
        <v>45647</v>
      </c>
      <c r="C1766" t="s">
        <v>15</v>
      </c>
      <c r="D1766" t="s">
        <v>16</v>
      </c>
      <c r="E1766" t="s">
        <v>26</v>
      </c>
      <c r="F1766" s="5">
        <v>3</v>
      </c>
      <c r="G1766" s="5">
        <v>1</v>
      </c>
      <c r="H1766" s="5">
        <v>4532</v>
      </c>
      <c r="I1766" s="5">
        <v>1</v>
      </c>
      <c r="J1766" s="5">
        <v>1510</v>
      </c>
      <c r="K1766" t="s">
        <v>18</v>
      </c>
      <c r="L1766" t="s">
        <v>19</v>
      </c>
      <c r="M1766" t="s">
        <v>20</v>
      </c>
      <c r="N1766" t="s">
        <v>61</v>
      </c>
      <c r="O1766" t="s">
        <v>49</v>
      </c>
      <c r="P1766" t="s">
        <v>36</v>
      </c>
      <c r="Q1766">
        <f>Table1[[#This Row],[Course_Fee_AED]]-Table1[[#This Row],[Amount_Paid_AED]]</f>
        <v>3022</v>
      </c>
      <c r="R1766">
        <f>Table1[[#This Row],[Course_Fee_AED]]-Table1[[#This Row],[pending Revenue]]</f>
        <v>1510</v>
      </c>
    </row>
    <row r="1767" spans="1:18" x14ac:dyDescent="0.25">
      <c r="A1767" t="s">
        <v>1844</v>
      </c>
      <c r="B1767" s="2">
        <v>45480</v>
      </c>
      <c r="C1767" t="s">
        <v>66</v>
      </c>
      <c r="D1767" t="s">
        <v>56</v>
      </c>
      <c r="E1767" t="s">
        <v>26</v>
      </c>
      <c r="F1767" s="5">
        <v>3</v>
      </c>
      <c r="G1767" s="5">
        <v>1</v>
      </c>
      <c r="H1767" s="5">
        <v>10337</v>
      </c>
      <c r="I1767" s="5">
        <v>3</v>
      </c>
      <c r="J1767" s="5">
        <v>10335</v>
      </c>
      <c r="K1767" t="s">
        <v>18</v>
      </c>
      <c r="L1767" t="s">
        <v>19</v>
      </c>
      <c r="M1767" t="s">
        <v>60</v>
      </c>
      <c r="N1767" t="s">
        <v>73</v>
      </c>
      <c r="O1767" t="s">
        <v>71</v>
      </c>
      <c r="P1767" t="s">
        <v>18</v>
      </c>
      <c r="Q1767">
        <f>Table1[[#This Row],[Course_Fee_AED]]-Table1[[#This Row],[Amount_Paid_AED]]</f>
        <v>2</v>
      </c>
      <c r="R1767">
        <f>Table1[[#This Row],[Course_Fee_AED]]-Table1[[#This Row],[pending Revenue]]</f>
        <v>10335</v>
      </c>
    </row>
    <row r="1768" spans="1:18" x14ac:dyDescent="0.25">
      <c r="A1768" t="s">
        <v>1845</v>
      </c>
      <c r="B1768" s="2">
        <v>45322</v>
      </c>
      <c r="C1768" t="s">
        <v>45</v>
      </c>
      <c r="D1768" t="s">
        <v>46</v>
      </c>
      <c r="E1768" t="s">
        <v>17</v>
      </c>
      <c r="F1768" s="5">
        <v>6</v>
      </c>
      <c r="G1768" s="5">
        <v>1</v>
      </c>
      <c r="H1768" s="5">
        <v>4490</v>
      </c>
      <c r="I1768" s="5">
        <v>3</v>
      </c>
      <c r="J1768" s="5">
        <v>4488</v>
      </c>
      <c r="K1768" t="s">
        <v>18</v>
      </c>
      <c r="L1768" t="s">
        <v>40</v>
      </c>
      <c r="M1768" t="s">
        <v>47</v>
      </c>
      <c r="N1768" t="s">
        <v>86</v>
      </c>
      <c r="O1768" t="s">
        <v>43</v>
      </c>
      <c r="P1768" t="s">
        <v>36</v>
      </c>
      <c r="Q1768">
        <f>Table1[[#This Row],[Course_Fee_AED]]-Table1[[#This Row],[Amount_Paid_AED]]</f>
        <v>2</v>
      </c>
      <c r="R1768">
        <f>Table1[[#This Row],[Course_Fee_AED]]-Table1[[#This Row],[pending Revenue]]</f>
        <v>4488</v>
      </c>
    </row>
    <row r="1769" spans="1:18" x14ac:dyDescent="0.25">
      <c r="A1769" t="s">
        <v>1846</v>
      </c>
      <c r="B1769" s="2">
        <v>45388</v>
      </c>
      <c r="C1769" t="s">
        <v>106</v>
      </c>
      <c r="D1769" t="s">
        <v>107</v>
      </c>
      <c r="E1769" t="s">
        <v>17</v>
      </c>
      <c r="F1769" s="5">
        <v>6</v>
      </c>
      <c r="G1769" s="5">
        <v>1</v>
      </c>
      <c r="H1769" s="5">
        <v>5447</v>
      </c>
      <c r="I1769" s="5">
        <v>1</v>
      </c>
      <c r="J1769" s="5">
        <v>1815</v>
      </c>
      <c r="K1769" t="s">
        <v>18</v>
      </c>
      <c r="L1769" t="s">
        <v>57</v>
      </c>
      <c r="M1769" t="s">
        <v>63</v>
      </c>
      <c r="N1769" t="s">
        <v>34</v>
      </c>
      <c r="O1769" t="s">
        <v>58</v>
      </c>
      <c r="P1769" t="s">
        <v>36</v>
      </c>
      <c r="Q1769">
        <f>Table1[[#This Row],[Course_Fee_AED]]-Table1[[#This Row],[Amount_Paid_AED]]</f>
        <v>3632</v>
      </c>
      <c r="R1769">
        <f>Table1[[#This Row],[Course_Fee_AED]]-Table1[[#This Row],[pending Revenue]]</f>
        <v>1815</v>
      </c>
    </row>
    <row r="1770" spans="1:18" x14ac:dyDescent="0.25">
      <c r="A1770" t="s">
        <v>1847</v>
      </c>
      <c r="B1770" s="2">
        <v>45360</v>
      </c>
      <c r="C1770" t="s">
        <v>31</v>
      </c>
      <c r="D1770" t="s">
        <v>32</v>
      </c>
      <c r="E1770" t="s">
        <v>26</v>
      </c>
      <c r="F1770" s="5">
        <v>3</v>
      </c>
      <c r="G1770" s="5">
        <v>1</v>
      </c>
      <c r="H1770" s="5">
        <v>5375</v>
      </c>
      <c r="I1770" s="5">
        <v>1</v>
      </c>
      <c r="J1770" s="5">
        <v>1791</v>
      </c>
      <c r="K1770" t="s">
        <v>18</v>
      </c>
      <c r="L1770" t="s">
        <v>57</v>
      </c>
      <c r="M1770" t="s">
        <v>60</v>
      </c>
      <c r="N1770" t="s">
        <v>42</v>
      </c>
      <c r="O1770" t="s">
        <v>64</v>
      </c>
      <c r="P1770" t="s">
        <v>18</v>
      </c>
      <c r="Q1770">
        <f>Table1[[#This Row],[Course_Fee_AED]]-Table1[[#This Row],[Amount_Paid_AED]]</f>
        <v>3584</v>
      </c>
      <c r="R1770">
        <f>Table1[[#This Row],[Course_Fee_AED]]-Table1[[#This Row],[pending Revenue]]</f>
        <v>1791</v>
      </c>
    </row>
    <row r="1771" spans="1:18" x14ac:dyDescent="0.25">
      <c r="A1771" t="s">
        <v>1848</v>
      </c>
      <c r="B1771" s="2">
        <v>45388</v>
      </c>
      <c r="C1771" t="s">
        <v>100</v>
      </c>
      <c r="D1771" t="s">
        <v>101</v>
      </c>
      <c r="E1771" t="s">
        <v>17</v>
      </c>
      <c r="F1771" s="5">
        <v>6</v>
      </c>
      <c r="G1771" s="5">
        <v>1</v>
      </c>
      <c r="H1771" s="5">
        <v>4307</v>
      </c>
      <c r="I1771" s="5">
        <v>3</v>
      </c>
      <c r="J1771" s="5">
        <v>4305</v>
      </c>
      <c r="K1771" t="s">
        <v>18</v>
      </c>
      <c r="L1771" t="s">
        <v>57</v>
      </c>
      <c r="M1771" t="s">
        <v>27</v>
      </c>
      <c r="N1771" t="s">
        <v>61</v>
      </c>
      <c r="O1771" t="s">
        <v>29</v>
      </c>
      <c r="P1771" t="s">
        <v>18</v>
      </c>
      <c r="Q1771">
        <f>Table1[[#This Row],[Course_Fee_AED]]-Table1[[#This Row],[Amount_Paid_AED]]</f>
        <v>2</v>
      </c>
      <c r="R1771">
        <f>Table1[[#This Row],[Course_Fee_AED]]-Table1[[#This Row],[pending Revenue]]</f>
        <v>4305</v>
      </c>
    </row>
    <row r="1772" spans="1:18" x14ac:dyDescent="0.25">
      <c r="A1772" t="s">
        <v>1849</v>
      </c>
      <c r="B1772" s="2">
        <v>45657</v>
      </c>
      <c r="C1772" t="s">
        <v>51</v>
      </c>
      <c r="D1772" t="s">
        <v>52</v>
      </c>
      <c r="E1772" t="s">
        <v>26</v>
      </c>
      <c r="F1772" s="5">
        <v>3</v>
      </c>
      <c r="G1772" s="5">
        <v>1</v>
      </c>
      <c r="H1772" s="5">
        <v>3850</v>
      </c>
      <c r="I1772" s="5">
        <v>1</v>
      </c>
      <c r="J1772" s="5">
        <v>1283</v>
      </c>
      <c r="K1772" t="s">
        <v>18</v>
      </c>
      <c r="L1772" t="s">
        <v>19</v>
      </c>
      <c r="M1772" t="s">
        <v>60</v>
      </c>
      <c r="N1772" t="s">
        <v>48</v>
      </c>
      <c r="O1772" t="s">
        <v>58</v>
      </c>
      <c r="P1772" t="s">
        <v>36</v>
      </c>
      <c r="Q1772">
        <f>Table1[[#This Row],[Course_Fee_AED]]-Table1[[#This Row],[Amount_Paid_AED]]</f>
        <v>2567</v>
      </c>
      <c r="R1772">
        <f>Table1[[#This Row],[Course_Fee_AED]]-Table1[[#This Row],[pending Revenue]]</f>
        <v>1283</v>
      </c>
    </row>
    <row r="1773" spans="1:18" x14ac:dyDescent="0.25">
      <c r="A1773" t="s">
        <v>1850</v>
      </c>
      <c r="B1773" s="2">
        <v>45380</v>
      </c>
      <c r="C1773" t="s">
        <v>24</v>
      </c>
      <c r="D1773" t="s">
        <v>25</v>
      </c>
      <c r="E1773" t="s">
        <v>17</v>
      </c>
      <c r="F1773" s="5">
        <v>6</v>
      </c>
      <c r="G1773" s="5">
        <v>1</v>
      </c>
      <c r="H1773" s="5">
        <v>6930</v>
      </c>
      <c r="I1773" s="5">
        <v>2</v>
      </c>
      <c r="J1773" s="5">
        <v>4620</v>
      </c>
      <c r="K1773" t="s">
        <v>18</v>
      </c>
      <c r="L1773" t="s">
        <v>57</v>
      </c>
      <c r="M1773" t="s">
        <v>60</v>
      </c>
      <c r="N1773" t="s">
        <v>154</v>
      </c>
      <c r="O1773" t="s">
        <v>43</v>
      </c>
      <c r="P1773" t="s">
        <v>18</v>
      </c>
      <c r="Q1773">
        <f>Table1[[#This Row],[Course_Fee_AED]]-Table1[[#This Row],[Amount_Paid_AED]]</f>
        <v>2310</v>
      </c>
      <c r="R1773">
        <f>Table1[[#This Row],[Course_Fee_AED]]-Table1[[#This Row],[pending Revenue]]</f>
        <v>4620</v>
      </c>
    </row>
    <row r="1774" spans="1:18" x14ac:dyDescent="0.25">
      <c r="A1774" t="s">
        <v>1851</v>
      </c>
      <c r="B1774" s="2">
        <v>45501</v>
      </c>
      <c r="C1774" t="s">
        <v>75</v>
      </c>
      <c r="D1774" t="s">
        <v>76</v>
      </c>
      <c r="E1774" t="s">
        <v>26</v>
      </c>
      <c r="F1774" s="5">
        <v>3</v>
      </c>
      <c r="G1774" s="5">
        <v>1</v>
      </c>
      <c r="H1774" s="5">
        <v>7246</v>
      </c>
      <c r="I1774" s="5">
        <v>2</v>
      </c>
      <c r="J1774" s="5">
        <v>4830</v>
      </c>
      <c r="K1774" t="s">
        <v>18</v>
      </c>
      <c r="L1774" t="s">
        <v>57</v>
      </c>
      <c r="M1774" t="s">
        <v>47</v>
      </c>
      <c r="N1774" t="s">
        <v>90</v>
      </c>
      <c r="O1774" t="s">
        <v>22</v>
      </c>
      <c r="P1774" t="s">
        <v>36</v>
      </c>
      <c r="Q1774">
        <f>Table1[[#This Row],[Course_Fee_AED]]-Table1[[#This Row],[Amount_Paid_AED]]</f>
        <v>2416</v>
      </c>
      <c r="R1774">
        <f>Table1[[#This Row],[Course_Fee_AED]]-Table1[[#This Row],[pending Revenue]]</f>
        <v>4830</v>
      </c>
    </row>
    <row r="1775" spans="1:18" x14ac:dyDescent="0.25">
      <c r="A1775" t="s">
        <v>1852</v>
      </c>
      <c r="B1775" s="2">
        <v>45535</v>
      </c>
      <c r="C1775" t="s">
        <v>92</v>
      </c>
      <c r="D1775" t="s">
        <v>93</v>
      </c>
      <c r="E1775" t="s">
        <v>26</v>
      </c>
      <c r="F1775" s="5">
        <v>3</v>
      </c>
      <c r="G1775" s="5">
        <v>1</v>
      </c>
      <c r="H1775" s="5">
        <v>4739</v>
      </c>
      <c r="I1775" s="5">
        <v>3</v>
      </c>
      <c r="J1775" s="5">
        <v>4737</v>
      </c>
      <c r="K1775" t="s">
        <v>18</v>
      </c>
      <c r="L1775" t="s">
        <v>40</v>
      </c>
      <c r="M1775" t="s">
        <v>20</v>
      </c>
      <c r="N1775" t="s">
        <v>48</v>
      </c>
      <c r="O1775" t="s">
        <v>58</v>
      </c>
      <c r="P1775" t="s">
        <v>36</v>
      </c>
      <c r="Q1775">
        <f>Table1[[#This Row],[Course_Fee_AED]]-Table1[[#This Row],[Amount_Paid_AED]]</f>
        <v>2</v>
      </c>
      <c r="R1775">
        <f>Table1[[#This Row],[Course_Fee_AED]]-Table1[[#This Row],[pending Revenue]]</f>
        <v>4737</v>
      </c>
    </row>
    <row r="1776" spans="1:18" x14ac:dyDescent="0.25">
      <c r="A1776" t="s">
        <v>1853</v>
      </c>
      <c r="B1776" s="2">
        <v>45433</v>
      </c>
      <c r="C1776" t="s">
        <v>38</v>
      </c>
      <c r="D1776" t="s">
        <v>39</v>
      </c>
      <c r="E1776" t="s">
        <v>17</v>
      </c>
      <c r="F1776" s="5">
        <v>6</v>
      </c>
      <c r="G1776" s="5">
        <v>1</v>
      </c>
      <c r="H1776" s="5">
        <v>6368</v>
      </c>
      <c r="I1776" s="5">
        <v>2</v>
      </c>
      <c r="J1776" s="5">
        <v>4244</v>
      </c>
      <c r="K1776" t="s">
        <v>18</v>
      </c>
      <c r="L1776" t="s">
        <v>19</v>
      </c>
      <c r="M1776" t="s">
        <v>27</v>
      </c>
      <c r="N1776" t="s">
        <v>86</v>
      </c>
      <c r="O1776" t="s">
        <v>71</v>
      </c>
      <c r="P1776" t="s">
        <v>36</v>
      </c>
      <c r="Q1776">
        <f>Table1[[#This Row],[Course_Fee_AED]]-Table1[[#This Row],[Amount_Paid_AED]]</f>
        <v>2124</v>
      </c>
      <c r="R1776">
        <f>Table1[[#This Row],[Course_Fee_AED]]-Table1[[#This Row],[pending Revenue]]</f>
        <v>4244</v>
      </c>
    </row>
    <row r="1777" spans="1:18" x14ac:dyDescent="0.25">
      <c r="A1777" t="s">
        <v>1854</v>
      </c>
      <c r="B1777" s="2">
        <v>45615</v>
      </c>
      <c r="C1777" t="s">
        <v>100</v>
      </c>
      <c r="D1777" t="s">
        <v>101</v>
      </c>
      <c r="E1777" t="s">
        <v>26</v>
      </c>
      <c r="F1777" s="5">
        <v>3</v>
      </c>
      <c r="G1777" s="5">
        <v>1</v>
      </c>
      <c r="H1777" s="5">
        <v>5621</v>
      </c>
      <c r="I1777" s="5">
        <v>2</v>
      </c>
      <c r="J1777" s="5">
        <v>3746</v>
      </c>
      <c r="K1777" t="s">
        <v>18</v>
      </c>
      <c r="L1777" t="s">
        <v>57</v>
      </c>
      <c r="M1777" t="s">
        <v>47</v>
      </c>
      <c r="N1777" t="s">
        <v>154</v>
      </c>
      <c r="O1777" t="s">
        <v>64</v>
      </c>
      <c r="P1777" t="s">
        <v>36</v>
      </c>
      <c r="Q1777">
        <f>Table1[[#This Row],[Course_Fee_AED]]-Table1[[#This Row],[Amount_Paid_AED]]</f>
        <v>1875</v>
      </c>
      <c r="R1777">
        <f>Table1[[#This Row],[Course_Fee_AED]]-Table1[[#This Row],[pending Revenue]]</f>
        <v>3746</v>
      </c>
    </row>
    <row r="1778" spans="1:18" x14ac:dyDescent="0.25">
      <c r="A1778" t="s">
        <v>1855</v>
      </c>
      <c r="B1778" s="2">
        <v>45521</v>
      </c>
      <c r="C1778" t="s">
        <v>55</v>
      </c>
      <c r="D1778" t="s">
        <v>56</v>
      </c>
      <c r="E1778" t="s">
        <v>26</v>
      </c>
      <c r="F1778" s="5">
        <v>3</v>
      </c>
      <c r="G1778" s="5">
        <v>1</v>
      </c>
      <c r="H1778" s="5">
        <v>11201</v>
      </c>
      <c r="I1778" s="5">
        <v>3</v>
      </c>
      <c r="J1778" s="5">
        <v>11199</v>
      </c>
      <c r="K1778" t="s">
        <v>18</v>
      </c>
      <c r="L1778" t="s">
        <v>19</v>
      </c>
      <c r="M1778" t="s">
        <v>63</v>
      </c>
      <c r="N1778" t="s">
        <v>28</v>
      </c>
      <c r="O1778" t="s">
        <v>35</v>
      </c>
      <c r="P1778" t="s">
        <v>18</v>
      </c>
      <c r="Q1778">
        <f>Table1[[#This Row],[Course_Fee_AED]]-Table1[[#This Row],[Amount_Paid_AED]]</f>
        <v>2</v>
      </c>
      <c r="R1778">
        <f>Table1[[#This Row],[Course_Fee_AED]]-Table1[[#This Row],[pending Revenue]]</f>
        <v>11199</v>
      </c>
    </row>
    <row r="1779" spans="1:18" x14ac:dyDescent="0.25">
      <c r="A1779" t="s">
        <v>1856</v>
      </c>
      <c r="B1779" s="2">
        <v>45510</v>
      </c>
      <c r="C1779" t="s">
        <v>100</v>
      </c>
      <c r="D1779" t="s">
        <v>101</v>
      </c>
      <c r="E1779" t="s">
        <v>26</v>
      </c>
      <c r="F1779" s="5">
        <v>3</v>
      </c>
      <c r="G1779" s="5">
        <v>1</v>
      </c>
      <c r="H1779" s="5">
        <v>5069</v>
      </c>
      <c r="I1779" s="5">
        <v>3</v>
      </c>
      <c r="J1779" s="5">
        <v>5067</v>
      </c>
      <c r="K1779" t="s">
        <v>18</v>
      </c>
      <c r="L1779" t="s">
        <v>57</v>
      </c>
      <c r="M1779" t="s">
        <v>47</v>
      </c>
      <c r="N1779" t="s">
        <v>61</v>
      </c>
      <c r="O1779" t="s">
        <v>68</v>
      </c>
      <c r="P1779" t="s">
        <v>18</v>
      </c>
      <c r="Q1779">
        <f>Table1[[#This Row],[Course_Fee_AED]]-Table1[[#This Row],[Amount_Paid_AED]]</f>
        <v>2</v>
      </c>
      <c r="R1779">
        <f>Table1[[#This Row],[Course_Fee_AED]]-Table1[[#This Row],[pending Revenue]]</f>
        <v>5067</v>
      </c>
    </row>
    <row r="1780" spans="1:18" x14ac:dyDescent="0.25">
      <c r="A1780" t="s">
        <v>1857</v>
      </c>
      <c r="B1780" s="2">
        <v>45425</v>
      </c>
      <c r="C1780" t="s">
        <v>55</v>
      </c>
      <c r="D1780" t="s">
        <v>56</v>
      </c>
      <c r="E1780" t="s">
        <v>17</v>
      </c>
      <c r="F1780" s="5">
        <v>6</v>
      </c>
      <c r="G1780" s="5">
        <v>1</v>
      </c>
      <c r="H1780" s="5">
        <v>11270</v>
      </c>
      <c r="I1780" s="5">
        <v>2</v>
      </c>
      <c r="J1780" s="5">
        <v>7512</v>
      </c>
      <c r="K1780" t="s">
        <v>18</v>
      </c>
      <c r="L1780" t="s">
        <v>19</v>
      </c>
      <c r="M1780" t="s">
        <v>27</v>
      </c>
      <c r="N1780" t="s">
        <v>53</v>
      </c>
      <c r="O1780" t="s">
        <v>58</v>
      </c>
      <c r="P1780" t="s">
        <v>36</v>
      </c>
      <c r="Q1780">
        <f>Table1[[#This Row],[Course_Fee_AED]]-Table1[[#This Row],[Amount_Paid_AED]]</f>
        <v>3758</v>
      </c>
      <c r="R1780">
        <f>Table1[[#This Row],[Course_Fee_AED]]-Table1[[#This Row],[pending Revenue]]</f>
        <v>7512</v>
      </c>
    </row>
    <row r="1781" spans="1:18" x14ac:dyDescent="0.25">
      <c r="A1781" t="s">
        <v>1858</v>
      </c>
      <c r="B1781" s="2">
        <v>45331</v>
      </c>
      <c r="C1781" t="s">
        <v>38</v>
      </c>
      <c r="D1781" t="s">
        <v>39</v>
      </c>
      <c r="E1781" t="s">
        <v>17</v>
      </c>
      <c r="F1781" s="5">
        <v>6</v>
      </c>
      <c r="G1781" s="5">
        <v>1</v>
      </c>
      <c r="H1781" s="5">
        <v>6246</v>
      </c>
      <c r="I1781" s="5">
        <v>3</v>
      </c>
      <c r="J1781" s="5">
        <v>6246</v>
      </c>
      <c r="K1781" t="s">
        <v>33</v>
      </c>
      <c r="L1781" t="s">
        <v>40</v>
      </c>
      <c r="M1781" t="s">
        <v>20</v>
      </c>
      <c r="N1781" t="s">
        <v>48</v>
      </c>
      <c r="O1781" t="s">
        <v>58</v>
      </c>
      <c r="P1781" t="s">
        <v>18</v>
      </c>
      <c r="Q1781">
        <f>Table1[[#This Row],[Course_Fee_AED]]-Table1[[#This Row],[Amount_Paid_AED]]</f>
        <v>0</v>
      </c>
      <c r="R1781">
        <f>Table1[[#This Row],[Course_Fee_AED]]-Table1[[#This Row],[pending Revenue]]</f>
        <v>6246</v>
      </c>
    </row>
    <row r="1782" spans="1:18" x14ac:dyDescent="0.25">
      <c r="A1782" t="s">
        <v>1859</v>
      </c>
      <c r="B1782" s="2">
        <v>45602</v>
      </c>
      <c r="C1782" t="s">
        <v>113</v>
      </c>
      <c r="D1782" t="s">
        <v>93</v>
      </c>
      <c r="E1782" t="s">
        <v>26</v>
      </c>
      <c r="F1782" s="5">
        <v>3</v>
      </c>
      <c r="G1782" s="5">
        <v>1</v>
      </c>
      <c r="H1782" s="5">
        <v>3699</v>
      </c>
      <c r="I1782" s="5">
        <v>2</v>
      </c>
      <c r="J1782" s="5">
        <v>2466</v>
      </c>
      <c r="K1782" t="s">
        <v>18</v>
      </c>
      <c r="L1782" t="s">
        <v>19</v>
      </c>
      <c r="M1782" t="s">
        <v>63</v>
      </c>
      <c r="N1782" t="s">
        <v>79</v>
      </c>
      <c r="O1782" t="s">
        <v>22</v>
      </c>
      <c r="P1782" t="s">
        <v>36</v>
      </c>
      <c r="Q1782">
        <f>Table1[[#This Row],[Course_Fee_AED]]-Table1[[#This Row],[Amount_Paid_AED]]</f>
        <v>1233</v>
      </c>
      <c r="R1782">
        <f>Table1[[#This Row],[Course_Fee_AED]]-Table1[[#This Row],[pending Revenue]]</f>
        <v>2466</v>
      </c>
    </row>
    <row r="1783" spans="1:18" x14ac:dyDescent="0.25">
      <c r="A1783" t="s">
        <v>1860</v>
      </c>
      <c r="B1783" s="2">
        <v>45619</v>
      </c>
      <c r="C1783" t="s">
        <v>55</v>
      </c>
      <c r="D1783" t="s">
        <v>56</v>
      </c>
      <c r="E1783" t="s">
        <v>17</v>
      </c>
      <c r="F1783" s="5">
        <v>6</v>
      </c>
      <c r="G1783" s="5">
        <v>1</v>
      </c>
      <c r="H1783" s="5">
        <v>11038</v>
      </c>
      <c r="I1783" s="5">
        <v>3</v>
      </c>
      <c r="J1783" s="5">
        <v>11037</v>
      </c>
      <c r="K1783" t="s">
        <v>18</v>
      </c>
      <c r="L1783" t="s">
        <v>40</v>
      </c>
      <c r="M1783" t="s">
        <v>63</v>
      </c>
      <c r="N1783" t="s">
        <v>73</v>
      </c>
      <c r="O1783" t="s">
        <v>49</v>
      </c>
      <c r="P1783" t="s">
        <v>18</v>
      </c>
      <c r="Q1783">
        <f>Table1[[#This Row],[Course_Fee_AED]]-Table1[[#This Row],[Amount_Paid_AED]]</f>
        <v>1</v>
      </c>
      <c r="R1783">
        <f>Table1[[#This Row],[Course_Fee_AED]]-Table1[[#This Row],[pending Revenue]]</f>
        <v>11037</v>
      </c>
    </row>
    <row r="1784" spans="1:18" x14ac:dyDescent="0.25">
      <c r="A1784" t="s">
        <v>1861</v>
      </c>
      <c r="B1784" s="2">
        <v>45621</v>
      </c>
      <c r="C1784" t="s">
        <v>82</v>
      </c>
      <c r="D1784" t="s">
        <v>83</v>
      </c>
      <c r="E1784" t="s">
        <v>17</v>
      </c>
      <c r="F1784" s="5">
        <v>6</v>
      </c>
      <c r="G1784" s="5">
        <v>1</v>
      </c>
      <c r="H1784" s="5">
        <v>10828</v>
      </c>
      <c r="I1784" s="5">
        <v>2</v>
      </c>
      <c r="J1784" s="5">
        <v>7218</v>
      </c>
      <c r="K1784" t="s">
        <v>18</v>
      </c>
      <c r="L1784" t="s">
        <v>57</v>
      </c>
      <c r="M1784" t="s">
        <v>63</v>
      </c>
      <c r="N1784" t="s">
        <v>34</v>
      </c>
      <c r="O1784" t="s">
        <v>22</v>
      </c>
      <c r="P1784" t="s">
        <v>36</v>
      </c>
      <c r="Q1784">
        <f>Table1[[#This Row],[Course_Fee_AED]]-Table1[[#This Row],[Amount_Paid_AED]]</f>
        <v>3610</v>
      </c>
      <c r="R1784">
        <f>Table1[[#This Row],[Course_Fee_AED]]-Table1[[#This Row],[pending Revenue]]</f>
        <v>7218</v>
      </c>
    </row>
    <row r="1785" spans="1:18" x14ac:dyDescent="0.25">
      <c r="A1785" t="s">
        <v>1862</v>
      </c>
      <c r="B1785" s="2">
        <v>45580</v>
      </c>
      <c r="C1785" t="s">
        <v>100</v>
      </c>
      <c r="D1785" t="s">
        <v>101</v>
      </c>
      <c r="E1785" t="s">
        <v>26</v>
      </c>
      <c r="F1785" s="5">
        <v>3</v>
      </c>
      <c r="G1785" s="5">
        <v>1</v>
      </c>
      <c r="H1785" s="5">
        <v>5668</v>
      </c>
      <c r="I1785" s="5">
        <v>2</v>
      </c>
      <c r="J1785" s="5">
        <v>3778</v>
      </c>
      <c r="K1785" t="s">
        <v>18</v>
      </c>
      <c r="L1785" t="s">
        <v>40</v>
      </c>
      <c r="M1785" t="s">
        <v>41</v>
      </c>
      <c r="N1785" t="s">
        <v>61</v>
      </c>
      <c r="O1785" t="s">
        <v>29</v>
      </c>
      <c r="P1785" t="s">
        <v>36</v>
      </c>
      <c r="Q1785">
        <f>Table1[[#This Row],[Course_Fee_AED]]-Table1[[#This Row],[Amount_Paid_AED]]</f>
        <v>1890</v>
      </c>
      <c r="R1785">
        <f>Table1[[#This Row],[Course_Fee_AED]]-Table1[[#This Row],[pending Revenue]]</f>
        <v>3778</v>
      </c>
    </row>
    <row r="1786" spans="1:18" x14ac:dyDescent="0.25">
      <c r="A1786" t="s">
        <v>1863</v>
      </c>
      <c r="B1786" s="2">
        <v>45305</v>
      </c>
      <c r="C1786" t="s">
        <v>15</v>
      </c>
      <c r="D1786" t="s">
        <v>16</v>
      </c>
      <c r="E1786" t="s">
        <v>26</v>
      </c>
      <c r="F1786" s="5">
        <v>3</v>
      </c>
      <c r="G1786" s="5">
        <v>1</v>
      </c>
      <c r="H1786" s="5">
        <v>7129</v>
      </c>
      <c r="I1786" s="5">
        <v>2</v>
      </c>
      <c r="J1786" s="5">
        <v>4752</v>
      </c>
      <c r="K1786" t="s">
        <v>18</v>
      </c>
      <c r="L1786" t="s">
        <v>40</v>
      </c>
      <c r="M1786" t="s">
        <v>63</v>
      </c>
      <c r="N1786" t="s">
        <v>61</v>
      </c>
      <c r="O1786" t="s">
        <v>43</v>
      </c>
      <c r="P1786" t="s">
        <v>36</v>
      </c>
      <c r="Q1786">
        <f>Table1[[#This Row],[Course_Fee_AED]]-Table1[[#This Row],[Amount_Paid_AED]]</f>
        <v>2377</v>
      </c>
      <c r="R1786">
        <f>Table1[[#This Row],[Course_Fee_AED]]-Table1[[#This Row],[pending Revenue]]</f>
        <v>4752</v>
      </c>
    </row>
    <row r="1787" spans="1:18" x14ac:dyDescent="0.25">
      <c r="A1787" t="s">
        <v>1864</v>
      </c>
      <c r="B1787" s="2">
        <v>45550</v>
      </c>
      <c r="C1787" t="s">
        <v>24</v>
      </c>
      <c r="D1787" t="s">
        <v>25</v>
      </c>
      <c r="E1787" t="s">
        <v>17</v>
      </c>
      <c r="F1787" s="5">
        <v>6</v>
      </c>
      <c r="G1787" s="5">
        <v>1</v>
      </c>
      <c r="H1787" s="5">
        <v>6069</v>
      </c>
      <c r="I1787" s="5">
        <v>2</v>
      </c>
      <c r="J1787" s="5">
        <v>4046</v>
      </c>
      <c r="K1787" t="s">
        <v>18</v>
      </c>
      <c r="L1787" t="s">
        <v>40</v>
      </c>
      <c r="M1787" t="s">
        <v>20</v>
      </c>
      <c r="N1787" t="s">
        <v>42</v>
      </c>
      <c r="O1787" t="s">
        <v>58</v>
      </c>
      <c r="P1787" t="s">
        <v>18</v>
      </c>
      <c r="Q1787">
        <f>Table1[[#This Row],[Course_Fee_AED]]-Table1[[#This Row],[Amount_Paid_AED]]</f>
        <v>2023</v>
      </c>
      <c r="R1787">
        <f>Table1[[#This Row],[Course_Fee_AED]]-Table1[[#This Row],[pending Revenue]]</f>
        <v>4046</v>
      </c>
    </row>
    <row r="1788" spans="1:18" x14ac:dyDescent="0.25">
      <c r="A1788" t="s">
        <v>1865</v>
      </c>
      <c r="B1788" s="2">
        <v>45538</v>
      </c>
      <c r="C1788" t="s">
        <v>45</v>
      </c>
      <c r="D1788" t="s">
        <v>46</v>
      </c>
      <c r="E1788" t="s">
        <v>17</v>
      </c>
      <c r="F1788" s="5">
        <v>6</v>
      </c>
      <c r="G1788" s="5">
        <v>1</v>
      </c>
      <c r="H1788" s="5">
        <v>6268</v>
      </c>
      <c r="I1788" s="5">
        <v>2</v>
      </c>
      <c r="J1788" s="5">
        <v>4178</v>
      </c>
      <c r="K1788" t="s">
        <v>18</v>
      </c>
      <c r="L1788" t="s">
        <v>40</v>
      </c>
      <c r="M1788" t="s">
        <v>41</v>
      </c>
      <c r="N1788" t="s">
        <v>86</v>
      </c>
      <c r="O1788" t="s">
        <v>35</v>
      </c>
      <c r="P1788" t="s">
        <v>36</v>
      </c>
      <c r="Q1788">
        <f>Table1[[#This Row],[Course_Fee_AED]]-Table1[[#This Row],[Amount_Paid_AED]]</f>
        <v>2090</v>
      </c>
      <c r="R1788">
        <f>Table1[[#This Row],[Course_Fee_AED]]-Table1[[#This Row],[pending Revenue]]</f>
        <v>4178</v>
      </c>
    </row>
    <row r="1789" spans="1:18" x14ac:dyDescent="0.25">
      <c r="A1789" t="s">
        <v>1866</v>
      </c>
      <c r="B1789" s="2">
        <v>45618</v>
      </c>
      <c r="C1789" t="s">
        <v>24</v>
      </c>
      <c r="D1789" t="s">
        <v>25</v>
      </c>
      <c r="E1789" t="s">
        <v>17</v>
      </c>
      <c r="F1789" s="5">
        <v>6</v>
      </c>
      <c r="G1789" s="5">
        <v>1</v>
      </c>
      <c r="H1789" s="5">
        <v>6761</v>
      </c>
      <c r="I1789" s="5">
        <v>2</v>
      </c>
      <c r="J1789" s="5">
        <v>4506</v>
      </c>
      <c r="K1789" t="s">
        <v>18</v>
      </c>
      <c r="L1789" t="s">
        <v>40</v>
      </c>
      <c r="M1789" t="s">
        <v>41</v>
      </c>
      <c r="N1789" t="s">
        <v>42</v>
      </c>
      <c r="O1789" t="s">
        <v>49</v>
      </c>
      <c r="P1789" t="s">
        <v>36</v>
      </c>
      <c r="Q1789">
        <f>Table1[[#This Row],[Course_Fee_AED]]-Table1[[#This Row],[Amount_Paid_AED]]</f>
        <v>2255</v>
      </c>
      <c r="R1789">
        <f>Table1[[#This Row],[Course_Fee_AED]]-Table1[[#This Row],[pending Revenue]]</f>
        <v>4506</v>
      </c>
    </row>
    <row r="1790" spans="1:18" x14ac:dyDescent="0.25">
      <c r="A1790" t="s">
        <v>1867</v>
      </c>
      <c r="B1790" s="2">
        <v>45482</v>
      </c>
      <c r="C1790" t="s">
        <v>75</v>
      </c>
      <c r="D1790" t="s">
        <v>76</v>
      </c>
      <c r="E1790" t="s">
        <v>26</v>
      </c>
      <c r="F1790" s="5">
        <v>3</v>
      </c>
      <c r="G1790" s="5">
        <v>1</v>
      </c>
      <c r="H1790" s="5">
        <v>10624</v>
      </c>
      <c r="I1790" s="5">
        <v>3</v>
      </c>
      <c r="J1790" s="5">
        <v>10623</v>
      </c>
      <c r="K1790" t="s">
        <v>18</v>
      </c>
      <c r="L1790" t="s">
        <v>40</v>
      </c>
      <c r="M1790" t="s">
        <v>20</v>
      </c>
      <c r="N1790" t="s">
        <v>90</v>
      </c>
      <c r="O1790" t="s">
        <v>68</v>
      </c>
      <c r="P1790" t="s">
        <v>18</v>
      </c>
      <c r="Q1790">
        <f>Table1[[#This Row],[Course_Fee_AED]]-Table1[[#This Row],[Amount_Paid_AED]]</f>
        <v>1</v>
      </c>
      <c r="R1790">
        <f>Table1[[#This Row],[Course_Fee_AED]]-Table1[[#This Row],[pending Revenue]]</f>
        <v>10623</v>
      </c>
    </row>
    <row r="1791" spans="1:18" x14ac:dyDescent="0.25">
      <c r="A1791" t="s">
        <v>1868</v>
      </c>
      <c r="B1791" s="2">
        <v>45400</v>
      </c>
      <c r="C1791" t="s">
        <v>106</v>
      </c>
      <c r="D1791" t="s">
        <v>107</v>
      </c>
      <c r="E1791" t="s">
        <v>26</v>
      </c>
      <c r="F1791" s="5">
        <v>3</v>
      </c>
      <c r="G1791" s="5">
        <v>1</v>
      </c>
      <c r="H1791" s="5">
        <v>5468</v>
      </c>
      <c r="I1791" s="5">
        <v>2</v>
      </c>
      <c r="J1791" s="5">
        <v>3644</v>
      </c>
      <c r="K1791" t="s">
        <v>18</v>
      </c>
      <c r="L1791" t="s">
        <v>19</v>
      </c>
      <c r="M1791" t="s">
        <v>41</v>
      </c>
      <c r="N1791" t="s">
        <v>53</v>
      </c>
      <c r="O1791" t="s">
        <v>87</v>
      </c>
      <c r="P1791" t="s">
        <v>36</v>
      </c>
      <c r="Q1791">
        <f>Table1[[#This Row],[Course_Fee_AED]]-Table1[[#This Row],[Amount_Paid_AED]]</f>
        <v>1824</v>
      </c>
      <c r="R1791">
        <f>Table1[[#This Row],[Course_Fee_AED]]-Table1[[#This Row],[pending Revenue]]</f>
        <v>3644</v>
      </c>
    </row>
    <row r="1792" spans="1:18" x14ac:dyDescent="0.25">
      <c r="A1792" t="s">
        <v>1869</v>
      </c>
      <c r="B1792" s="2">
        <v>45608</v>
      </c>
      <c r="C1792" t="s">
        <v>51</v>
      </c>
      <c r="D1792" t="s">
        <v>52</v>
      </c>
      <c r="E1792" t="s">
        <v>26</v>
      </c>
      <c r="F1792" s="5">
        <v>3</v>
      </c>
      <c r="G1792" s="5">
        <v>1</v>
      </c>
      <c r="H1792" s="5">
        <v>5659</v>
      </c>
      <c r="I1792" s="5">
        <v>1</v>
      </c>
      <c r="J1792" s="5">
        <v>1886</v>
      </c>
      <c r="K1792" t="s">
        <v>18</v>
      </c>
      <c r="L1792" t="s">
        <v>40</v>
      </c>
      <c r="M1792" t="s">
        <v>47</v>
      </c>
      <c r="N1792" t="s">
        <v>154</v>
      </c>
      <c r="O1792" t="s">
        <v>29</v>
      </c>
      <c r="P1792" t="s">
        <v>36</v>
      </c>
      <c r="Q1792">
        <f>Table1[[#This Row],[Course_Fee_AED]]-Table1[[#This Row],[Amount_Paid_AED]]</f>
        <v>3773</v>
      </c>
      <c r="R1792">
        <f>Table1[[#This Row],[Course_Fee_AED]]-Table1[[#This Row],[pending Revenue]]</f>
        <v>1886</v>
      </c>
    </row>
    <row r="1793" spans="1:18" x14ac:dyDescent="0.25">
      <c r="A1793" t="s">
        <v>1870</v>
      </c>
      <c r="B1793" s="2">
        <v>45310</v>
      </c>
      <c r="C1793" t="s">
        <v>92</v>
      </c>
      <c r="D1793" t="s">
        <v>93</v>
      </c>
      <c r="E1793" t="s">
        <v>26</v>
      </c>
      <c r="F1793" s="5">
        <v>3</v>
      </c>
      <c r="G1793" s="5">
        <v>1</v>
      </c>
      <c r="H1793" s="5">
        <v>6581</v>
      </c>
      <c r="I1793" s="5">
        <v>2</v>
      </c>
      <c r="J1793" s="5">
        <v>4386</v>
      </c>
      <c r="K1793" t="s">
        <v>18</v>
      </c>
      <c r="L1793" t="s">
        <v>19</v>
      </c>
      <c r="M1793" t="s">
        <v>60</v>
      </c>
      <c r="N1793" t="s">
        <v>73</v>
      </c>
      <c r="O1793" t="s">
        <v>58</v>
      </c>
      <c r="P1793" t="s">
        <v>36</v>
      </c>
      <c r="Q1793">
        <f>Table1[[#This Row],[Course_Fee_AED]]-Table1[[#This Row],[Amount_Paid_AED]]</f>
        <v>2195</v>
      </c>
      <c r="R1793">
        <f>Table1[[#This Row],[Course_Fee_AED]]-Table1[[#This Row],[pending Revenue]]</f>
        <v>4386</v>
      </c>
    </row>
    <row r="1794" spans="1:18" x14ac:dyDescent="0.25">
      <c r="A1794" t="s">
        <v>1871</v>
      </c>
      <c r="B1794" s="2">
        <v>45412</v>
      </c>
      <c r="C1794" t="s">
        <v>38</v>
      </c>
      <c r="D1794" t="s">
        <v>39</v>
      </c>
      <c r="E1794" t="s">
        <v>17</v>
      </c>
      <c r="F1794" s="5">
        <v>6</v>
      </c>
      <c r="G1794" s="5">
        <v>1</v>
      </c>
      <c r="H1794" s="5">
        <v>4923</v>
      </c>
      <c r="I1794" s="5">
        <v>2</v>
      </c>
      <c r="J1794" s="5">
        <v>3282</v>
      </c>
      <c r="K1794" t="s">
        <v>18</v>
      </c>
      <c r="L1794" t="s">
        <v>57</v>
      </c>
      <c r="M1794" t="s">
        <v>63</v>
      </c>
      <c r="N1794" t="s">
        <v>70</v>
      </c>
      <c r="O1794" t="s">
        <v>71</v>
      </c>
      <c r="P1794" t="s">
        <v>36</v>
      </c>
      <c r="Q1794">
        <f>Table1[[#This Row],[Course_Fee_AED]]-Table1[[#This Row],[Amount_Paid_AED]]</f>
        <v>1641</v>
      </c>
      <c r="R1794">
        <f>Table1[[#This Row],[Course_Fee_AED]]-Table1[[#This Row],[pending Revenue]]</f>
        <v>3282</v>
      </c>
    </row>
    <row r="1795" spans="1:18" x14ac:dyDescent="0.25">
      <c r="A1795" t="s">
        <v>1872</v>
      </c>
      <c r="B1795" s="2">
        <v>45307</v>
      </c>
      <c r="C1795" t="s">
        <v>31</v>
      </c>
      <c r="D1795" t="s">
        <v>32</v>
      </c>
      <c r="E1795" t="s">
        <v>17</v>
      </c>
      <c r="F1795" s="5">
        <v>6</v>
      </c>
      <c r="G1795" s="5">
        <v>1</v>
      </c>
      <c r="H1795" s="5">
        <v>7145</v>
      </c>
      <c r="I1795" s="5">
        <v>2</v>
      </c>
      <c r="J1795" s="5">
        <v>4762</v>
      </c>
      <c r="K1795" t="s">
        <v>18</v>
      </c>
      <c r="L1795" t="s">
        <v>57</v>
      </c>
      <c r="M1795" t="s">
        <v>47</v>
      </c>
      <c r="N1795" t="s">
        <v>34</v>
      </c>
      <c r="O1795" t="s">
        <v>43</v>
      </c>
      <c r="P1795" t="s">
        <v>36</v>
      </c>
      <c r="Q1795">
        <f>Table1[[#This Row],[Course_Fee_AED]]-Table1[[#This Row],[Amount_Paid_AED]]</f>
        <v>2383</v>
      </c>
      <c r="R1795">
        <f>Table1[[#This Row],[Course_Fee_AED]]-Table1[[#This Row],[pending Revenue]]</f>
        <v>4762</v>
      </c>
    </row>
    <row r="1796" spans="1:18" x14ac:dyDescent="0.25">
      <c r="A1796" t="s">
        <v>1873</v>
      </c>
      <c r="B1796" s="2">
        <v>45461</v>
      </c>
      <c r="C1796" t="s">
        <v>113</v>
      </c>
      <c r="D1796" t="s">
        <v>93</v>
      </c>
      <c r="E1796" t="s">
        <v>17</v>
      </c>
      <c r="F1796" s="5">
        <v>6</v>
      </c>
      <c r="G1796" s="5">
        <v>1</v>
      </c>
      <c r="H1796" s="5">
        <v>3061</v>
      </c>
      <c r="I1796" s="5">
        <v>2</v>
      </c>
      <c r="J1796" s="5">
        <v>2040</v>
      </c>
      <c r="K1796" t="s">
        <v>18</v>
      </c>
      <c r="L1796" t="s">
        <v>19</v>
      </c>
      <c r="M1796" t="s">
        <v>41</v>
      </c>
      <c r="N1796" t="s">
        <v>73</v>
      </c>
      <c r="O1796" t="s">
        <v>49</v>
      </c>
      <c r="P1796" t="s">
        <v>36</v>
      </c>
      <c r="Q1796">
        <f>Table1[[#This Row],[Course_Fee_AED]]-Table1[[#This Row],[Amount_Paid_AED]]</f>
        <v>1021</v>
      </c>
      <c r="R1796">
        <f>Table1[[#This Row],[Course_Fee_AED]]-Table1[[#This Row],[pending Revenue]]</f>
        <v>2040</v>
      </c>
    </row>
    <row r="1797" spans="1:18" x14ac:dyDescent="0.25">
      <c r="A1797" t="s">
        <v>1874</v>
      </c>
      <c r="B1797" s="2">
        <v>45486</v>
      </c>
      <c r="C1797" t="s">
        <v>66</v>
      </c>
      <c r="D1797" t="s">
        <v>56</v>
      </c>
      <c r="E1797" t="s">
        <v>17</v>
      </c>
      <c r="F1797" s="5">
        <v>6</v>
      </c>
      <c r="G1797" s="5">
        <v>1</v>
      </c>
      <c r="H1797" s="5">
        <v>7549</v>
      </c>
      <c r="I1797" s="5">
        <v>3</v>
      </c>
      <c r="J1797" s="5">
        <v>7548</v>
      </c>
      <c r="K1797" t="s">
        <v>18</v>
      </c>
      <c r="L1797" t="s">
        <v>19</v>
      </c>
      <c r="M1797" t="s">
        <v>20</v>
      </c>
      <c r="N1797" t="s">
        <v>116</v>
      </c>
      <c r="O1797" t="s">
        <v>35</v>
      </c>
      <c r="P1797" t="s">
        <v>18</v>
      </c>
      <c r="Q1797">
        <f>Table1[[#This Row],[Course_Fee_AED]]-Table1[[#This Row],[Amount_Paid_AED]]</f>
        <v>1</v>
      </c>
      <c r="R1797">
        <f>Table1[[#This Row],[Course_Fee_AED]]-Table1[[#This Row],[pending Revenue]]</f>
        <v>7548</v>
      </c>
    </row>
    <row r="1798" spans="1:18" x14ac:dyDescent="0.25">
      <c r="A1798" t="s">
        <v>1875</v>
      </c>
      <c r="B1798" s="2">
        <v>45564</v>
      </c>
      <c r="C1798" t="s">
        <v>31</v>
      </c>
      <c r="D1798" t="s">
        <v>32</v>
      </c>
      <c r="E1798" t="s">
        <v>17</v>
      </c>
      <c r="F1798" s="5">
        <v>6</v>
      </c>
      <c r="G1798" s="5">
        <v>1</v>
      </c>
      <c r="H1798" s="5">
        <v>7912</v>
      </c>
      <c r="I1798" s="5">
        <v>1</v>
      </c>
      <c r="J1798" s="5">
        <v>2637</v>
      </c>
      <c r="K1798" t="s">
        <v>18</v>
      </c>
      <c r="L1798" t="s">
        <v>57</v>
      </c>
      <c r="M1798" t="s">
        <v>27</v>
      </c>
      <c r="N1798" t="s">
        <v>53</v>
      </c>
      <c r="O1798" t="s">
        <v>68</v>
      </c>
      <c r="P1798" t="s">
        <v>36</v>
      </c>
      <c r="Q1798">
        <f>Table1[[#This Row],[Course_Fee_AED]]-Table1[[#This Row],[Amount_Paid_AED]]</f>
        <v>5275</v>
      </c>
      <c r="R1798">
        <f>Table1[[#This Row],[Course_Fee_AED]]-Table1[[#This Row],[pending Revenue]]</f>
        <v>2637</v>
      </c>
    </row>
    <row r="1799" spans="1:18" x14ac:dyDescent="0.25">
      <c r="A1799" t="s">
        <v>1876</v>
      </c>
      <c r="B1799" s="2">
        <v>45317</v>
      </c>
      <c r="C1799" t="s">
        <v>38</v>
      </c>
      <c r="D1799" t="s">
        <v>39</v>
      </c>
      <c r="E1799" t="s">
        <v>17</v>
      </c>
      <c r="F1799" s="5">
        <v>6</v>
      </c>
      <c r="G1799" s="5">
        <v>1</v>
      </c>
      <c r="H1799" s="5">
        <v>6011</v>
      </c>
      <c r="I1799" s="5">
        <v>2</v>
      </c>
      <c r="J1799" s="5">
        <v>4006</v>
      </c>
      <c r="K1799" t="s">
        <v>18</v>
      </c>
      <c r="L1799" t="s">
        <v>19</v>
      </c>
      <c r="M1799" t="s">
        <v>41</v>
      </c>
      <c r="N1799" t="s">
        <v>73</v>
      </c>
      <c r="O1799" t="s">
        <v>71</v>
      </c>
      <c r="P1799" t="s">
        <v>36</v>
      </c>
      <c r="Q1799">
        <f>Table1[[#This Row],[Course_Fee_AED]]-Table1[[#This Row],[Amount_Paid_AED]]</f>
        <v>2005</v>
      </c>
      <c r="R1799">
        <f>Table1[[#This Row],[Course_Fee_AED]]-Table1[[#This Row],[pending Revenue]]</f>
        <v>4006</v>
      </c>
    </row>
    <row r="1800" spans="1:18" x14ac:dyDescent="0.25">
      <c r="A1800" t="s">
        <v>1877</v>
      </c>
      <c r="B1800" s="2">
        <v>45513</v>
      </c>
      <c r="C1800" t="s">
        <v>100</v>
      </c>
      <c r="D1800" t="s">
        <v>101</v>
      </c>
      <c r="E1800" t="s">
        <v>26</v>
      </c>
      <c r="F1800" s="5">
        <v>3</v>
      </c>
      <c r="G1800" s="5">
        <v>1</v>
      </c>
      <c r="H1800" s="5">
        <v>5460</v>
      </c>
      <c r="I1800" s="5">
        <v>1</v>
      </c>
      <c r="J1800" s="5">
        <v>1820</v>
      </c>
      <c r="K1800" t="s">
        <v>18</v>
      </c>
      <c r="L1800" t="s">
        <v>19</v>
      </c>
      <c r="M1800" t="s">
        <v>47</v>
      </c>
      <c r="N1800" t="s">
        <v>90</v>
      </c>
      <c r="O1800" t="s">
        <v>49</v>
      </c>
      <c r="P1800" t="s">
        <v>18</v>
      </c>
      <c r="Q1800">
        <f>Table1[[#This Row],[Course_Fee_AED]]-Table1[[#This Row],[Amount_Paid_AED]]</f>
        <v>3640</v>
      </c>
      <c r="R1800">
        <f>Table1[[#This Row],[Course_Fee_AED]]-Table1[[#This Row],[pending Revenue]]</f>
        <v>1820</v>
      </c>
    </row>
    <row r="1801" spans="1:18" x14ac:dyDescent="0.25">
      <c r="A1801" t="s">
        <v>1878</v>
      </c>
      <c r="B1801" s="2">
        <v>45542</v>
      </c>
      <c r="C1801" t="s">
        <v>51</v>
      </c>
      <c r="D1801" t="s">
        <v>52</v>
      </c>
      <c r="E1801" t="s">
        <v>17</v>
      </c>
      <c r="F1801" s="5">
        <v>6</v>
      </c>
      <c r="G1801" s="5">
        <v>1</v>
      </c>
      <c r="H1801" s="5">
        <v>5224</v>
      </c>
      <c r="I1801" s="5">
        <v>2</v>
      </c>
      <c r="J1801" s="5">
        <v>3482</v>
      </c>
      <c r="K1801" t="s">
        <v>18</v>
      </c>
      <c r="L1801" t="s">
        <v>40</v>
      </c>
      <c r="M1801" t="s">
        <v>20</v>
      </c>
      <c r="N1801" t="s">
        <v>21</v>
      </c>
      <c r="O1801" t="s">
        <v>29</v>
      </c>
      <c r="P1801" t="s">
        <v>36</v>
      </c>
      <c r="Q1801">
        <f>Table1[[#This Row],[Course_Fee_AED]]-Table1[[#This Row],[Amount_Paid_AED]]</f>
        <v>1742</v>
      </c>
      <c r="R1801">
        <f>Table1[[#This Row],[Course_Fee_AED]]-Table1[[#This Row],[pending Revenue]]</f>
        <v>3482</v>
      </c>
    </row>
    <row r="1802" spans="1:18" x14ac:dyDescent="0.25">
      <c r="A1802" t="s">
        <v>1879</v>
      </c>
      <c r="B1802" s="2">
        <v>45301</v>
      </c>
      <c r="C1802" t="s">
        <v>113</v>
      </c>
      <c r="D1802" t="s">
        <v>93</v>
      </c>
      <c r="E1802" t="s">
        <v>26</v>
      </c>
      <c r="F1802" s="5">
        <v>3</v>
      </c>
      <c r="G1802" s="5">
        <v>1</v>
      </c>
      <c r="H1802" s="5">
        <v>4641</v>
      </c>
      <c r="I1802" s="5">
        <v>1</v>
      </c>
      <c r="J1802" s="5">
        <v>1547</v>
      </c>
      <c r="K1802" t="s">
        <v>18</v>
      </c>
      <c r="L1802" t="s">
        <v>19</v>
      </c>
      <c r="M1802" t="s">
        <v>63</v>
      </c>
      <c r="N1802" t="s">
        <v>154</v>
      </c>
      <c r="O1802" t="s">
        <v>22</v>
      </c>
      <c r="P1802" t="s">
        <v>18</v>
      </c>
      <c r="Q1802">
        <f>Table1[[#This Row],[Course_Fee_AED]]-Table1[[#This Row],[Amount_Paid_AED]]</f>
        <v>3094</v>
      </c>
      <c r="R1802">
        <f>Table1[[#This Row],[Course_Fee_AED]]-Table1[[#This Row],[pending Revenue]]</f>
        <v>1547</v>
      </c>
    </row>
    <row r="1803" spans="1:18" x14ac:dyDescent="0.25">
      <c r="A1803" t="s">
        <v>1880</v>
      </c>
      <c r="B1803" s="2">
        <v>45403</v>
      </c>
      <c r="C1803" t="s">
        <v>66</v>
      </c>
      <c r="D1803" t="s">
        <v>56</v>
      </c>
      <c r="E1803" t="s">
        <v>17</v>
      </c>
      <c r="F1803" s="5">
        <v>6</v>
      </c>
      <c r="G1803" s="5">
        <v>1</v>
      </c>
      <c r="H1803" s="5">
        <v>10363</v>
      </c>
      <c r="I1803" s="5">
        <v>3</v>
      </c>
      <c r="J1803" s="5">
        <v>10362</v>
      </c>
      <c r="K1803" t="s">
        <v>18</v>
      </c>
      <c r="L1803" t="s">
        <v>19</v>
      </c>
      <c r="M1803" t="s">
        <v>60</v>
      </c>
      <c r="N1803" t="s">
        <v>90</v>
      </c>
      <c r="O1803" t="s">
        <v>64</v>
      </c>
      <c r="P1803" t="s">
        <v>18</v>
      </c>
      <c r="Q1803">
        <f>Table1[[#This Row],[Course_Fee_AED]]-Table1[[#This Row],[Amount_Paid_AED]]</f>
        <v>1</v>
      </c>
      <c r="R1803">
        <f>Table1[[#This Row],[Course_Fee_AED]]-Table1[[#This Row],[pending Revenue]]</f>
        <v>10362</v>
      </c>
    </row>
    <row r="1804" spans="1:18" x14ac:dyDescent="0.25">
      <c r="A1804" t="s">
        <v>1881</v>
      </c>
      <c r="B1804" s="2">
        <v>45399</v>
      </c>
      <c r="C1804" t="s">
        <v>31</v>
      </c>
      <c r="D1804" t="s">
        <v>32</v>
      </c>
      <c r="E1804" t="s">
        <v>26</v>
      </c>
      <c r="F1804" s="5">
        <v>3</v>
      </c>
      <c r="G1804" s="5">
        <v>1</v>
      </c>
      <c r="H1804" s="5">
        <v>6849</v>
      </c>
      <c r="I1804" s="5">
        <v>2</v>
      </c>
      <c r="J1804" s="5">
        <v>4566</v>
      </c>
      <c r="K1804" t="s">
        <v>18</v>
      </c>
      <c r="L1804" t="s">
        <v>40</v>
      </c>
      <c r="M1804" t="s">
        <v>20</v>
      </c>
      <c r="N1804" t="s">
        <v>21</v>
      </c>
      <c r="O1804" t="s">
        <v>71</v>
      </c>
      <c r="P1804" t="s">
        <v>36</v>
      </c>
      <c r="Q1804">
        <f>Table1[[#This Row],[Course_Fee_AED]]-Table1[[#This Row],[Amount_Paid_AED]]</f>
        <v>2283</v>
      </c>
      <c r="R1804">
        <f>Table1[[#This Row],[Course_Fee_AED]]-Table1[[#This Row],[pending Revenue]]</f>
        <v>4566</v>
      </c>
    </row>
    <row r="1805" spans="1:18" x14ac:dyDescent="0.25">
      <c r="A1805" t="s">
        <v>1882</v>
      </c>
      <c r="B1805" s="2">
        <v>45483</v>
      </c>
      <c r="C1805" t="s">
        <v>82</v>
      </c>
      <c r="D1805" t="s">
        <v>83</v>
      </c>
      <c r="E1805" t="s">
        <v>26</v>
      </c>
      <c r="F1805" s="5">
        <v>3</v>
      </c>
      <c r="G1805" s="5">
        <v>1</v>
      </c>
      <c r="H1805" s="5">
        <v>9099</v>
      </c>
      <c r="I1805" s="5">
        <v>3</v>
      </c>
      <c r="J1805" s="5">
        <v>9099</v>
      </c>
      <c r="K1805" t="s">
        <v>33</v>
      </c>
      <c r="L1805" t="s">
        <v>40</v>
      </c>
      <c r="M1805" t="s">
        <v>47</v>
      </c>
      <c r="N1805" t="s">
        <v>34</v>
      </c>
      <c r="O1805" t="s">
        <v>29</v>
      </c>
      <c r="P1805" t="s">
        <v>18</v>
      </c>
      <c r="Q1805">
        <f>Table1[[#This Row],[Course_Fee_AED]]-Table1[[#This Row],[Amount_Paid_AED]]</f>
        <v>0</v>
      </c>
      <c r="R1805">
        <f>Table1[[#This Row],[Course_Fee_AED]]-Table1[[#This Row],[pending Revenue]]</f>
        <v>9099</v>
      </c>
    </row>
    <row r="1806" spans="1:18" x14ac:dyDescent="0.25">
      <c r="A1806" t="s">
        <v>1883</v>
      </c>
      <c r="B1806" s="2">
        <v>45355</v>
      </c>
      <c r="C1806" t="s">
        <v>38</v>
      </c>
      <c r="D1806" t="s">
        <v>39</v>
      </c>
      <c r="E1806" t="s">
        <v>26</v>
      </c>
      <c r="F1806" s="5">
        <v>3</v>
      </c>
      <c r="G1806" s="5">
        <v>1</v>
      </c>
      <c r="H1806" s="5">
        <v>6358</v>
      </c>
      <c r="I1806" s="5">
        <v>3</v>
      </c>
      <c r="J1806" s="5">
        <v>6357</v>
      </c>
      <c r="K1806" t="s">
        <v>18</v>
      </c>
      <c r="L1806" t="s">
        <v>40</v>
      </c>
      <c r="M1806" t="s">
        <v>27</v>
      </c>
      <c r="N1806" t="s">
        <v>21</v>
      </c>
      <c r="O1806" t="s">
        <v>43</v>
      </c>
      <c r="P1806" t="s">
        <v>18</v>
      </c>
      <c r="Q1806">
        <f>Table1[[#This Row],[Course_Fee_AED]]-Table1[[#This Row],[Amount_Paid_AED]]</f>
        <v>1</v>
      </c>
      <c r="R1806">
        <f>Table1[[#This Row],[Course_Fee_AED]]-Table1[[#This Row],[pending Revenue]]</f>
        <v>6357</v>
      </c>
    </row>
    <row r="1807" spans="1:18" x14ac:dyDescent="0.25">
      <c r="A1807" t="s">
        <v>1884</v>
      </c>
      <c r="B1807" s="2">
        <v>45312</v>
      </c>
      <c r="C1807" t="s">
        <v>100</v>
      </c>
      <c r="D1807" t="s">
        <v>101</v>
      </c>
      <c r="E1807" t="s">
        <v>17</v>
      </c>
      <c r="F1807" s="5">
        <v>6</v>
      </c>
      <c r="G1807" s="5">
        <v>1</v>
      </c>
      <c r="H1807" s="5">
        <v>4207</v>
      </c>
      <c r="I1807" s="5">
        <v>3</v>
      </c>
      <c r="J1807" s="5">
        <v>4206</v>
      </c>
      <c r="K1807" t="s">
        <v>18</v>
      </c>
      <c r="L1807" t="s">
        <v>19</v>
      </c>
      <c r="M1807" t="s">
        <v>27</v>
      </c>
      <c r="N1807" t="s">
        <v>21</v>
      </c>
      <c r="O1807" t="s">
        <v>87</v>
      </c>
      <c r="P1807" t="s">
        <v>18</v>
      </c>
      <c r="Q1807">
        <f>Table1[[#This Row],[Course_Fee_AED]]-Table1[[#This Row],[Amount_Paid_AED]]</f>
        <v>1</v>
      </c>
      <c r="R1807">
        <f>Table1[[#This Row],[Course_Fee_AED]]-Table1[[#This Row],[pending Revenue]]</f>
        <v>4206</v>
      </c>
    </row>
    <row r="1808" spans="1:18" x14ac:dyDescent="0.25">
      <c r="A1808" t="s">
        <v>1885</v>
      </c>
      <c r="B1808" s="2">
        <v>45317</v>
      </c>
      <c r="C1808" t="s">
        <v>113</v>
      </c>
      <c r="D1808" t="s">
        <v>93</v>
      </c>
      <c r="E1808" t="s">
        <v>17</v>
      </c>
      <c r="F1808" s="5">
        <v>6</v>
      </c>
      <c r="G1808" s="5">
        <v>1</v>
      </c>
      <c r="H1808" s="5">
        <v>3747</v>
      </c>
      <c r="I1808" s="5">
        <v>2</v>
      </c>
      <c r="J1808" s="5">
        <v>2498</v>
      </c>
      <c r="K1808" t="s">
        <v>18</v>
      </c>
      <c r="L1808" t="s">
        <v>40</v>
      </c>
      <c r="M1808" t="s">
        <v>41</v>
      </c>
      <c r="N1808" t="s">
        <v>79</v>
      </c>
      <c r="O1808" t="s">
        <v>64</v>
      </c>
      <c r="P1808" t="s">
        <v>18</v>
      </c>
      <c r="Q1808">
        <f>Table1[[#This Row],[Course_Fee_AED]]-Table1[[#This Row],[Amount_Paid_AED]]</f>
        <v>1249</v>
      </c>
      <c r="R1808">
        <f>Table1[[#This Row],[Course_Fee_AED]]-Table1[[#This Row],[pending Revenue]]</f>
        <v>2498</v>
      </c>
    </row>
    <row r="1809" spans="1:18" x14ac:dyDescent="0.25">
      <c r="A1809" t="s">
        <v>1886</v>
      </c>
      <c r="B1809" s="2">
        <v>45581</v>
      </c>
      <c r="C1809" t="s">
        <v>92</v>
      </c>
      <c r="D1809" t="s">
        <v>93</v>
      </c>
      <c r="E1809" t="s">
        <v>17</v>
      </c>
      <c r="F1809" s="5">
        <v>6</v>
      </c>
      <c r="G1809" s="5">
        <v>1</v>
      </c>
      <c r="H1809" s="5">
        <v>5857</v>
      </c>
      <c r="I1809" s="5">
        <v>1</v>
      </c>
      <c r="J1809" s="5">
        <v>1952</v>
      </c>
      <c r="K1809" t="s">
        <v>18</v>
      </c>
      <c r="L1809" t="s">
        <v>19</v>
      </c>
      <c r="M1809" t="s">
        <v>20</v>
      </c>
      <c r="N1809" t="s">
        <v>73</v>
      </c>
      <c r="O1809" t="s">
        <v>35</v>
      </c>
      <c r="P1809" t="s">
        <v>18</v>
      </c>
      <c r="Q1809">
        <f>Table1[[#This Row],[Course_Fee_AED]]-Table1[[#This Row],[Amount_Paid_AED]]</f>
        <v>3905</v>
      </c>
      <c r="R1809">
        <f>Table1[[#This Row],[Course_Fee_AED]]-Table1[[#This Row],[pending Revenue]]</f>
        <v>1952</v>
      </c>
    </row>
    <row r="1810" spans="1:18" x14ac:dyDescent="0.25">
      <c r="A1810" t="s">
        <v>1887</v>
      </c>
      <c r="B1810" s="2">
        <v>45484</v>
      </c>
      <c r="C1810" t="s">
        <v>15</v>
      </c>
      <c r="D1810" t="s">
        <v>16</v>
      </c>
      <c r="E1810" t="s">
        <v>17</v>
      </c>
      <c r="F1810" s="5">
        <v>6</v>
      </c>
      <c r="G1810" s="5">
        <v>1</v>
      </c>
      <c r="H1810" s="5">
        <v>4830</v>
      </c>
      <c r="I1810" s="5">
        <v>3</v>
      </c>
      <c r="J1810" s="5">
        <v>4830</v>
      </c>
      <c r="K1810" t="s">
        <v>33</v>
      </c>
      <c r="L1810" t="s">
        <v>57</v>
      </c>
      <c r="M1810" t="s">
        <v>41</v>
      </c>
      <c r="N1810" t="s">
        <v>28</v>
      </c>
      <c r="O1810" t="s">
        <v>29</v>
      </c>
      <c r="P1810" t="s">
        <v>36</v>
      </c>
      <c r="Q1810">
        <f>Table1[[#This Row],[Course_Fee_AED]]-Table1[[#This Row],[Amount_Paid_AED]]</f>
        <v>0</v>
      </c>
      <c r="R1810">
        <f>Table1[[#This Row],[Course_Fee_AED]]-Table1[[#This Row],[pending Revenue]]</f>
        <v>4830</v>
      </c>
    </row>
    <row r="1811" spans="1:18" x14ac:dyDescent="0.25">
      <c r="A1811" t="s">
        <v>1888</v>
      </c>
      <c r="B1811" s="2">
        <v>45393</v>
      </c>
      <c r="C1811" t="s">
        <v>15</v>
      </c>
      <c r="D1811" t="s">
        <v>16</v>
      </c>
      <c r="E1811" t="s">
        <v>26</v>
      </c>
      <c r="F1811" s="5">
        <v>3</v>
      </c>
      <c r="G1811" s="5">
        <v>1</v>
      </c>
      <c r="H1811" s="5">
        <v>5006</v>
      </c>
      <c r="I1811" s="5">
        <v>3</v>
      </c>
      <c r="J1811" s="5">
        <v>5004</v>
      </c>
      <c r="K1811" t="s">
        <v>18</v>
      </c>
      <c r="L1811" t="s">
        <v>19</v>
      </c>
      <c r="M1811" t="s">
        <v>63</v>
      </c>
      <c r="N1811" t="s">
        <v>154</v>
      </c>
      <c r="O1811" t="s">
        <v>71</v>
      </c>
      <c r="P1811" t="s">
        <v>36</v>
      </c>
      <c r="Q1811">
        <f>Table1[[#This Row],[Course_Fee_AED]]-Table1[[#This Row],[Amount_Paid_AED]]</f>
        <v>2</v>
      </c>
      <c r="R1811">
        <f>Table1[[#This Row],[Course_Fee_AED]]-Table1[[#This Row],[pending Revenue]]</f>
        <v>5004</v>
      </c>
    </row>
    <row r="1812" spans="1:18" x14ac:dyDescent="0.25">
      <c r="A1812" t="s">
        <v>1889</v>
      </c>
      <c r="B1812" s="2">
        <v>45423</v>
      </c>
      <c r="C1812" t="s">
        <v>106</v>
      </c>
      <c r="D1812" t="s">
        <v>107</v>
      </c>
      <c r="E1812" t="s">
        <v>26</v>
      </c>
      <c r="F1812" s="5">
        <v>3</v>
      </c>
      <c r="G1812" s="5">
        <v>1</v>
      </c>
      <c r="H1812" s="5">
        <v>5953</v>
      </c>
      <c r="I1812" s="5">
        <v>2</v>
      </c>
      <c r="J1812" s="5">
        <v>3968</v>
      </c>
      <c r="K1812" t="s">
        <v>18</v>
      </c>
      <c r="L1812" t="s">
        <v>40</v>
      </c>
      <c r="M1812" t="s">
        <v>47</v>
      </c>
      <c r="N1812" t="s">
        <v>95</v>
      </c>
      <c r="O1812" t="s">
        <v>49</v>
      </c>
      <c r="P1812" t="s">
        <v>18</v>
      </c>
      <c r="Q1812">
        <f>Table1[[#This Row],[Course_Fee_AED]]-Table1[[#This Row],[Amount_Paid_AED]]</f>
        <v>1985</v>
      </c>
      <c r="R1812">
        <f>Table1[[#This Row],[Course_Fee_AED]]-Table1[[#This Row],[pending Revenue]]</f>
        <v>3968</v>
      </c>
    </row>
    <row r="1813" spans="1:18" x14ac:dyDescent="0.25">
      <c r="A1813" t="s">
        <v>1890</v>
      </c>
      <c r="B1813" s="2">
        <v>45485</v>
      </c>
      <c r="C1813" t="s">
        <v>24</v>
      </c>
      <c r="D1813" t="s">
        <v>25</v>
      </c>
      <c r="E1813" t="s">
        <v>26</v>
      </c>
      <c r="F1813" s="5">
        <v>3</v>
      </c>
      <c r="G1813" s="5">
        <v>1</v>
      </c>
      <c r="H1813" s="5">
        <v>4806</v>
      </c>
      <c r="I1813" s="5">
        <v>3</v>
      </c>
      <c r="J1813" s="5">
        <v>4806</v>
      </c>
      <c r="K1813" t="s">
        <v>33</v>
      </c>
      <c r="L1813" t="s">
        <v>19</v>
      </c>
      <c r="M1813" t="s">
        <v>47</v>
      </c>
      <c r="N1813" t="s">
        <v>70</v>
      </c>
      <c r="O1813" t="s">
        <v>64</v>
      </c>
      <c r="P1813" t="s">
        <v>36</v>
      </c>
      <c r="Q1813">
        <f>Table1[[#This Row],[Course_Fee_AED]]-Table1[[#This Row],[Amount_Paid_AED]]</f>
        <v>0</v>
      </c>
      <c r="R1813">
        <f>Table1[[#This Row],[Course_Fee_AED]]-Table1[[#This Row],[pending Revenue]]</f>
        <v>4806</v>
      </c>
    </row>
    <row r="1814" spans="1:18" x14ac:dyDescent="0.25">
      <c r="A1814" t="s">
        <v>1891</v>
      </c>
      <c r="B1814" s="2">
        <v>45325</v>
      </c>
      <c r="C1814" t="s">
        <v>55</v>
      </c>
      <c r="D1814" t="s">
        <v>56</v>
      </c>
      <c r="E1814" t="s">
        <v>26</v>
      </c>
      <c r="F1814" s="5">
        <v>3</v>
      </c>
      <c r="G1814" s="5">
        <v>1</v>
      </c>
      <c r="H1814" s="5">
        <v>11538</v>
      </c>
      <c r="I1814" s="5">
        <v>3</v>
      </c>
      <c r="J1814" s="5">
        <v>11538</v>
      </c>
      <c r="K1814" t="s">
        <v>33</v>
      </c>
      <c r="L1814" t="s">
        <v>40</v>
      </c>
      <c r="M1814" t="s">
        <v>20</v>
      </c>
      <c r="N1814" t="s">
        <v>154</v>
      </c>
      <c r="O1814" t="s">
        <v>87</v>
      </c>
      <c r="P1814" t="s">
        <v>18</v>
      </c>
      <c r="Q1814">
        <f>Table1[[#This Row],[Course_Fee_AED]]-Table1[[#This Row],[Amount_Paid_AED]]</f>
        <v>0</v>
      </c>
      <c r="R1814">
        <f>Table1[[#This Row],[Course_Fee_AED]]-Table1[[#This Row],[pending Revenue]]</f>
        <v>11538</v>
      </c>
    </row>
    <row r="1815" spans="1:18" x14ac:dyDescent="0.25">
      <c r="A1815" t="s">
        <v>1892</v>
      </c>
      <c r="B1815" s="2">
        <v>45591</v>
      </c>
      <c r="C1815" t="s">
        <v>31</v>
      </c>
      <c r="D1815" t="s">
        <v>32</v>
      </c>
      <c r="E1815" t="s">
        <v>26</v>
      </c>
      <c r="F1815" s="5">
        <v>3</v>
      </c>
      <c r="G1815" s="5">
        <v>1</v>
      </c>
      <c r="H1815" s="5">
        <v>6282</v>
      </c>
      <c r="I1815" s="5">
        <v>2</v>
      </c>
      <c r="J1815" s="5">
        <v>4188</v>
      </c>
      <c r="K1815" t="s">
        <v>18</v>
      </c>
      <c r="L1815" t="s">
        <v>19</v>
      </c>
      <c r="M1815" t="s">
        <v>63</v>
      </c>
      <c r="N1815" t="s">
        <v>90</v>
      </c>
      <c r="O1815" t="s">
        <v>35</v>
      </c>
      <c r="P1815" t="s">
        <v>18</v>
      </c>
      <c r="Q1815">
        <f>Table1[[#This Row],[Course_Fee_AED]]-Table1[[#This Row],[Amount_Paid_AED]]</f>
        <v>2094</v>
      </c>
      <c r="R1815">
        <f>Table1[[#This Row],[Course_Fee_AED]]-Table1[[#This Row],[pending Revenue]]</f>
        <v>4188</v>
      </c>
    </row>
    <row r="1816" spans="1:18" x14ac:dyDescent="0.25">
      <c r="A1816" t="s">
        <v>1893</v>
      </c>
      <c r="B1816" s="2">
        <v>45524</v>
      </c>
      <c r="C1816" t="s">
        <v>106</v>
      </c>
      <c r="D1816" t="s">
        <v>107</v>
      </c>
      <c r="E1816" t="s">
        <v>26</v>
      </c>
      <c r="F1816" s="5">
        <v>3</v>
      </c>
      <c r="G1816" s="5">
        <v>1</v>
      </c>
      <c r="H1816" s="5">
        <v>8907</v>
      </c>
      <c r="I1816" s="5">
        <v>2</v>
      </c>
      <c r="J1816" s="5">
        <v>5938</v>
      </c>
      <c r="K1816" t="s">
        <v>18</v>
      </c>
      <c r="L1816" t="s">
        <v>40</v>
      </c>
      <c r="M1816" t="s">
        <v>20</v>
      </c>
      <c r="N1816" t="s">
        <v>61</v>
      </c>
      <c r="O1816" t="s">
        <v>29</v>
      </c>
      <c r="P1816" t="s">
        <v>36</v>
      </c>
      <c r="Q1816">
        <f>Table1[[#This Row],[Course_Fee_AED]]-Table1[[#This Row],[Amount_Paid_AED]]</f>
        <v>2969</v>
      </c>
      <c r="R1816">
        <f>Table1[[#This Row],[Course_Fee_AED]]-Table1[[#This Row],[pending Revenue]]</f>
        <v>5938</v>
      </c>
    </row>
    <row r="1817" spans="1:18" x14ac:dyDescent="0.25">
      <c r="A1817" t="s">
        <v>1894</v>
      </c>
      <c r="B1817" s="2">
        <v>45643</v>
      </c>
      <c r="C1817" t="s">
        <v>113</v>
      </c>
      <c r="D1817" t="s">
        <v>93</v>
      </c>
      <c r="E1817" t="s">
        <v>26</v>
      </c>
      <c r="F1817" s="5">
        <v>3</v>
      </c>
      <c r="G1817" s="5">
        <v>1</v>
      </c>
      <c r="H1817" s="5">
        <v>3042</v>
      </c>
      <c r="I1817" s="5">
        <v>1</v>
      </c>
      <c r="J1817" s="5">
        <v>1014</v>
      </c>
      <c r="K1817" t="s">
        <v>18</v>
      </c>
      <c r="L1817" t="s">
        <v>40</v>
      </c>
      <c r="M1817" t="s">
        <v>41</v>
      </c>
      <c r="N1817" t="s">
        <v>61</v>
      </c>
      <c r="O1817" t="s">
        <v>43</v>
      </c>
      <c r="P1817" t="s">
        <v>36</v>
      </c>
      <c r="Q1817">
        <f>Table1[[#This Row],[Course_Fee_AED]]-Table1[[#This Row],[Amount_Paid_AED]]</f>
        <v>2028</v>
      </c>
      <c r="R1817">
        <f>Table1[[#This Row],[Course_Fee_AED]]-Table1[[#This Row],[pending Revenue]]</f>
        <v>1014</v>
      </c>
    </row>
    <row r="1818" spans="1:18" x14ac:dyDescent="0.25">
      <c r="A1818" t="s">
        <v>1895</v>
      </c>
      <c r="B1818" s="2">
        <v>45372</v>
      </c>
      <c r="C1818" t="s">
        <v>55</v>
      </c>
      <c r="D1818" t="s">
        <v>56</v>
      </c>
      <c r="E1818" t="s">
        <v>17</v>
      </c>
      <c r="F1818" s="5">
        <v>6</v>
      </c>
      <c r="G1818" s="5">
        <v>1</v>
      </c>
      <c r="H1818" s="5">
        <v>7670</v>
      </c>
      <c r="I1818" s="5">
        <v>1</v>
      </c>
      <c r="J1818" s="5">
        <v>2556</v>
      </c>
      <c r="K1818" t="s">
        <v>18</v>
      </c>
      <c r="L1818" t="s">
        <v>40</v>
      </c>
      <c r="M1818" t="s">
        <v>41</v>
      </c>
      <c r="N1818" t="s">
        <v>28</v>
      </c>
      <c r="O1818" t="s">
        <v>87</v>
      </c>
      <c r="P1818" t="s">
        <v>18</v>
      </c>
      <c r="Q1818">
        <f>Table1[[#This Row],[Course_Fee_AED]]-Table1[[#This Row],[Amount_Paid_AED]]</f>
        <v>5114</v>
      </c>
      <c r="R1818">
        <f>Table1[[#This Row],[Course_Fee_AED]]-Table1[[#This Row],[pending Revenue]]</f>
        <v>2556</v>
      </c>
    </row>
    <row r="1819" spans="1:18" x14ac:dyDescent="0.25">
      <c r="A1819" t="s">
        <v>1896</v>
      </c>
      <c r="B1819" s="2">
        <v>45551</v>
      </c>
      <c r="C1819" t="s">
        <v>66</v>
      </c>
      <c r="D1819" t="s">
        <v>56</v>
      </c>
      <c r="E1819" t="s">
        <v>17</v>
      </c>
      <c r="F1819" s="5">
        <v>6</v>
      </c>
      <c r="G1819" s="5">
        <v>1</v>
      </c>
      <c r="H1819" s="5">
        <v>9970</v>
      </c>
      <c r="I1819" s="5">
        <v>2</v>
      </c>
      <c r="J1819" s="5">
        <v>6646</v>
      </c>
      <c r="K1819" t="s">
        <v>18</v>
      </c>
      <c r="L1819" t="s">
        <v>19</v>
      </c>
      <c r="M1819" t="s">
        <v>20</v>
      </c>
      <c r="N1819" t="s">
        <v>42</v>
      </c>
      <c r="O1819" t="s">
        <v>22</v>
      </c>
      <c r="P1819" t="s">
        <v>18</v>
      </c>
      <c r="Q1819">
        <f>Table1[[#This Row],[Course_Fee_AED]]-Table1[[#This Row],[Amount_Paid_AED]]</f>
        <v>3324</v>
      </c>
      <c r="R1819">
        <f>Table1[[#This Row],[Course_Fee_AED]]-Table1[[#This Row],[pending Revenue]]</f>
        <v>6646</v>
      </c>
    </row>
    <row r="1820" spans="1:18" x14ac:dyDescent="0.25">
      <c r="A1820" t="s">
        <v>1897</v>
      </c>
      <c r="B1820" s="2">
        <v>45641</v>
      </c>
      <c r="C1820" t="s">
        <v>51</v>
      </c>
      <c r="D1820" t="s">
        <v>52</v>
      </c>
      <c r="E1820" t="s">
        <v>26</v>
      </c>
      <c r="F1820" s="5">
        <v>3</v>
      </c>
      <c r="G1820" s="5">
        <v>1</v>
      </c>
      <c r="H1820" s="5">
        <v>5183</v>
      </c>
      <c r="I1820" s="5">
        <v>2</v>
      </c>
      <c r="J1820" s="5">
        <v>3454</v>
      </c>
      <c r="K1820" t="s">
        <v>18</v>
      </c>
      <c r="L1820" t="s">
        <v>19</v>
      </c>
      <c r="M1820" t="s">
        <v>60</v>
      </c>
      <c r="N1820" t="s">
        <v>95</v>
      </c>
      <c r="O1820" t="s">
        <v>22</v>
      </c>
      <c r="P1820" t="s">
        <v>36</v>
      </c>
      <c r="Q1820">
        <f>Table1[[#This Row],[Course_Fee_AED]]-Table1[[#This Row],[Amount_Paid_AED]]</f>
        <v>1729</v>
      </c>
      <c r="R1820">
        <f>Table1[[#This Row],[Course_Fee_AED]]-Table1[[#This Row],[pending Revenue]]</f>
        <v>3454</v>
      </c>
    </row>
    <row r="1821" spans="1:18" x14ac:dyDescent="0.25">
      <c r="A1821" t="s">
        <v>1898</v>
      </c>
      <c r="B1821" s="2">
        <v>45541</v>
      </c>
      <c r="C1821" t="s">
        <v>38</v>
      </c>
      <c r="D1821" t="s">
        <v>39</v>
      </c>
      <c r="E1821" t="s">
        <v>26</v>
      </c>
      <c r="F1821" s="5">
        <v>3</v>
      </c>
      <c r="G1821" s="5">
        <v>1</v>
      </c>
      <c r="H1821" s="5">
        <v>6990</v>
      </c>
      <c r="I1821" s="5">
        <v>2</v>
      </c>
      <c r="J1821" s="5">
        <v>4660</v>
      </c>
      <c r="K1821" t="s">
        <v>18</v>
      </c>
      <c r="L1821" t="s">
        <v>19</v>
      </c>
      <c r="M1821" t="s">
        <v>27</v>
      </c>
      <c r="N1821" t="s">
        <v>73</v>
      </c>
      <c r="O1821" t="s">
        <v>64</v>
      </c>
      <c r="P1821" t="s">
        <v>36</v>
      </c>
      <c r="Q1821">
        <f>Table1[[#This Row],[Course_Fee_AED]]-Table1[[#This Row],[Amount_Paid_AED]]</f>
        <v>2330</v>
      </c>
      <c r="R1821">
        <f>Table1[[#This Row],[Course_Fee_AED]]-Table1[[#This Row],[pending Revenue]]</f>
        <v>4660</v>
      </c>
    </row>
    <row r="1822" spans="1:18" x14ac:dyDescent="0.25">
      <c r="A1822" t="s">
        <v>1899</v>
      </c>
      <c r="B1822" s="2">
        <v>45537</v>
      </c>
      <c r="C1822" t="s">
        <v>38</v>
      </c>
      <c r="D1822" t="s">
        <v>39</v>
      </c>
      <c r="E1822" t="s">
        <v>17</v>
      </c>
      <c r="F1822" s="5">
        <v>6</v>
      </c>
      <c r="G1822" s="5">
        <v>1</v>
      </c>
      <c r="H1822" s="5">
        <v>6362</v>
      </c>
      <c r="I1822" s="5">
        <v>1</v>
      </c>
      <c r="J1822" s="5">
        <v>2120</v>
      </c>
      <c r="K1822" t="s">
        <v>18</v>
      </c>
      <c r="L1822" t="s">
        <v>19</v>
      </c>
      <c r="M1822" t="s">
        <v>41</v>
      </c>
      <c r="N1822" t="s">
        <v>61</v>
      </c>
      <c r="O1822" t="s">
        <v>58</v>
      </c>
      <c r="P1822" t="s">
        <v>36</v>
      </c>
      <c r="Q1822">
        <f>Table1[[#This Row],[Course_Fee_AED]]-Table1[[#This Row],[Amount_Paid_AED]]</f>
        <v>4242</v>
      </c>
      <c r="R1822">
        <f>Table1[[#This Row],[Course_Fee_AED]]-Table1[[#This Row],[pending Revenue]]</f>
        <v>2120</v>
      </c>
    </row>
    <row r="1823" spans="1:18" x14ac:dyDescent="0.25">
      <c r="A1823" t="s">
        <v>1900</v>
      </c>
      <c r="B1823" s="2">
        <v>45545</v>
      </c>
      <c r="C1823" t="s">
        <v>66</v>
      </c>
      <c r="D1823" t="s">
        <v>56</v>
      </c>
      <c r="E1823" t="s">
        <v>17</v>
      </c>
      <c r="F1823" s="5">
        <v>6</v>
      </c>
      <c r="G1823" s="5">
        <v>1</v>
      </c>
      <c r="H1823" s="5">
        <v>10898</v>
      </c>
      <c r="I1823" s="5">
        <v>1</v>
      </c>
      <c r="J1823" s="5">
        <v>3632</v>
      </c>
      <c r="K1823" t="s">
        <v>18</v>
      </c>
      <c r="L1823" t="s">
        <v>19</v>
      </c>
      <c r="M1823" t="s">
        <v>41</v>
      </c>
      <c r="N1823" t="s">
        <v>42</v>
      </c>
      <c r="O1823" t="s">
        <v>22</v>
      </c>
      <c r="P1823" t="s">
        <v>18</v>
      </c>
      <c r="Q1823">
        <f>Table1[[#This Row],[Course_Fee_AED]]-Table1[[#This Row],[Amount_Paid_AED]]</f>
        <v>7266</v>
      </c>
      <c r="R1823">
        <f>Table1[[#This Row],[Course_Fee_AED]]-Table1[[#This Row],[pending Revenue]]</f>
        <v>3632</v>
      </c>
    </row>
    <row r="1824" spans="1:18" x14ac:dyDescent="0.25">
      <c r="A1824" t="s">
        <v>1901</v>
      </c>
      <c r="B1824" s="2">
        <v>45510</v>
      </c>
      <c r="C1824" t="s">
        <v>82</v>
      </c>
      <c r="D1824" t="s">
        <v>83</v>
      </c>
      <c r="E1824" t="s">
        <v>17</v>
      </c>
      <c r="F1824" s="5">
        <v>6</v>
      </c>
      <c r="G1824" s="5">
        <v>1</v>
      </c>
      <c r="H1824" s="5">
        <v>10215</v>
      </c>
      <c r="I1824" s="5">
        <v>3</v>
      </c>
      <c r="J1824" s="5">
        <v>10215</v>
      </c>
      <c r="K1824" t="s">
        <v>33</v>
      </c>
      <c r="L1824" t="s">
        <v>57</v>
      </c>
      <c r="M1824" t="s">
        <v>20</v>
      </c>
      <c r="N1824" t="s">
        <v>42</v>
      </c>
      <c r="O1824" t="s">
        <v>43</v>
      </c>
      <c r="P1824" t="s">
        <v>36</v>
      </c>
      <c r="Q1824">
        <f>Table1[[#This Row],[Course_Fee_AED]]-Table1[[#This Row],[Amount_Paid_AED]]</f>
        <v>0</v>
      </c>
      <c r="R1824">
        <f>Table1[[#This Row],[Course_Fee_AED]]-Table1[[#This Row],[pending Revenue]]</f>
        <v>10215</v>
      </c>
    </row>
    <row r="1825" spans="1:18" x14ac:dyDescent="0.25">
      <c r="A1825" t="s">
        <v>1902</v>
      </c>
      <c r="B1825" s="2">
        <v>45508</v>
      </c>
      <c r="C1825" t="s">
        <v>66</v>
      </c>
      <c r="D1825" t="s">
        <v>56</v>
      </c>
      <c r="E1825" t="s">
        <v>17</v>
      </c>
      <c r="F1825" s="5">
        <v>6</v>
      </c>
      <c r="G1825" s="5">
        <v>1</v>
      </c>
      <c r="H1825" s="5">
        <v>9853</v>
      </c>
      <c r="I1825" s="5">
        <v>2</v>
      </c>
      <c r="J1825" s="5">
        <v>6568</v>
      </c>
      <c r="K1825" t="s">
        <v>18</v>
      </c>
      <c r="L1825" t="s">
        <v>19</v>
      </c>
      <c r="M1825" t="s">
        <v>47</v>
      </c>
      <c r="N1825" t="s">
        <v>48</v>
      </c>
      <c r="O1825" t="s">
        <v>49</v>
      </c>
      <c r="P1825" t="s">
        <v>36</v>
      </c>
      <c r="Q1825">
        <f>Table1[[#This Row],[Course_Fee_AED]]-Table1[[#This Row],[Amount_Paid_AED]]</f>
        <v>3285</v>
      </c>
      <c r="R1825">
        <f>Table1[[#This Row],[Course_Fee_AED]]-Table1[[#This Row],[pending Revenue]]</f>
        <v>6568</v>
      </c>
    </row>
    <row r="1826" spans="1:18" x14ac:dyDescent="0.25">
      <c r="A1826" t="s">
        <v>1903</v>
      </c>
      <c r="B1826" s="2">
        <v>45513</v>
      </c>
      <c r="C1826" t="s">
        <v>113</v>
      </c>
      <c r="D1826" t="s">
        <v>93</v>
      </c>
      <c r="E1826" t="s">
        <v>17</v>
      </c>
      <c r="F1826" s="5">
        <v>6</v>
      </c>
      <c r="G1826" s="5">
        <v>1</v>
      </c>
      <c r="H1826" s="5">
        <v>4127</v>
      </c>
      <c r="I1826" s="5">
        <v>2</v>
      </c>
      <c r="J1826" s="5">
        <v>2750</v>
      </c>
      <c r="K1826" t="s">
        <v>18</v>
      </c>
      <c r="L1826" t="s">
        <v>40</v>
      </c>
      <c r="M1826" t="s">
        <v>60</v>
      </c>
      <c r="N1826" t="s">
        <v>61</v>
      </c>
      <c r="O1826" t="s">
        <v>58</v>
      </c>
      <c r="P1826" t="s">
        <v>36</v>
      </c>
      <c r="Q1826">
        <f>Table1[[#This Row],[Course_Fee_AED]]-Table1[[#This Row],[Amount_Paid_AED]]</f>
        <v>1377</v>
      </c>
      <c r="R1826">
        <f>Table1[[#This Row],[Course_Fee_AED]]-Table1[[#This Row],[pending Revenue]]</f>
        <v>2750</v>
      </c>
    </row>
    <row r="1827" spans="1:18" x14ac:dyDescent="0.25">
      <c r="A1827" t="s">
        <v>1904</v>
      </c>
      <c r="B1827" s="2">
        <v>45347</v>
      </c>
      <c r="C1827" t="s">
        <v>66</v>
      </c>
      <c r="D1827" t="s">
        <v>56</v>
      </c>
      <c r="E1827" t="s">
        <v>17</v>
      </c>
      <c r="F1827" s="5">
        <v>6</v>
      </c>
      <c r="G1827" s="5">
        <v>1</v>
      </c>
      <c r="H1827" s="5">
        <v>7252</v>
      </c>
      <c r="I1827" s="5">
        <v>3</v>
      </c>
      <c r="J1827" s="5">
        <v>7251</v>
      </c>
      <c r="K1827" t="s">
        <v>18</v>
      </c>
      <c r="L1827" t="s">
        <v>57</v>
      </c>
      <c r="M1827" t="s">
        <v>63</v>
      </c>
      <c r="N1827" t="s">
        <v>21</v>
      </c>
      <c r="O1827" t="s">
        <v>58</v>
      </c>
      <c r="P1827" t="s">
        <v>36</v>
      </c>
      <c r="Q1827">
        <f>Table1[[#This Row],[Course_Fee_AED]]-Table1[[#This Row],[Amount_Paid_AED]]</f>
        <v>1</v>
      </c>
      <c r="R1827">
        <f>Table1[[#This Row],[Course_Fee_AED]]-Table1[[#This Row],[pending Revenue]]</f>
        <v>7251</v>
      </c>
    </row>
    <row r="1828" spans="1:18" x14ac:dyDescent="0.25">
      <c r="A1828" t="s">
        <v>1905</v>
      </c>
      <c r="B1828" s="2">
        <v>45392</v>
      </c>
      <c r="C1828" t="s">
        <v>55</v>
      </c>
      <c r="D1828" t="s">
        <v>56</v>
      </c>
      <c r="E1828" t="s">
        <v>26</v>
      </c>
      <c r="F1828" s="5">
        <v>3</v>
      </c>
      <c r="G1828" s="5">
        <v>1</v>
      </c>
      <c r="H1828" s="5">
        <v>9826</v>
      </c>
      <c r="I1828" s="5">
        <v>1</v>
      </c>
      <c r="J1828" s="5">
        <v>3275</v>
      </c>
      <c r="K1828" t="s">
        <v>18</v>
      </c>
      <c r="L1828" t="s">
        <v>19</v>
      </c>
      <c r="M1828" t="s">
        <v>47</v>
      </c>
      <c r="N1828" t="s">
        <v>48</v>
      </c>
      <c r="O1828" t="s">
        <v>29</v>
      </c>
      <c r="P1828" t="s">
        <v>18</v>
      </c>
      <c r="Q1828">
        <f>Table1[[#This Row],[Course_Fee_AED]]-Table1[[#This Row],[Amount_Paid_AED]]</f>
        <v>6551</v>
      </c>
      <c r="R1828">
        <f>Table1[[#This Row],[Course_Fee_AED]]-Table1[[#This Row],[pending Revenue]]</f>
        <v>3275</v>
      </c>
    </row>
    <row r="1829" spans="1:18" x14ac:dyDescent="0.25">
      <c r="A1829" t="s">
        <v>1906</v>
      </c>
      <c r="B1829" s="2">
        <v>45452</v>
      </c>
      <c r="C1829" t="s">
        <v>55</v>
      </c>
      <c r="D1829" t="s">
        <v>56</v>
      </c>
      <c r="E1829" t="s">
        <v>26</v>
      </c>
      <c r="F1829" s="5">
        <v>3</v>
      </c>
      <c r="G1829" s="5">
        <v>1</v>
      </c>
      <c r="H1829" s="5">
        <v>8914</v>
      </c>
      <c r="I1829" s="5">
        <v>3</v>
      </c>
      <c r="J1829" s="5">
        <v>8913</v>
      </c>
      <c r="K1829" t="s">
        <v>18</v>
      </c>
      <c r="L1829" t="s">
        <v>40</v>
      </c>
      <c r="M1829" t="s">
        <v>60</v>
      </c>
      <c r="N1829" t="s">
        <v>79</v>
      </c>
      <c r="O1829" t="s">
        <v>43</v>
      </c>
      <c r="P1829" t="s">
        <v>18</v>
      </c>
      <c r="Q1829">
        <f>Table1[[#This Row],[Course_Fee_AED]]-Table1[[#This Row],[Amount_Paid_AED]]</f>
        <v>1</v>
      </c>
      <c r="R1829">
        <f>Table1[[#This Row],[Course_Fee_AED]]-Table1[[#This Row],[pending Revenue]]</f>
        <v>8913</v>
      </c>
    </row>
    <row r="1830" spans="1:18" x14ac:dyDescent="0.25">
      <c r="A1830" t="s">
        <v>1907</v>
      </c>
      <c r="B1830" s="2">
        <v>45321</v>
      </c>
      <c r="C1830" t="s">
        <v>106</v>
      </c>
      <c r="D1830" t="s">
        <v>107</v>
      </c>
      <c r="E1830" t="s">
        <v>17</v>
      </c>
      <c r="F1830" s="5">
        <v>6</v>
      </c>
      <c r="G1830" s="5">
        <v>1</v>
      </c>
      <c r="H1830" s="5">
        <v>7426</v>
      </c>
      <c r="I1830" s="5">
        <v>3</v>
      </c>
      <c r="J1830" s="5">
        <v>7425</v>
      </c>
      <c r="K1830" t="s">
        <v>18</v>
      </c>
      <c r="L1830" t="s">
        <v>19</v>
      </c>
      <c r="M1830" t="s">
        <v>41</v>
      </c>
      <c r="N1830" t="s">
        <v>48</v>
      </c>
      <c r="O1830" t="s">
        <v>87</v>
      </c>
      <c r="P1830" t="s">
        <v>18</v>
      </c>
      <c r="Q1830">
        <f>Table1[[#This Row],[Course_Fee_AED]]-Table1[[#This Row],[Amount_Paid_AED]]</f>
        <v>1</v>
      </c>
      <c r="R1830">
        <f>Table1[[#This Row],[Course_Fee_AED]]-Table1[[#This Row],[pending Revenue]]</f>
        <v>7425</v>
      </c>
    </row>
    <row r="1831" spans="1:18" x14ac:dyDescent="0.25">
      <c r="A1831" t="s">
        <v>1908</v>
      </c>
      <c r="B1831" s="2">
        <v>45401</v>
      </c>
      <c r="C1831" t="s">
        <v>51</v>
      </c>
      <c r="D1831" t="s">
        <v>52</v>
      </c>
      <c r="E1831" t="s">
        <v>26</v>
      </c>
      <c r="F1831" s="5">
        <v>3</v>
      </c>
      <c r="G1831" s="5">
        <v>1</v>
      </c>
      <c r="H1831" s="5">
        <v>5005</v>
      </c>
      <c r="I1831" s="5">
        <v>3</v>
      </c>
      <c r="J1831" s="5">
        <v>5004</v>
      </c>
      <c r="K1831" t="s">
        <v>18</v>
      </c>
      <c r="L1831" t="s">
        <v>40</v>
      </c>
      <c r="M1831" t="s">
        <v>20</v>
      </c>
      <c r="N1831" t="s">
        <v>42</v>
      </c>
      <c r="O1831" t="s">
        <v>68</v>
      </c>
      <c r="P1831" t="s">
        <v>36</v>
      </c>
      <c r="Q1831">
        <f>Table1[[#This Row],[Course_Fee_AED]]-Table1[[#This Row],[Amount_Paid_AED]]</f>
        <v>1</v>
      </c>
      <c r="R1831">
        <f>Table1[[#This Row],[Course_Fee_AED]]-Table1[[#This Row],[pending Revenue]]</f>
        <v>5004</v>
      </c>
    </row>
    <row r="1832" spans="1:18" x14ac:dyDescent="0.25">
      <c r="A1832" t="s">
        <v>1909</v>
      </c>
      <c r="B1832" s="2">
        <v>45336</v>
      </c>
      <c r="C1832" t="s">
        <v>38</v>
      </c>
      <c r="D1832" t="s">
        <v>39</v>
      </c>
      <c r="E1832" t="s">
        <v>17</v>
      </c>
      <c r="F1832" s="5">
        <v>6</v>
      </c>
      <c r="G1832" s="5">
        <v>1</v>
      </c>
      <c r="H1832" s="5">
        <v>4208</v>
      </c>
      <c r="I1832" s="5">
        <v>2</v>
      </c>
      <c r="J1832" s="5">
        <v>2804</v>
      </c>
      <c r="K1832" t="s">
        <v>18</v>
      </c>
      <c r="L1832" t="s">
        <v>19</v>
      </c>
      <c r="M1832" t="s">
        <v>63</v>
      </c>
      <c r="N1832" t="s">
        <v>73</v>
      </c>
      <c r="O1832" t="s">
        <v>29</v>
      </c>
      <c r="P1832" t="s">
        <v>18</v>
      </c>
      <c r="Q1832">
        <f>Table1[[#This Row],[Course_Fee_AED]]-Table1[[#This Row],[Amount_Paid_AED]]</f>
        <v>1404</v>
      </c>
      <c r="R1832">
        <f>Table1[[#This Row],[Course_Fee_AED]]-Table1[[#This Row],[pending Revenue]]</f>
        <v>2804</v>
      </c>
    </row>
    <row r="1833" spans="1:18" x14ac:dyDescent="0.25">
      <c r="A1833" t="s">
        <v>1910</v>
      </c>
      <c r="B1833" s="2">
        <v>45328</v>
      </c>
      <c r="C1833" t="s">
        <v>38</v>
      </c>
      <c r="D1833" t="s">
        <v>39</v>
      </c>
      <c r="E1833" t="s">
        <v>17</v>
      </c>
      <c r="F1833" s="5">
        <v>6</v>
      </c>
      <c r="G1833" s="5">
        <v>1</v>
      </c>
      <c r="H1833" s="5">
        <v>4237</v>
      </c>
      <c r="I1833" s="5">
        <v>1</v>
      </c>
      <c r="J1833" s="5">
        <v>1412</v>
      </c>
      <c r="K1833" t="s">
        <v>18</v>
      </c>
      <c r="L1833" t="s">
        <v>19</v>
      </c>
      <c r="M1833" t="s">
        <v>60</v>
      </c>
      <c r="N1833" t="s">
        <v>28</v>
      </c>
      <c r="O1833" t="s">
        <v>71</v>
      </c>
      <c r="P1833" t="s">
        <v>36</v>
      </c>
      <c r="Q1833">
        <f>Table1[[#This Row],[Course_Fee_AED]]-Table1[[#This Row],[Amount_Paid_AED]]</f>
        <v>2825</v>
      </c>
      <c r="R1833">
        <f>Table1[[#This Row],[Course_Fee_AED]]-Table1[[#This Row],[pending Revenue]]</f>
        <v>1412</v>
      </c>
    </row>
    <row r="1834" spans="1:18" x14ac:dyDescent="0.25">
      <c r="A1834" t="s">
        <v>1911</v>
      </c>
      <c r="B1834" s="2">
        <v>45372</v>
      </c>
      <c r="C1834" t="s">
        <v>51</v>
      </c>
      <c r="D1834" t="s">
        <v>52</v>
      </c>
      <c r="E1834" t="s">
        <v>26</v>
      </c>
      <c r="F1834" s="5">
        <v>3</v>
      </c>
      <c r="G1834" s="5">
        <v>1</v>
      </c>
      <c r="H1834" s="5">
        <v>3608</v>
      </c>
      <c r="I1834" s="5">
        <v>3</v>
      </c>
      <c r="J1834" s="5">
        <v>3606</v>
      </c>
      <c r="K1834" t="s">
        <v>18</v>
      </c>
      <c r="L1834" t="s">
        <v>57</v>
      </c>
      <c r="M1834" t="s">
        <v>41</v>
      </c>
      <c r="N1834" t="s">
        <v>90</v>
      </c>
      <c r="O1834" t="s">
        <v>29</v>
      </c>
      <c r="P1834" t="s">
        <v>36</v>
      </c>
      <c r="Q1834">
        <f>Table1[[#This Row],[Course_Fee_AED]]-Table1[[#This Row],[Amount_Paid_AED]]</f>
        <v>2</v>
      </c>
      <c r="R1834">
        <f>Table1[[#This Row],[Course_Fee_AED]]-Table1[[#This Row],[pending Revenue]]</f>
        <v>3606</v>
      </c>
    </row>
    <row r="1835" spans="1:18" x14ac:dyDescent="0.25">
      <c r="A1835" t="s">
        <v>1912</v>
      </c>
      <c r="B1835" s="2">
        <v>45590</v>
      </c>
      <c r="C1835" t="s">
        <v>15</v>
      </c>
      <c r="D1835" t="s">
        <v>16</v>
      </c>
      <c r="E1835" t="s">
        <v>17</v>
      </c>
      <c r="F1835" s="5">
        <v>6</v>
      </c>
      <c r="G1835" s="5">
        <v>1</v>
      </c>
      <c r="H1835" s="5">
        <v>4929</v>
      </c>
      <c r="I1835" s="5">
        <v>2</v>
      </c>
      <c r="J1835" s="5">
        <v>3286</v>
      </c>
      <c r="K1835" t="s">
        <v>18</v>
      </c>
      <c r="L1835" t="s">
        <v>40</v>
      </c>
      <c r="M1835" t="s">
        <v>60</v>
      </c>
      <c r="N1835" t="s">
        <v>95</v>
      </c>
      <c r="O1835" t="s">
        <v>22</v>
      </c>
      <c r="P1835" t="s">
        <v>36</v>
      </c>
      <c r="Q1835">
        <f>Table1[[#This Row],[Course_Fee_AED]]-Table1[[#This Row],[Amount_Paid_AED]]</f>
        <v>1643</v>
      </c>
      <c r="R1835">
        <f>Table1[[#This Row],[Course_Fee_AED]]-Table1[[#This Row],[pending Revenue]]</f>
        <v>3286</v>
      </c>
    </row>
    <row r="1836" spans="1:18" x14ac:dyDescent="0.25">
      <c r="A1836" t="s">
        <v>1913</v>
      </c>
      <c r="B1836" s="2">
        <v>45603</v>
      </c>
      <c r="C1836" t="s">
        <v>100</v>
      </c>
      <c r="D1836" t="s">
        <v>101</v>
      </c>
      <c r="E1836" t="s">
        <v>17</v>
      </c>
      <c r="F1836" s="5">
        <v>6</v>
      </c>
      <c r="G1836" s="5">
        <v>1</v>
      </c>
      <c r="H1836" s="5">
        <v>4410</v>
      </c>
      <c r="I1836" s="5">
        <v>3</v>
      </c>
      <c r="J1836" s="5">
        <v>4410</v>
      </c>
      <c r="K1836" t="s">
        <v>33</v>
      </c>
      <c r="L1836" t="s">
        <v>57</v>
      </c>
      <c r="M1836" t="s">
        <v>63</v>
      </c>
      <c r="N1836" t="s">
        <v>42</v>
      </c>
      <c r="O1836" t="s">
        <v>49</v>
      </c>
      <c r="P1836" t="s">
        <v>36</v>
      </c>
      <c r="Q1836">
        <f>Table1[[#This Row],[Course_Fee_AED]]-Table1[[#This Row],[Amount_Paid_AED]]</f>
        <v>0</v>
      </c>
      <c r="R1836">
        <f>Table1[[#This Row],[Course_Fee_AED]]-Table1[[#This Row],[pending Revenue]]</f>
        <v>4410</v>
      </c>
    </row>
    <row r="1837" spans="1:18" x14ac:dyDescent="0.25">
      <c r="A1837" t="s">
        <v>1914</v>
      </c>
      <c r="B1837" s="2">
        <v>45471</v>
      </c>
      <c r="C1837" t="s">
        <v>51</v>
      </c>
      <c r="D1837" t="s">
        <v>52</v>
      </c>
      <c r="E1837" t="s">
        <v>26</v>
      </c>
      <c r="F1837" s="5">
        <v>3</v>
      </c>
      <c r="G1837" s="5">
        <v>1</v>
      </c>
      <c r="H1837" s="5">
        <v>3854</v>
      </c>
      <c r="I1837" s="5">
        <v>3</v>
      </c>
      <c r="J1837" s="5">
        <v>3852</v>
      </c>
      <c r="K1837" t="s">
        <v>18</v>
      </c>
      <c r="L1837" t="s">
        <v>40</v>
      </c>
      <c r="M1837" t="s">
        <v>63</v>
      </c>
      <c r="N1837" t="s">
        <v>61</v>
      </c>
      <c r="O1837" t="s">
        <v>58</v>
      </c>
      <c r="P1837" t="s">
        <v>18</v>
      </c>
      <c r="Q1837">
        <f>Table1[[#This Row],[Course_Fee_AED]]-Table1[[#This Row],[Amount_Paid_AED]]</f>
        <v>2</v>
      </c>
      <c r="R1837">
        <f>Table1[[#This Row],[Course_Fee_AED]]-Table1[[#This Row],[pending Revenue]]</f>
        <v>3852</v>
      </c>
    </row>
    <row r="1838" spans="1:18" x14ac:dyDescent="0.25">
      <c r="A1838" t="s">
        <v>1915</v>
      </c>
      <c r="B1838" s="2">
        <v>45501</v>
      </c>
      <c r="C1838" t="s">
        <v>31</v>
      </c>
      <c r="D1838" t="s">
        <v>32</v>
      </c>
      <c r="E1838" t="s">
        <v>26</v>
      </c>
      <c r="F1838" s="5">
        <v>3</v>
      </c>
      <c r="G1838" s="5">
        <v>1</v>
      </c>
      <c r="H1838" s="5">
        <v>6359</v>
      </c>
      <c r="I1838" s="5">
        <v>3</v>
      </c>
      <c r="J1838" s="5">
        <v>6357</v>
      </c>
      <c r="K1838" t="s">
        <v>18</v>
      </c>
      <c r="L1838" t="s">
        <v>40</v>
      </c>
      <c r="M1838" t="s">
        <v>47</v>
      </c>
      <c r="N1838" t="s">
        <v>95</v>
      </c>
      <c r="O1838" t="s">
        <v>43</v>
      </c>
      <c r="P1838" t="s">
        <v>18</v>
      </c>
      <c r="Q1838">
        <f>Table1[[#This Row],[Course_Fee_AED]]-Table1[[#This Row],[Amount_Paid_AED]]</f>
        <v>2</v>
      </c>
      <c r="R1838">
        <f>Table1[[#This Row],[Course_Fee_AED]]-Table1[[#This Row],[pending Revenue]]</f>
        <v>6357</v>
      </c>
    </row>
    <row r="1839" spans="1:18" x14ac:dyDescent="0.25">
      <c r="A1839" t="s">
        <v>1916</v>
      </c>
      <c r="B1839" s="2">
        <v>45426</v>
      </c>
      <c r="C1839" t="s">
        <v>82</v>
      </c>
      <c r="D1839" t="s">
        <v>83</v>
      </c>
      <c r="E1839" t="s">
        <v>17</v>
      </c>
      <c r="F1839" s="5">
        <v>6</v>
      </c>
      <c r="G1839" s="5">
        <v>1</v>
      </c>
      <c r="H1839" s="5">
        <v>9420</v>
      </c>
      <c r="I1839" s="5">
        <v>3</v>
      </c>
      <c r="J1839" s="5">
        <v>9420</v>
      </c>
      <c r="K1839" t="s">
        <v>33</v>
      </c>
      <c r="L1839" t="s">
        <v>57</v>
      </c>
      <c r="M1839" t="s">
        <v>47</v>
      </c>
      <c r="N1839" t="s">
        <v>61</v>
      </c>
      <c r="O1839" t="s">
        <v>35</v>
      </c>
      <c r="P1839" t="s">
        <v>36</v>
      </c>
      <c r="Q1839">
        <f>Table1[[#This Row],[Course_Fee_AED]]-Table1[[#This Row],[Amount_Paid_AED]]</f>
        <v>0</v>
      </c>
      <c r="R1839">
        <f>Table1[[#This Row],[Course_Fee_AED]]-Table1[[#This Row],[pending Revenue]]</f>
        <v>9420</v>
      </c>
    </row>
    <row r="1840" spans="1:18" x14ac:dyDescent="0.25">
      <c r="A1840" t="s">
        <v>1917</v>
      </c>
      <c r="B1840" s="2">
        <v>45588</v>
      </c>
      <c r="C1840" t="s">
        <v>66</v>
      </c>
      <c r="D1840" t="s">
        <v>56</v>
      </c>
      <c r="E1840" t="s">
        <v>17</v>
      </c>
      <c r="F1840" s="5">
        <v>6</v>
      </c>
      <c r="G1840" s="5">
        <v>1</v>
      </c>
      <c r="H1840" s="5">
        <v>8950</v>
      </c>
      <c r="I1840" s="5">
        <v>3</v>
      </c>
      <c r="J1840" s="5">
        <v>8949</v>
      </c>
      <c r="K1840" t="s">
        <v>18</v>
      </c>
      <c r="L1840" t="s">
        <v>40</v>
      </c>
      <c r="M1840" t="s">
        <v>41</v>
      </c>
      <c r="N1840" t="s">
        <v>73</v>
      </c>
      <c r="O1840" t="s">
        <v>29</v>
      </c>
      <c r="P1840" t="s">
        <v>18</v>
      </c>
      <c r="Q1840">
        <f>Table1[[#This Row],[Course_Fee_AED]]-Table1[[#This Row],[Amount_Paid_AED]]</f>
        <v>1</v>
      </c>
      <c r="R1840">
        <f>Table1[[#This Row],[Course_Fee_AED]]-Table1[[#This Row],[pending Revenue]]</f>
        <v>8949</v>
      </c>
    </row>
    <row r="1841" spans="1:18" x14ac:dyDescent="0.25">
      <c r="A1841" t="s">
        <v>1918</v>
      </c>
      <c r="B1841" s="2">
        <v>45426</v>
      </c>
      <c r="C1841" t="s">
        <v>66</v>
      </c>
      <c r="D1841" t="s">
        <v>56</v>
      </c>
      <c r="E1841" t="s">
        <v>26</v>
      </c>
      <c r="F1841" s="5">
        <v>3</v>
      </c>
      <c r="G1841" s="5">
        <v>1</v>
      </c>
      <c r="H1841" s="5">
        <v>8854</v>
      </c>
      <c r="I1841" s="5">
        <v>1</v>
      </c>
      <c r="J1841" s="5">
        <v>2951</v>
      </c>
      <c r="K1841" t="s">
        <v>18</v>
      </c>
      <c r="L1841" t="s">
        <v>40</v>
      </c>
      <c r="M1841" t="s">
        <v>63</v>
      </c>
      <c r="N1841" t="s">
        <v>116</v>
      </c>
      <c r="O1841" t="s">
        <v>29</v>
      </c>
      <c r="P1841" t="s">
        <v>36</v>
      </c>
      <c r="Q1841">
        <f>Table1[[#This Row],[Course_Fee_AED]]-Table1[[#This Row],[Amount_Paid_AED]]</f>
        <v>5903</v>
      </c>
      <c r="R1841">
        <f>Table1[[#This Row],[Course_Fee_AED]]-Table1[[#This Row],[pending Revenue]]</f>
        <v>2951</v>
      </c>
    </row>
    <row r="1842" spans="1:18" x14ac:dyDescent="0.25">
      <c r="A1842" t="s">
        <v>1919</v>
      </c>
      <c r="B1842" s="2">
        <v>45497</v>
      </c>
      <c r="C1842" t="s">
        <v>51</v>
      </c>
      <c r="D1842" t="s">
        <v>52</v>
      </c>
      <c r="E1842" t="s">
        <v>26</v>
      </c>
      <c r="F1842" s="5">
        <v>3</v>
      </c>
      <c r="G1842" s="5">
        <v>1</v>
      </c>
      <c r="H1842" s="5">
        <v>5390</v>
      </c>
      <c r="I1842" s="5">
        <v>2</v>
      </c>
      <c r="J1842" s="5">
        <v>3592</v>
      </c>
      <c r="K1842" t="s">
        <v>18</v>
      </c>
      <c r="L1842" t="s">
        <v>57</v>
      </c>
      <c r="M1842" t="s">
        <v>41</v>
      </c>
      <c r="N1842" t="s">
        <v>95</v>
      </c>
      <c r="O1842" t="s">
        <v>49</v>
      </c>
      <c r="P1842" t="s">
        <v>18</v>
      </c>
      <c r="Q1842">
        <f>Table1[[#This Row],[Course_Fee_AED]]-Table1[[#This Row],[Amount_Paid_AED]]</f>
        <v>1798</v>
      </c>
      <c r="R1842">
        <f>Table1[[#This Row],[Course_Fee_AED]]-Table1[[#This Row],[pending Revenue]]</f>
        <v>3592</v>
      </c>
    </row>
    <row r="1843" spans="1:18" x14ac:dyDescent="0.25">
      <c r="A1843" t="s">
        <v>1920</v>
      </c>
      <c r="B1843" s="2">
        <v>45443</v>
      </c>
      <c r="C1843" t="s">
        <v>100</v>
      </c>
      <c r="D1843" t="s">
        <v>101</v>
      </c>
      <c r="E1843" t="s">
        <v>26</v>
      </c>
      <c r="F1843" s="5">
        <v>3</v>
      </c>
      <c r="G1843" s="5">
        <v>1</v>
      </c>
      <c r="H1843" s="5">
        <v>4698</v>
      </c>
      <c r="I1843" s="5">
        <v>3</v>
      </c>
      <c r="J1843" s="5">
        <v>4698</v>
      </c>
      <c r="K1843" t="s">
        <v>33</v>
      </c>
      <c r="L1843" t="s">
        <v>19</v>
      </c>
      <c r="M1843" t="s">
        <v>20</v>
      </c>
      <c r="N1843" t="s">
        <v>90</v>
      </c>
      <c r="O1843" t="s">
        <v>35</v>
      </c>
      <c r="P1843" t="s">
        <v>36</v>
      </c>
      <c r="Q1843">
        <f>Table1[[#This Row],[Course_Fee_AED]]-Table1[[#This Row],[Amount_Paid_AED]]</f>
        <v>0</v>
      </c>
      <c r="R1843">
        <f>Table1[[#This Row],[Course_Fee_AED]]-Table1[[#This Row],[pending Revenue]]</f>
        <v>4698</v>
      </c>
    </row>
    <row r="1844" spans="1:18" x14ac:dyDescent="0.25">
      <c r="A1844" t="s">
        <v>1921</v>
      </c>
      <c r="B1844" s="2">
        <v>45434</v>
      </c>
      <c r="C1844" t="s">
        <v>92</v>
      </c>
      <c r="D1844" t="s">
        <v>93</v>
      </c>
      <c r="E1844" t="s">
        <v>17</v>
      </c>
      <c r="F1844" s="5">
        <v>6</v>
      </c>
      <c r="G1844" s="5">
        <v>1</v>
      </c>
      <c r="H1844" s="5">
        <v>7134</v>
      </c>
      <c r="I1844" s="5">
        <v>3</v>
      </c>
      <c r="J1844" s="5">
        <v>7134</v>
      </c>
      <c r="K1844" t="s">
        <v>33</v>
      </c>
      <c r="L1844" t="s">
        <v>19</v>
      </c>
      <c r="M1844" t="s">
        <v>20</v>
      </c>
      <c r="N1844" t="s">
        <v>28</v>
      </c>
      <c r="O1844" t="s">
        <v>22</v>
      </c>
      <c r="P1844" t="s">
        <v>18</v>
      </c>
      <c r="Q1844">
        <f>Table1[[#This Row],[Course_Fee_AED]]-Table1[[#This Row],[Amount_Paid_AED]]</f>
        <v>0</v>
      </c>
      <c r="R1844">
        <f>Table1[[#This Row],[Course_Fee_AED]]-Table1[[#This Row],[pending Revenue]]</f>
        <v>7134</v>
      </c>
    </row>
    <row r="1845" spans="1:18" x14ac:dyDescent="0.25">
      <c r="A1845" t="s">
        <v>1922</v>
      </c>
      <c r="B1845" s="2">
        <v>45615</v>
      </c>
      <c r="C1845" t="s">
        <v>38</v>
      </c>
      <c r="D1845" t="s">
        <v>39</v>
      </c>
      <c r="E1845" t="s">
        <v>17</v>
      </c>
      <c r="F1845" s="5">
        <v>6</v>
      </c>
      <c r="G1845" s="5">
        <v>1</v>
      </c>
      <c r="H1845" s="5">
        <v>6954</v>
      </c>
      <c r="I1845" s="5">
        <v>3</v>
      </c>
      <c r="J1845" s="5">
        <v>6954</v>
      </c>
      <c r="K1845" t="s">
        <v>33</v>
      </c>
      <c r="L1845" t="s">
        <v>57</v>
      </c>
      <c r="M1845" t="s">
        <v>60</v>
      </c>
      <c r="N1845" t="s">
        <v>154</v>
      </c>
      <c r="O1845" t="s">
        <v>64</v>
      </c>
      <c r="P1845" t="s">
        <v>36</v>
      </c>
      <c r="Q1845">
        <f>Table1[[#This Row],[Course_Fee_AED]]-Table1[[#This Row],[Amount_Paid_AED]]</f>
        <v>0</v>
      </c>
      <c r="R1845">
        <f>Table1[[#This Row],[Course_Fee_AED]]-Table1[[#This Row],[pending Revenue]]</f>
        <v>6954</v>
      </c>
    </row>
    <row r="1846" spans="1:18" x14ac:dyDescent="0.25">
      <c r="A1846" t="s">
        <v>1923</v>
      </c>
      <c r="B1846" s="2">
        <v>45331</v>
      </c>
      <c r="C1846" t="s">
        <v>24</v>
      </c>
      <c r="D1846" t="s">
        <v>25</v>
      </c>
      <c r="E1846" t="s">
        <v>17</v>
      </c>
      <c r="F1846" s="5">
        <v>6</v>
      </c>
      <c r="G1846" s="5">
        <v>1</v>
      </c>
      <c r="H1846" s="5">
        <v>4590</v>
      </c>
      <c r="I1846" s="5">
        <v>3</v>
      </c>
      <c r="J1846" s="5">
        <v>4590</v>
      </c>
      <c r="K1846" t="s">
        <v>33</v>
      </c>
      <c r="L1846" t="s">
        <v>19</v>
      </c>
      <c r="M1846" t="s">
        <v>47</v>
      </c>
      <c r="N1846" t="s">
        <v>73</v>
      </c>
      <c r="O1846" t="s">
        <v>64</v>
      </c>
      <c r="P1846" t="s">
        <v>36</v>
      </c>
      <c r="Q1846">
        <f>Table1[[#This Row],[Course_Fee_AED]]-Table1[[#This Row],[Amount_Paid_AED]]</f>
        <v>0</v>
      </c>
      <c r="R1846">
        <f>Table1[[#This Row],[Course_Fee_AED]]-Table1[[#This Row],[pending Revenue]]</f>
        <v>4590</v>
      </c>
    </row>
    <row r="1847" spans="1:18" x14ac:dyDescent="0.25">
      <c r="A1847" t="s">
        <v>1924</v>
      </c>
      <c r="B1847" s="2">
        <v>45494</v>
      </c>
      <c r="C1847" t="s">
        <v>55</v>
      </c>
      <c r="D1847" t="s">
        <v>56</v>
      </c>
      <c r="E1847" t="s">
        <v>26</v>
      </c>
      <c r="F1847" s="5">
        <v>3</v>
      </c>
      <c r="G1847" s="5">
        <v>1</v>
      </c>
      <c r="H1847" s="5">
        <v>11434</v>
      </c>
      <c r="I1847" s="5">
        <v>1</v>
      </c>
      <c r="J1847" s="5">
        <v>3811</v>
      </c>
      <c r="K1847" t="s">
        <v>18</v>
      </c>
      <c r="L1847" t="s">
        <v>57</v>
      </c>
      <c r="M1847" t="s">
        <v>60</v>
      </c>
      <c r="N1847" t="s">
        <v>73</v>
      </c>
      <c r="O1847" t="s">
        <v>22</v>
      </c>
      <c r="P1847" t="s">
        <v>36</v>
      </c>
      <c r="Q1847">
        <f>Table1[[#This Row],[Course_Fee_AED]]-Table1[[#This Row],[Amount_Paid_AED]]</f>
        <v>7623</v>
      </c>
      <c r="R1847">
        <f>Table1[[#This Row],[Course_Fee_AED]]-Table1[[#This Row],[pending Revenue]]</f>
        <v>3811</v>
      </c>
    </row>
    <row r="1848" spans="1:18" x14ac:dyDescent="0.25">
      <c r="A1848" t="s">
        <v>1925</v>
      </c>
      <c r="B1848" s="2">
        <v>45519</v>
      </c>
      <c r="C1848" t="s">
        <v>24</v>
      </c>
      <c r="D1848" t="s">
        <v>25</v>
      </c>
      <c r="E1848" t="s">
        <v>26</v>
      </c>
      <c r="F1848" s="5">
        <v>3</v>
      </c>
      <c r="G1848" s="5">
        <v>1</v>
      </c>
      <c r="H1848" s="5">
        <v>6465</v>
      </c>
      <c r="I1848" s="5">
        <v>1</v>
      </c>
      <c r="J1848" s="5">
        <v>2155</v>
      </c>
      <c r="K1848" t="s">
        <v>18</v>
      </c>
      <c r="L1848" t="s">
        <v>40</v>
      </c>
      <c r="M1848" t="s">
        <v>27</v>
      </c>
      <c r="N1848" t="s">
        <v>21</v>
      </c>
      <c r="O1848" t="s">
        <v>64</v>
      </c>
      <c r="P1848" t="s">
        <v>36</v>
      </c>
      <c r="Q1848">
        <f>Table1[[#This Row],[Course_Fee_AED]]-Table1[[#This Row],[Amount_Paid_AED]]</f>
        <v>4310</v>
      </c>
      <c r="R1848">
        <f>Table1[[#This Row],[Course_Fee_AED]]-Table1[[#This Row],[pending Revenue]]</f>
        <v>2155</v>
      </c>
    </row>
    <row r="1849" spans="1:18" x14ac:dyDescent="0.25">
      <c r="A1849" t="s">
        <v>1926</v>
      </c>
      <c r="B1849" s="2">
        <v>45631</v>
      </c>
      <c r="C1849" t="s">
        <v>92</v>
      </c>
      <c r="D1849" t="s">
        <v>93</v>
      </c>
      <c r="E1849" t="s">
        <v>26</v>
      </c>
      <c r="F1849" s="5">
        <v>3</v>
      </c>
      <c r="G1849" s="5">
        <v>1</v>
      </c>
      <c r="H1849" s="5">
        <v>7455</v>
      </c>
      <c r="I1849" s="5">
        <v>2</v>
      </c>
      <c r="J1849" s="5">
        <v>4970</v>
      </c>
      <c r="K1849" t="s">
        <v>18</v>
      </c>
      <c r="L1849" t="s">
        <v>40</v>
      </c>
      <c r="M1849" t="s">
        <v>47</v>
      </c>
      <c r="N1849" t="s">
        <v>34</v>
      </c>
      <c r="O1849" t="s">
        <v>71</v>
      </c>
      <c r="P1849" t="s">
        <v>18</v>
      </c>
      <c r="Q1849">
        <f>Table1[[#This Row],[Course_Fee_AED]]-Table1[[#This Row],[Amount_Paid_AED]]</f>
        <v>2485</v>
      </c>
      <c r="R1849">
        <f>Table1[[#This Row],[Course_Fee_AED]]-Table1[[#This Row],[pending Revenue]]</f>
        <v>4970</v>
      </c>
    </row>
    <row r="1850" spans="1:18" x14ac:dyDescent="0.25">
      <c r="A1850" t="s">
        <v>1927</v>
      </c>
      <c r="B1850" s="2">
        <v>45515</v>
      </c>
      <c r="C1850" t="s">
        <v>92</v>
      </c>
      <c r="D1850" t="s">
        <v>93</v>
      </c>
      <c r="E1850" t="s">
        <v>26</v>
      </c>
      <c r="F1850" s="5">
        <v>3</v>
      </c>
      <c r="G1850" s="5">
        <v>1</v>
      </c>
      <c r="H1850" s="5">
        <v>7682</v>
      </c>
      <c r="I1850" s="5">
        <v>1</v>
      </c>
      <c r="J1850" s="5">
        <v>2560</v>
      </c>
      <c r="K1850" t="s">
        <v>18</v>
      </c>
      <c r="L1850" t="s">
        <v>19</v>
      </c>
      <c r="M1850" t="s">
        <v>20</v>
      </c>
      <c r="N1850" t="s">
        <v>42</v>
      </c>
      <c r="O1850" t="s">
        <v>64</v>
      </c>
      <c r="P1850" t="s">
        <v>18</v>
      </c>
      <c r="Q1850">
        <f>Table1[[#This Row],[Course_Fee_AED]]-Table1[[#This Row],[Amount_Paid_AED]]</f>
        <v>5122</v>
      </c>
      <c r="R1850">
        <f>Table1[[#This Row],[Course_Fee_AED]]-Table1[[#This Row],[pending Revenue]]</f>
        <v>2560</v>
      </c>
    </row>
    <row r="1851" spans="1:18" x14ac:dyDescent="0.25">
      <c r="A1851" t="s">
        <v>1928</v>
      </c>
      <c r="B1851" s="2">
        <v>45444</v>
      </c>
      <c r="C1851" t="s">
        <v>82</v>
      </c>
      <c r="D1851" t="s">
        <v>83</v>
      </c>
      <c r="E1851" t="s">
        <v>26</v>
      </c>
      <c r="F1851" s="5">
        <v>3</v>
      </c>
      <c r="G1851" s="5">
        <v>1</v>
      </c>
      <c r="H1851" s="5">
        <v>14066</v>
      </c>
      <c r="I1851" s="5">
        <v>1</v>
      </c>
      <c r="J1851" s="5">
        <v>4688</v>
      </c>
      <c r="K1851" t="s">
        <v>18</v>
      </c>
      <c r="L1851" t="s">
        <v>19</v>
      </c>
      <c r="M1851" t="s">
        <v>60</v>
      </c>
      <c r="N1851" t="s">
        <v>42</v>
      </c>
      <c r="O1851" t="s">
        <v>35</v>
      </c>
      <c r="P1851" t="s">
        <v>18</v>
      </c>
      <c r="Q1851">
        <f>Table1[[#This Row],[Course_Fee_AED]]-Table1[[#This Row],[Amount_Paid_AED]]</f>
        <v>9378</v>
      </c>
      <c r="R1851">
        <f>Table1[[#This Row],[Course_Fee_AED]]-Table1[[#This Row],[pending Revenue]]</f>
        <v>4688</v>
      </c>
    </row>
    <row r="1852" spans="1:18" x14ac:dyDescent="0.25">
      <c r="A1852" t="s">
        <v>1929</v>
      </c>
      <c r="B1852" s="2">
        <v>45535</v>
      </c>
      <c r="C1852" t="s">
        <v>100</v>
      </c>
      <c r="D1852" t="s">
        <v>101</v>
      </c>
      <c r="E1852" t="s">
        <v>17</v>
      </c>
      <c r="F1852" s="5">
        <v>6</v>
      </c>
      <c r="G1852" s="5">
        <v>1</v>
      </c>
      <c r="H1852" s="5">
        <v>4999</v>
      </c>
      <c r="I1852" s="5">
        <v>3</v>
      </c>
      <c r="J1852" s="5">
        <v>4998</v>
      </c>
      <c r="K1852" t="s">
        <v>18</v>
      </c>
      <c r="L1852" t="s">
        <v>19</v>
      </c>
      <c r="M1852" t="s">
        <v>20</v>
      </c>
      <c r="N1852" t="s">
        <v>48</v>
      </c>
      <c r="O1852" t="s">
        <v>64</v>
      </c>
      <c r="P1852" t="s">
        <v>18</v>
      </c>
      <c r="Q1852">
        <f>Table1[[#This Row],[Course_Fee_AED]]-Table1[[#This Row],[Amount_Paid_AED]]</f>
        <v>1</v>
      </c>
      <c r="R1852">
        <f>Table1[[#This Row],[Course_Fee_AED]]-Table1[[#This Row],[pending Revenue]]</f>
        <v>4998</v>
      </c>
    </row>
    <row r="1853" spans="1:18" x14ac:dyDescent="0.25">
      <c r="A1853" t="s">
        <v>1930</v>
      </c>
      <c r="B1853" s="2">
        <v>45347</v>
      </c>
      <c r="C1853" t="s">
        <v>31</v>
      </c>
      <c r="D1853" t="s">
        <v>32</v>
      </c>
      <c r="E1853" t="s">
        <v>26</v>
      </c>
      <c r="F1853" s="5">
        <v>3</v>
      </c>
      <c r="G1853" s="5">
        <v>1</v>
      </c>
      <c r="H1853" s="5">
        <v>5125</v>
      </c>
      <c r="I1853" s="5">
        <v>3</v>
      </c>
      <c r="J1853" s="5">
        <v>5124</v>
      </c>
      <c r="K1853" t="s">
        <v>18</v>
      </c>
      <c r="L1853" t="s">
        <v>40</v>
      </c>
      <c r="M1853" t="s">
        <v>20</v>
      </c>
      <c r="N1853" t="s">
        <v>73</v>
      </c>
      <c r="O1853" t="s">
        <v>64</v>
      </c>
      <c r="P1853" t="s">
        <v>18</v>
      </c>
      <c r="Q1853">
        <f>Table1[[#This Row],[Course_Fee_AED]]-Table1[[#This Row],[Amount_Paid_AED]]</f>
        <v>1</v>
      </c>
      <c r="R1853">
        <f>Table1[[#This Row],[Course_Fee_AED]]-Table1[[#This Row],[pending Revenue]]</f>
        <v>5124</v>
      </c>
    </row>
    <row r="1854" spans="1:18" x14ac:dyDescent="0.25">
      <c r="A1854" t="s">
        <v>1931</v>
      </c>
      <c r="B1854" s="2">
        <v>45554</v>
      </c>
      <c r="C1854" t="s">
        <v>31</v>
      </c>
      <c r="D1854" t="s">
        <v>32</v>
      </c>
      <c r="E1854" t="s">
        <v>26</v>
      </c>
      <c r="F1854" s="5">
        <v>3</v>
      </c>
      <c r="G1854" s="5">
        <v>1</v>
      </c>
      <c r="H1854" s="5">
        <v>7426</v>
      </c>
      <c r="I1854" s="5">
        <v>3</v>
      </c>
      <c r="J1854" s="5">
        <v>7425</v>
      </c>
      <c r="K1854" t="s">
        <v>18</v>
      </c>
      <c r="L1854" t="s">
        <v>57</v>
      </c>
      <c r="M1854" t="s">
        <v>20</v>
      </c>
      <c r="N1854" t="s">
        <v>21</v>
      </c>
      <c r="O1854" t="s">
        <v>71</v>
      </c>
      <c r="P1854" t="s">
        <v>36</v>
      </c>
      <c r="Q1854">
        <f>Table1[[#This Row],[Course_Fee_AED]]-Table1[[#This Row],[Amount_Paid_AED]]</f>
        <v>1</v>
      </c>
      <c r="R1854">
        <f>Table1[[#This Row],[Course_Fee_AED]]-Table1[[#This Row],[pending Revenue]]</f>
        <v>7425</v>
      </c>
    </row>
    <row r="1855" spans="1:18" x14ac:dyDescent="0.25">
      <c r="A1855" t="s">
        <v>1932</v>
      </c>
      <c r="B1855" s="2">
        <v>45362</v>
      </c>
      <c r="C1855" t="s">
        <v>106</v>
      </c>
      <c r="D1855" t="s">
        <v>107</v>
      </c>
      <c r="E1855" t="s">
        <v>26</v>
      </c>
      <c r="F1855" s="5">
        <v>3</v>
      </c>
      <c r="G1855" s="5">
        <v>1</v>
      </c>
      <c r="H1855" s="5">
        <v>8060</v>
      </c>
      <c r="I1855" s="5">
        <v>3</v>
      </c>
      <c r="J1855" s="5">
        <v>8058</v>
      </c>
      <c r="K1855" t="s">
        <v>18</v>
      </c>
      <c r="L1855" t="s">
        <v>19</v>
      </c>
      <c r="M1855" t="s">
        <v>41</v>
      </c>
      <c r="N1855" t="s">
        <v>86</v>
      </c>
      <c r="O1855" t="s">
        <v>68</v>
      </c>
      <c r="P1855" t="s">
        <v>18</v>
      </c>
      <c r="Q1855">
        <f>Table1[[#This Row],[Course_Fee_AED]]-Table1[[#This Row],[Amount_Paid_AED]]</f>
        <v>2</v>
      </c>
      <c r="R1855">
        <f>Table1[[#This Row],[Course_Fee_AED]]-Table1[[#This Row],[pending Revenue]]</f>
        <v>8058</v>
      </c>
    </row>
    <row r="1856" spans="1:18" x14ac:dyDescent="0.25">
      <c r="A1856" t="s">
        <v>1933</v>
      </c>
      <c r="B1856" s="2">
        <v>45555</v>
      </c>
      <c r="C1856" t="s">
        <v>55</v>
      </c>
      <c r="D1856" t="s">
        <v>56</v>
      </c>
      <c r="E1856" t="s">
        <v>26</v>
      </c>
      <c r="F1856" s="5">
        <v>3</v>
      </c>
      <c r="G1856" s="5">
        <v>1</v>
      </c>
      <c r="H1856" s="5">
        <v>8923</v>
      </c>
      <c r="I1856" s="5">
        <v>2</v>
      </c>
      <c r="J1856" s="5">
        <v>5948</v>
      </c>
      <c r="K1856" t="s">
        <v>18</v>
      </c>
      <c r="L1856" t="s">
        <v>40</v>
      </c>
      <c r="M1856" t="s">
        <v>20</v>
      </c>
      <c r="N1856" t="s">
        <v>70</v>
      </c>
      <c r="O1856" t="s">
        <v>87</v>
      </c>
      <c r="P1856" t="s">
        <v>18</v>
      </c>
      <c r="Q1856">
        <f>Table1[[#This Row],[Course_Fee_AED]]-Table1[[#This Row],[Amount_Paid_AED]]</f>
        <v>2975</v>
      </c>
      <c r="R1856">
        <f>Table1[[#This Row],[Course_Fee_AED]]-Table1[[#This Row],[pending Revenue]]</f>
        <v>5948</v>
      </c>
    </row>
    <row r="1857" spans="1:18" x14ac:dyDescent="0.25">
      <c r="A1857" t="s">
        <v>1934</v>
      </c>
      <c r="B1857" s="2">
        <v>45520</v>
      </c>
      <c r="C1857" t="s">
        <v>66</v>
      </c>
      <c r="D1857" t="s">
        <v>56</v>
      </c>
      <c r="E1857" t="s">
        <v>17</v>
      </c>
      <c r="F1857" s="5">
        <v>6</v>
      </c>
      <c r="G1857" s="5">
        <v>1</v>
      </c>
      <c r="H1857" s="5">
        <v>8741</v>
      </c>
      <c r="I1857" s="5">
        <v>1</v>
      </c>
      <c r="J1857" s="5">
        <v>2913</v>
      </c>
      <c r="K1857" t="s">
        <v>18</v>
      </c>
      <c r="L1857" t="s">
        <v>57</v>
      </c>
      <c r="M1857" t="s">
        <v>41</v>
      </c>
      <c r="N1857" t="s">
        <v>90</v>
      </c>
      <c r="O1857" t="s">
        <v>64</v>
      </c>
      <c r="P1857" t="s">
        <v>18</v>
      </c>
      <c r="Q1857">
        <f>Table1[[#This Row],[Course_Fee_AED]]-Table1[[#This Row],[Amount_Paid_AED]]</f>
        <v>5828</v>
      </c>
      <c r="R1857">
        <f>Table1[[#This Row],[Course_Fee_AED]]-Table1[[#This Row],[pending Revenue]]</f>
        <v>2913</v>
      </c>
    </row>
    <row r="1858" spans="1:18" x14ac:dyDescent="0.25">
      <c r="A1858" t="s">
        <v>1935</v>
      </c>
      <c r="B1858" s="2">
        <v>45367</v>
      </c>
      <c r="C1858" t="s">
        <v>31</v>
      </c>
      <c r="D1858" t="s">
        <v>32</v>
      </c>
      <c r="E1858" t="s">
        <v>26</v>
      </c>
      <c r="F1858" s="5">
        <v>3</v>
      </c>
      <c r="G1858" s="5">
        <v>1</v>
      </c>
      <c r="H1858" s="5">
        <v>6523</v>
      </c>
      <c r="I1858" s="5">
        <v>3</v>
      </c>
      <c r="J1858" s="5">
        <v>6522</v>
      </c>
      <c r="K1858" t="s">
        <v>18</v>
      </c>
      <c r="L1858" t="s">
        <v>19</v>
      </c>
      <c r="M1858" t="s">
        <v>41</v>
      </c>
      <c r="N1858" t="s">
        <v>73</v>
      </c>
      <c r="O1858" t="s">
        <v>43</v>
      </c>
      <c r="P1858" t="s">
        <v>36</v>
      </c>
      <c r="Q1858">
        <f>Table1[[#This Row],[Course_Fee_AED]]-Table1[[#This Row],[Amount_Paid_AED]]</f>
        <v>1</v>
      </c>
      <c r="R1858">
        <f>Table1[[#This Row],[Course_Fee_AED]]-Table1[[#This Row],[pending Revenue]]</f>
        <v>6522</v>
      </c>
    </row>
    <row r="1859" spans="1:18" x14ac:dyDescent="0.25">
      <c r="A1859" t="s">
        <v>1936</v>
      </c>
      <c r="B1859" s="2">
        <v>45347</v>
      </c>
      <c r="C1859" t="s">
        <v>24</v>
      </c>
      <c r="D1859" t="s">
        <v>25</v>
      </c>
      <c r="E1859" t="s">
        <v>26</v>
      </c>
      <c r="F1859" s="5">
        <v>3</v>
      </c>
      <c r="G1859" s="5">
        <v>1</v>
      </c>
      <c r="H1859" s="5">
        <v>6544</v>
      </c>
      <c r="I1859" s="5">
        <v>3</v>
      </c>
      <c r="J1859" s="5">
        <v>6543</v>
      </c>
      <c r="K1859" t="s">
        <v>18</v>
      </c>
      <c r="L1859" t="s">
        <v>19</v>
      </c>
      <c r="M1859" t="s">
        <v>27</v>
      </c>
      <c r="N1859" t="s">
        <v>48</v>
      </c>
      <c r="O1859" t="s">
        <v>68</v>
      </c>
      <c r="P1859" t="s">
        <v>36</v>
      </c>
      <c r="Q1859">
        <f>Table1[[#This Row],[Course_Fee_AED]]-Table1[[#This Row],[Amount_Paid_AED]]</f>
        <v>1</v>
      </c>
      <c r="R1859">
        <f>Table1[[#This Row],[Course_Fee_AED]]-Table1[[#This Row],[pending Revenue]]</f>
        <v>6543</v>
      </c>
    </row>
    <row r="1860" spans="1:18" x14ac:dyDescent="0.25">
      <c r="A1860" t="s">
        <v>1937</v>
      </c>
      <c r="B1860" s="2">
        <v>45394</v>
      </c>
      <c r="C1860" t="s">
        <v>45</v>
      </c>
      <c r="D1860" t="s">
        <v>46</v>
      </c>
      <c r="E1860" t="s">
        <v>17</v>
      </c>
      <c r="F1860" s="5">
        <v>6</v>
      </c>
      <c r="G1860" s="5">
        <v>1</v>
      </c>
      <c r="H1860" s="5">
        <v>4931</v>
      </c>
      <c r="I1860" s="5">
        <v>3</v>
      </c>
      <c r="J1860" s="5">
        <v>4929</v>
      </c>
      <c r="K1860" t="s">
        <v>18</v>
      </c>
      <c r="L1860" t="s">
        <v>40</v>
      </c>
      <c r="M1860" t="s">
        <v>60</v>
      </c>
      <c r="N1860" t="s">
        <v>61</v>
      </c>
      <c r="O1860" t="s">
        <v>58</v>
      </c>
      <c r="P1860" t="s">
        <v>18</v>
      </c>
      <c r="Q1860">
        <f>Table1[[#This Row],[Course_Fee_AED]]-Table1[[#This Row],[Amount_Paid_AED]]</f>
        <v>2</v>
      </c>
      <c r="R1860">
        <f>Table1[[#This Row],[Course_Fee_AED]]-Table1[[#This Row],[pending Revenue]]</f>
        <v>4929</v>
      </c>
    </row>
    <row r="1861" spans="1:18" x14ac:dyDescent="0.25">
      <c r="A1861" t="s">
        <v>1938</v>
      </c>
      <c r="B1861" s="2">
        <v>45371</v>
      </c>
      <c r="C1861" t="s">
        <v>24</v>
      </c>
      <c r="D1861" t="s">
        <v>25</v>
      </c>
      <c r="E1861" t="s">
        <v>26</v>
      </c>
      <c r="F1861" s="5">
        <v>3</v>
      </c>
      <c r="G1861" s="5">
        <v>1</v>
      </c>
      <c r="H1861" s="5">
        <v>5575</v>
      </c>
      <c r="I1861" s="5">
        <v>3</v>
      </c>
      <c r="J1861" s="5">
        <v>5574</v>
      </c>
      <c r="K1861" t="s">
        <v>18</v>
      </c>
      <c r="L1861" t="s">
        <v>19</v>
      </c>
      <c r="M1861" t="s">
        <v>47</v>
      </c>
      <c r="N1861" t="s">
        <v>61</v>
      </c>
      <c r="O1861" t="s">
        <v>71</v>
      </c>
      <c r="P1861" t="s">
        <v>36</v>
      </c>
      <c r="Q1861">
        <f>Table1[[#This Row],[Course_Fee_AED]]-Table1[[#This Row],[Amount_Paid_AED]]</f>
        <v>1</v>
      </c>
      <c r="R1861">
        <f>Table1[[#This Row],[Course_Fee_AED]]-Table1[[#This Row],[pending Revenue]]</f>
        <v>5574</v>
      </c>
    </row>
    <row r="1862" spans="1:18" x14ac:dyDescent="0.25">
      <c r="A1862" t="s">
        <v>1939</v>
      </c>
      <c r="B1862" s="2">
        <v>45318</v>
      </c>
      <c r="C1862" t="s">
        <v>92</v>
      </c>
      <c r="D1862" t="s">
        <v>93</v>
      </c>
      <c r="E1862" t="s">
        <v>17</v>
      </c>
      <c r="F1862" s="5">
        <v>6</v>
      </c>
      <c r="G1862" s="5">
        <v>1</v>
      </c>
      <c r="H1862" s="5">
        <v>5323</v>
      </c>
      <c r="I1862" s="5">
        <v>1</v>
      </c>
      <c r="J1862" s="5">
        <v>1774</v>
      </c>
      <c r="K1862" t="s">
        <v>18</v>
      </c>
      <c r="L1862" t="s">
        <v>19</v>
      </c>
      <c r="M1862" t="s">
        <v>27</v>
      </c>
      <c r="N1862" t="s">
        <v>90</v>
      </c>
      <c r="O1862" t="s">
        <v>87</v>
      </c>
      <c r="P1862" t="s">
        <v>36</v>
      </c>
      <c r="Q1862">
        <f>Table1[[#This Row],[Course_Fee_AED]]-Table1[[#This Row],[Amount_Paid_AED]]</f>
        <v>3549</v>
      </c>
      <c r="R1862">
        <f>Table1[[#This Row],[Course_Fee_AED]]-Table1[[#This Row],[pending Revenue]]</f>
        <v>1774</v>
      </c>
    </row>
    <row r="1863" spans="1:18" x14ac:dyDescent="0.25">
      <c r="A1863" t="s">
        <v>1940</v>
      </c>
      <c r="B1863" s="2">
        <v>45295</v>
      </c>
      <c r="C1863" t="s">
        <v>15</v>
      </c>
      <c r="D1863" t="s">
        <v>16</v>
      </c>
      <c r="E1863" t="s">
        <v>17</v>
      </c>
      <c r="F1863" s="5">
        <v>6</v>
      </c>
      <c r="G1863" s="5">
        <v>1</v>
      </c>
      <c r="H1863" s="5">
        <v>4885</v>
      </c>
      <c r="I1863" s="5">
        <v>1</v>
      </c>
      <c r="J1863" s="5">
        <v>1628</v>
      </c>
      <c r="K1863" t="s">
        <v>18</v>
      </c>
      <c r="L1863" t="s">
        <v>57</v>
      </c>
      <c r="M1863" t="s">
        <v>60</v>
      </c>
      <c r="N1863" t="s">
        <v>73</v>
      </c>
      <c r="O1863" t="s">
        <v>22</v>
      </c>
      <c r="P1863" t="s">
        <v>36</v>
      </c>
      <c r="Q1863">
        <f>Table1[[#This Row],[Course_Fee_AED]]-Table1[[#This Row],[Amount_Paid_AED]]</f>
        <v>3257</v>
      </c>
      <c r="R1863">
        <f>Table1[[#This Row],[Course_Fee_AED]]-Table1[[#This Row],[pending Revenue]]</f>
        <v>1628</v>
      </c>
    </row>
    <row r="1864" spans="1:18" x14ac:dyDescent="0.25">
      <c r="A1864" t="s">
        <v>1941</v>
      </c>
      <c r="B1864" s="2">
        <v>45482</v>
      </c>
      <c r="C1864" t="s">
        <v>100</v>
      </c>
      <c r="D1864" t="s">
        <v>101</v>
      </c>
      <c r="E1864" t="s">
        <v>17</v>
      </c>
      <c r="F1864" s="5">
        <v>6</v>
      </c>
      <c r="G1864" s="5">
        <v>1</v>
      </c>
      <c r="H1864" s="5">
        <v>5404</v>
      </c>
      <c r="I1864" s="5">
        <v>3</v>
      </c>
      <c r="J1864" s="5">
        <v>5403</v>
      </c>
      <c r="K1864" t="s">
        <v>18</v>
      </c>
      <c r="L1864" t="s">
        <v>40</v>
      </c>
      <c r="M1864" t="s">
        <v>41</v>
      </c>
      <c r="N1864" t="s">
        <v>86</v>
      </c>
      <c r="O1864" t="s">
        <v>87</v>
      </c>
      <c r="P1864" t="s">
        <v>18</v>
      </c>
      <c r="Q1864">
        <f>Table1[[#This Row],[Course_Fee_AED]]-Table1[[#This Row],[Amount_Paid_AED]]</f>
        <v>1</v>
      </c>
      <c r="R1864">
        <f>Table1[[#This Row],[Course_Fee_AED]]-Table1[[#This Row],[pending Revenue]]</f>
        <v>5403</v>
      </c>
    </row>
    <row r="1865" spans="1:18" x14ac:dyDescent="0.25">
      <c r="A1865" t="s">
        <v>1942</v>
      </c>
      <c r="B1865" s="2">
        <v>45357</v>
      </c>
      <c r="C1865" t="s">
        <v>31</v>
      </c>
      <c r="D1865" t="s">
        <v>32</v>
      </c>
      <c r="E1865" t="s">
        <v>26</v>
      </c>
      <c r="F1865" s="5">
        <v>3</v>
      </c>
      <c r="G1865" s="5">
        <v>1</v>
      </c>
      <c r="H1865" s="5">
        <v>7606</v>
      </c>
      <c r="I1865" s="5">
        <v>2</v>
      </c>
      <c r="J1865" s="5">
        <v>5070</v>
      </c>
      <c r="K1865" t="s">
        <v>18</v>
      </c>
      <c r="L1865" t="s">
        <v>40</v>
      </c>
      <c r="M1865" t="s">
        <v>63</v>
      </c>
      <c r="N1865" t="s">
        <v>73</v>
      </c>
      <c r="O1865" t="s">
        <v>71</v>
      </c>
      <c r="P1865" t="s">
        <v>18</v>
      </c>
      <c r="Q1865">
        <f>Table1[[#This Row],[Course_Fee_AED]]-Table1[[#This Row],[Amount_Paid_AED]]</f>
        <v>2536</v>
      </c>
      <c r="R1865">
        <f>Table1[[#This Row],[Course_Fee_AED]]-Table1[[#This Row],[pending Revenue]]</f>
        <v>5070</v>
      </c>
    </row>
    <row r="1866" spans="1:18" x14ac:dyDescent="0.25">
      <c r="A1866" t="s">
        <v>1943</v>
      </c>
      <c r="B1866" s="2">
        <v>45380</v>
      </c>
      <c r="C1866" t="s">
        <v>38</v>
      </c>
      <c r="D1866" t="s">
        <v>39</v>
      </c>
      <c r="E1866" t="s">
        <v>17</v>
      </c>
      <c r="F1866" s="5">
        <v>6</v>
      </c>
      <c r="G1866" s="5">
        <v>1</v>
      </c>
      <c r="H1866" s="5">
        <v>6212</v>
      </c>
      <c r="I1866" s="5">
        <v>2</v>
      </c>
      <c r="J1866" s="5">
        <v>4140</v>
      </c>
      <c r="K1866" t="s">
        <v>18</v>
      </c>
      <c r="L1866" t="s">
        <v>57</v>
      </c>
      <c r="M1866" t="s">
        <v>20</v>
      </c>
      <c r="N1866" t="s">
        <v>48</v>
      </c>
      <c r="O1866" t="s">
        <v>35</v>
      </c>
      <c r="P1866" t="s">
        <v>18</v>
      </c>
      <c r="Q1866">
        <f>Table1[[#This Row],[Course_Fee_AED]]-Table1[[#This Row],[Amount_Paid_AED]]</f>
        <v>2072</v>
      </c>
      <c r="R1866">
        <f>Table1[[#This Row],[Course_Fee_AED]]-Table1[[#This Row],[pending Revenue]]</f>
        <v>4140</v>
      </c>
    </row>
    <row r="1867" spans="1:18" x14ac:dyDescent="0.25">
      <c r="A1867" t="s">
        <v>1944</v>
      </c>
      <c r="B1867" s="2">
        <v>45487</v>
      </c>
      <c r="C1867" t="s">
        <v>24</v>
      </c>
      <c r="D1867" t="s">
        <v>25</v>
      </c>
      <c r="E1867" t="s">
        <v>17</v>
      </c>
      <c r="F1867" s="5">
        <v>6</v>
      </c>
      <c r="G1867" s="5">
        <v>1</v>
      </c>
      <c r="H1867" s="5">
        <v>4700</v>
      </c>
      <c r="I1867" s="5">
        <v>2</v>
      </c>
      <c r="J1867" s="5">
        <v>3132</v>
      </c>
      <c r="K1867" t="s">
        <v>18</v>
      </c>
      <c r="L1867" t="s">
        <v>40</v>
      </c>
      <c r="M1867" t="s">
        <v>20</v>
      </c>
      <c r="N1867" t="s">
        <v>73</v>
      </c>
      <c r="O1867" t="s">
        <v>64</v>
      </c>
      <c r="P1867" t="s">
        <v>36</v>
      </c>
      <c r="Q1867">
        <f>Table1[[#This Row],[Course_Fee_AED]]-Table1[[#This Row],[Amount_Paid_AED]]</f>
        <v>1568</v>
      </c>
      <c r="R1867">
        <f>Table1[[#This Row],[Course_Fee_AED]]-Table1[[#This Row],[pending Revenue]]</f>
        <v>3132</v>
      </c>
    </row>
    <row r="1868" spans="1:18" x14ac:dyDescent="0.25">
      <c r="A1868" t="s">
        <v>1945</v>
      </c>
      <c r="B1868" s="2">
        <v>45608</v>
      </c>
      <c r="C1868" t="s">
        <v>55</v>
      </c>
      <c r="D1868" t="s">
        <v>56</v>
      </c>
      <c r="E1868" t="s">
        <v>26</v>
      </c>
      <c r="F1868" s="5">
        <v>3</v>
      </c>
      <c r="G1868" s="5">
        <v>1</v>
      </c>
      <c r="H1868" s="5">
        <v>7510</v>
      </c>
      <c r="I1868" s="5">
        <v>1</v>
      </c>
      <c r="J1868" s="5">
        <v>2503</v>
      </c>
      <c r="K1868" t="s">
        <v>18</v>
      </c>
      <c r="L1868" t="s">
        <v>19</v>
      </c>
      <c r="M1868" t="s">
        <v>63</v>
      </c>
      <c r="N1868" t="s">
        <v>28</v>
      </c>
      <c r="O1868" t="s">
        <v>64</v>
      </c>
      <c r="P1868" t="s">
        <v>18</v>
      </c>
      <c r="Q1868">
        <f>Table1[[#This Row],[Course_Fee_AED]]-Table1[[#This Row],[Amount_Paid_AED]]</f>
        <v>5007</v>
      </c>
      <c r="R1868">
        <f>Table1[[#This Row],[Course_Fee_AED]]-Table1[[#This Row],[pending Revenue]]</f>
        <v>2503</v>
      </c>
    </row>
    <row r="1869" spans="1:18" x14ac:dyDescent="0.25">
      <c r="A1869" t="s">
        <v>1946</v>
      </c>
      <c r="B1869" s="2">
        <v>45657</v>
      </c>
      <c r="C1869" t="s">
        <v>51</v>
      </c>
      <c r="D1869" t="s">
        <v>52</v>
      </c>
      <c r="E1869" t="s">
        <v>26</v>
      </c>
      <c r="F1869" s="5">
        <v>3</v>
      </c>
      <c r="G1869" s="5">
        <v>1</v>
      </c>
      <c r="H1869" s="5">
        <v>4218</v>
      </c>
      <c r="I1869" s="5">
        <v>3</v>
      </c>
      <c r="J1869" s="5">
        <v>4218</v>
      </c>
      <c r="K1869" t="s">
        <v>33</v>
      </c>
      <c r="L1869" t="s">
        <v>57</v>
      </c>
      <c r="M1869" t="s">
        <v>60</v>
      </c>
      <c r="N1869" t="s">
        <v>28</v>
      </c>
      <c r="O1869" t="s">
        <v>35</v>
      </c>
      <c r="P1869" t="s">
        <v>18</v>
      </c>
      <c r="Q1869">
        <f>Table1[[#This Row],[Course_Fee_AED]]-Table1[[#This Row],[Amount_Paid_AED]]</f>
        <v>0</v>
      </c>
      <c r="R1869">
        <f>Table1[[#This Row],[Course_Fee_AED]]-Table1[[#This Row],[pending Revenue]]</f>
        <v>4218</v>
      </c>
    </row>
    <row r="1870" spans="1:18" x14ac:dyDescent="0.25">
      <c r="A1870" t="s">
        <v>1947</v>
      </c>
      <c r="B1870" s="2">
        <v>45297</v>
      </c>
      <c r="C1870" t="s">
        <v>106</v>
      </c>
      <c r="D1870" t="s">
        <v>107</v>
      </c>
      <c r="E1870" t="s">
        <v>17</v>
      </c>
      <c r="F1870" s="5">
        <v>6</v>
      </c>
      <c r="G1870" s="5">
        <v>1</v>
      </c>
      <c r="H1870" s="5">
        <v>7790</v>
      </c>
      <c r="I1870" s="5">
        <v>1</v>
      </c>
      <c r="J1870" s="5">
        <v>2596</v>
      </c>
      <c r="K1870" t="s">
        <v>18</v>
      </c>
      <c r="L1870" t="s">
        <v>19</v>
      </c>
      <c r="M1870" t="s">
        <v>60</v>
      </c>
      <c r="N1870" t="s">
        <v>34</v>
      </c>
      <c r="O1870" t="s">
        <v>49</v>
      </c>
      <c r="P1870" t="s">
        <v>36</v>
      </c>
      <c r="Q1870">
        <f>Table1[[#This Row],[Course_Fee_AED]]-Table1[[#This Row],[Amount_Paid_AED]]</f>
        <v>5194</v>
      </c>
      <c r="R1870">
        <f>Table1[[#This Row],[Course_Fee_AED]]-Table1[[#This Row],[pending Revenue]]</f>
        <v>2596</v>
      </c>
    </row>
    <row r="1871" spans="1:18" x14ac:dyDescent="0.25">
      <c r="A1871" t="s">
        <v>1948</v>
      </c>
      <c r="B1871" s="2">
        <v>45575</v>
      </c>
      <c r="C1871" t="s">
        <v>24</v>
      </c>
      <c r="D1871" t="s">
        <v>25</v>
      </c>
      <c r="E1871" t="s">
        <v>26</v>
      </c>
      <c r="F1871" s="5">
        <v>3</v>
      </c>
      <c r="G1871" s="5">
        <v>1</v>
      </c>
      <c r="H1871" s="5">
        <v>6627</v>
      </c>
      <c r="I1871" s="5">
        <v>1</v>
      </c>
      <c r="J1871" s="5">
        <v>2209</v>
      </c>
      <c r="K1871" t="s">
        <v>18</v>
      </c>
      <c r="L1871" t="s">
        <v>19</v>
      </c>
      <c r="M1871" t="s">
        <v>20</v>
      </c>
      <c r="N1871" t="s">
        <v>34</v>
      </c>
      <c r="O1871" t="s">
        <v>35</v>
      </c>
      <c r="P1871" t="s">
        <v>36</v>
      </c>
      <c r="Q1871">
        <f>Table1[[#This Row],[Course_Fee_AED]]-Table1[[#This Row],[Amount_Paid_AED]]</f>
        <v>4418</v>
      </c>
      <c r="R1871">
        <f>Table1[[#This Row],[Course_Fee_AED]]-Table1[[#This Row],[pending Revenue]]</f>
        <v>2209</v>
      </c>
    </row>
    <row r="1872" spans="1:18" x14ac:dyDescent="0.25">
      <c r="A1872" t="s">
        <v>1949</v>
      </c>
      <c r="B1872" s="2">
        <v>45630</v>
      </c>
      <c r="C1872" t="s">
        <v>75</v>
      </c>
      <c r="D1872" t="s">
        <v>76</v>
      </c>
      <c r="E1872" t="s">
        <v>17</v>
      </c>
      <c r="F1872" s="5">
        <v>6</v>
      </c>
      <c r="G1872" s="5">
        <v>1</v>
      </c>
      <c r="H1872" s="5">
        <v>14635</v>
      </c>
      <c r="I1872" s="5">
        <v>3</v>
      </c>
      <c r="J1872" s="5">
        <v>14634</v>
      </c>
      <c r="K1872" t="s">
        <v>18</v>
      </c>
      <c r="L1872" t="s">
        <v>57</v>
      </c>
      <c r="M1872" t="s">
        <v>27</v>
      </c>
      <c r="N1872" t="s">
        <v>70</v>
      </c>
      <c r="O1872" t="s">
        <v>58</v>
      </c>
      <c r="P1872" t="s">
        <v>36</v>
      </c>
      <c r="Q1872">
        <f>Table1[[#This Row],[Course_Fee_AED]]-Table1[[#This Row],[Amount_Paid_AED]]</f>
        <v>1</v>
      </c>
      <c r="R1872">
        <f>Table1[[#This Row],[Course_Fee_AED]]-Table1[[#This Row],[pending Revenue]]</f>
        <v>14634</v>
      </c>
    </row>
    <row r="1873" spans="1:18" x14ac:dyDescent="0.25">
      <c r="A1873" t="s">
        <v>1950</v>
      </c>
      <c r="B1873" s="2">
        <v>45462</v>
      </c>
      <c r="C1873" t="s">
        <v>113</v>
      </c>
      <c r="D1873" t="s">
        <v>93</v>
      </c>
      <c r="E1873" t="s">
        <v>26</v>
      </c>
      <c r="F1873" s="5">
        <v>3</v>
      </c>
      <c r="G1873" s="5">
        <v>1</v>
      </c>
      <c r="H1873" s="5">
        <v>4400</v>
      </c>
      <c r="I1873" s="5">
        <v>1</v>
      </c>
      <c r="J1873" s="5">
        <v>1466</v>
      </c>
      <c r="K1873" t="s">
        <v>18</v>
      </c>
      <c r="L1873" t="s">
        <v>19</v>
      </c>
      <c r="M1873" t="s">
        <v>47</v>
      </c>
      <c r="N1873" t="s">
        <v>61</v>
      </c>
      <c r="O1873" t="s">
        <v>22</v>
      </c>
      <c r="P1873" t="s">
        <v>18</v>
      </c>
      <c r="Q1873">
        <f>Table1[[#This Row],[Course_Fee_AED]]-Table1[[#This Row],[Amount_Paid_AED]]</f>
        <v>2934</v>
      </c>
      <c r="R1873">
        <f>Table1[[#This Row],[Course_Fee_AED]]-Table1[[#This Row],[pending Revenue]]</f>
        <v>1466</v>
      </c>
    </row>
    <row r="1874" spans="1:18" x14ac:dyDescent="0.25">
      <c r="A1874" t="s">
        <v>1951</v>
      </c>
      <c r="B1874" s="2">
        <v>45461</v>
      </c>
      <c r="C1874" t="s">
        <v>100</v>
      </c>
      <c r="D1874" t="s">
        <v>101</v>
      </c>
      <c r="E1874" t="s">
        <v>17</v>
      </c>
      <c r="F1874" s="5">
        <v>6</v>
      </c>
      <c r="G1874" s="5">
        <v>1</v>
      </c>
      <c r="H1874" s="5">
        <v>5899</v>
      </c>
      <c r="I1874" s="5">
        <v>2</v>
      </c>
      <c r="J1874" s="5">
        <v>3932</v>
      </c>
      <c r="K1874" t="s">
        <v>18</v>
      </c>
      <c r="L1874" t="s">
        <v>57</v>
      </c>
      <c r="M1874" t="s">
        <v>27</v>
      </c>
      <c r="N1874" t="s">
        <v>53</v>
      </c>
      <c r="O1874" t="s">
        <v>64</v>
      </c>
      <c r="P1874" t="s">
        <v>18</v>
      </c>
      <c r="Q1874">
        <f>Table1[[#This Row],[Course_Fee_AED]]-Table1[[#This Row],[Amount_Paid_AED]]</f>
        <v>1967</v>
      </c>
      <c r="R1874">
        <f>Table1[[#This Row],[Course_Fee_AED]]-Table1[[#This Row],[pending Revenue]]</f>
        <v>3932</v>
      </c>
    </row>
    <row r="1875" spans="1:18" x14ac:dyDescent="0.25">
      <c r="A1875" t="s">
        <v>1952</v>
      </c>
      <c r="B1875" s="2">
        <v>45523</v>
      </c>
      <c r="C1875" t="s">
        <v>113</v>
      </c>
      <c r="D1875" t="s">
        <v>93</v>
      </c>
      <c r="E1875" t="s">
        <v>17</v>
      </c>
      <c r="F1875" s="5">
        <v>6</v>
      </c>
      <c r="G1875" s="5">
        <v>1</v>
      </c>
      <c r="H1875" s="5">
        <v>3940</v>
      </c>
      <c r="I1875" s="5">
        <v>3</v>
      </c>
      <c r="J1875" s="5">
        <v>3939</v>
      </c>
      <c r="K1875" t="s">
        <v>18</v>
      </c>
      <c r="L1875" t="s">
        <v>19</v>
      </c>
      <c r="M1875" t="s">
        <v>60</v>
      </c>
      <c r="N1875" t="s">
        <v>86</v>
      </c>
      <c r="O1875" t="s">
        <v>87</v>
      </c>
      <c r="P1875" t="s">
        <v>18</v>
      </c>
      <c r="Q1875">
        <f>Table1[[#This Row],[Course_Fee_AED]]-Table1[[#This Row],[Amount_Paid_AED]]</f>
        <v>1</v>
      </c>
      <c r="R1875">
        <f>Table1[[#This Row],[Course_Fee_AED]]-Table1[[#This Row],[pending Revenue]]</f>
        <v>3939</v>
      </c>
    </row>
    <row r="1876" spans="1:18" x14ac:dyDescent="0.25">
      <c r="A1876" t="s">
        <v>1953</v>
      </c>
      <c r="B1876" s="2">
        <v>45485</v>
      </c>
      <c r="C1876" t="s">
        <v>45</v>
      </c>
      <c r="D1876" t="s">
        <v>46</v>
      </c>
      <c r="E1876" t="s">
        <v>17</v>
      </c>
      <c r="F1876" s="5">
        <v>6</v>
      </c>
      <c r="G1876" s="5">
        <v>1</v>
      </c>
      <c r="H1876" s="5">
        <v>4865</v>
      </c>
      <c r="I1876" s="5">
        <v>3</v>
      </c>
      <c r="J1876" s="5">
        <v>4863</v>
      </c>
      <c r="K1876" t="s">
        <v>18</v>
      </c>
      <c r="L1876" t="s">
        <v>19</v>
      </c>
      <c r="M1876" t="s">
        <v>60</v>
      </c>
      <c r="N1876" t="s">
        <v>21</v>
      </c>
      <c r="O1876" t="s">
        <v>22</v>
      </c>
      <c r="P1876" t="s">
        <v>18</v>
      </c>
      <c r="Q1876">
        <f>Table1[[#This Row],[Course_Fee_AED]]-Table1[[#This Row],[Amount_Paid_AED]]</f>
        <v>2</v>
      </c>
      <c r="R1876">
        <f>Table1[[#This Row],[Course_Fee_AED]]-Table1[[#This Row],[pending Revenue]]</f>
        <v>4863</v>
      </c>
    </row>
    <row r="1877" spans="1:18" x14ac:dyDescent="0.25">
      <c r="A1877" t="s">
        <v>1954</v>
      </c>
      <c r="B1877" s="2">
        <v>45488</v>
      </c>
      <c r="C1877" t="s">
        <v>113</v>
      </c>
      <c r="D1877" t="s">
        <v>93</v>
      </c>
      <c r="E1877" t="s">
        <v>26</v>
      </c>
      <c r="F1877" s="5">
        <v>3</v>
      </c>
      <c r="G1877" s="5">
        <v>1</v>
      </c>
      <c r="H1877" s="5">
        <v>3313</v>
      </c>
      <c r="I1877" s="5">
        <v>3</v>
      </c>
      <c r="J1877" s="5">
        <v>3312</v>
      </c>
      <c r="K1877" t="s">
        <v>18</v>
      </c>
      <c r="L1877" t="s">
        <v>40</v>
      </c>
      <c r="M1877" t="s">
        <v>20</v>
      </c>
      <c r="N1877" t="s">
        <v>61</v>
      </c>
      <c r="O1877" t="s">
        <v>71</v>
      </c>
      <c r="P1877" t="s">
        <v>36</v>
      </c>
      <c r="Q1877">
        <f>Table1[[#This Row],[Course_Fee_AED]]-Table1[[#This Row],[Amount_Paid_AED]]</f>
        <v>1</v>
      </c>
      <c r="R1877">
        <f>Table1[[#This Row],[Course_Fee_AED]]-Table1[[#This Row],[pending Revenue]]</f>
        <v>3312</v>
      </c>
    </row>
    <row r="1878" spans="1:18" x14ac:dyDescent="0.25">
      <c r="A1878" t="s">
        <v>1955</v>
      </c>
      <c r="B1878" s="2">
        <v>45535</v>
      </c>
      <c r="C1878" t="s">
        <v>15</v>
      </c>
      <c r="D1878" t="s">
        <v>16</v>
      </c>
      <c r="E1878" t="s">
        <v>26</v>
      </c>
      <c r="F1878" s="5">
        <v>3</v>
      </c>
      <c r="G1878" s="5">
        <v>1</v>
      </c>
      <c r="H1878" s="5">
        <v>5433</v>
      </c>
      <c r="I1878" s="5">
        <v>3</v>
      </c>
      <c r="J1878" s="5">
        <v>5433</v>
      </c>
      <c r="K1878" t="s">
        <v>33</v>
      </c>
      <c r="L1878" t="s">
        <v>19</v>
      </c>
      <c r="M1878" t="s">
        <v>47</v>
      </c>
      <c r="N1878" t="s">
        <v>116</v>
      </c>
      <c r="O1878" t="s">
        <v>35</v>
      </c>
      <c r="P1878" t="s">
        <v>36</v>
      </c>
      <c r="Q1878">
        <f>Table1[[#This Row],[Course_Fee_AED]]-Table1[[#This Row],[Amount_Paid_AED]]</f>
        <v>0</v>
      </c>
      <c r="R1878">
        <f>Table1[[#This Row],[Course_Fee_AED]]-Table1[[#This Row],[pending Revenue]]</f>
        <v>5433</v>
      </c>
    </row>
    <row r="1879" spans="1:18" x14ac:dyDescent="0.25">
      <c r="A1879" t="s">
        <v>1956</v>
      </c>
      <c r="B1879" s="2">
        <v>45317</v>
      </c>
      <c r="C1879" t="s">
        <v>55</v>
      </c>
      <c r="D1879" t="s">
        <v>56</v>
      </c>
      <c r="E1879" t="s">
        <v>26</v>
      </c>
      <c r="F1879" s="5">
        <v>3</v>
      </c>
      <c r="G1879" s="5">
        <v>1</v>
      </c>
      <c r="H1879" s="5">
        <v>11655</v>
      </c>
      <c r="I1879" s="5">
        <v>2</v>
      </c>
      <c r="J1879" s="5">
        <v>7770</v>
      </c>
      <c r="K1879" t="s">
        <v>18</v>
      </c>
      <c r="L1879" t="s">
        <v>57</v>
      </c>
      <c r="M1879" t="s">
        <v>63</v>
      </c>
      <c r="N1879" t="s">
        <v>73</v>
      </c>
      <c r="O1879" t="s">
        <v>22</v>
      </c>
      <c r="P1879" t="s">
        <v>18</v>
      </c>
      <c r="Q1879">
        <f>Table1[[#This Row],[Course_Fee_AED]]-Table1[[#This Row],[Amount_Paid_AED]]</f>
        <v>3885</v>
      </c>
      <c r="R1879">
        <f>Table1[[#This Row],[Course_Fee_AED]]-Table1[[#This Row],[pending Revenue]]</f>
        <v>7770</v>
      </c>
    </row>
    <row r="1880" spans="1:18" x14ac:dyDescent="0.25">
      <c r="A1880" t="s">
        <v>1957</v>
      </c>
      <c r="B1880" s="2">
        <v>45566</v>
      </c>
      <c r="C1880" t="s">
        <v>82</v>
      </c>
      <c r="D1880" t="s">
        <v>83</v>
      </c>
      <c r="E1880" t="s">
        <v>17</v>
      </c>
      <c r="F1880" s="5">
        <v>6</v>
      </c>
      <c r="G1880" s="5">
        <v>1</v>
      </c>
      <c r="H1880" s="5">
        <v>8162</v>
      </c>
      <c r="I1880" s="5">
        <v>3</v>
      </c>
      <c r="J1880" s="5">
        <v>8160</v>
      </c>
      <c r="K1880" t="s">
        <v>18</v>
      </c>
      <c r="L1880" t="s">
        <v>57</v>
      </c>
      <c r="M1880" t="s">
        <v>41</v>
      </c>
      <c r="N1880" t="s">
        <v>73</v>
      </c>
      <c r="O1880" t="s">
        <v>29</v>
      </c>
      <c r="P1880" t="s">
        <v>18</v>
      </c>
      <c r="Q1880">
        <f>Table1[[#This Row],[Course_Fee_AED]]-Table1[[#This Row],[Amount_Paid_AED]]</f>
        <v>2</v>
      </c>
      <c r="R1880">
        <f>Table1[[#This Row],[Course_Fee_AED]]-Table1[[#This Row],[pending Revenue]]</f>
        <v>8160</v>
      </c>
    </row>
    <row r="1881" spans="1:18" x14ac:dyDescent="0.25">
      <c r="A1881" t="s">
        <v>1958</v>
      </c>
      <c r="B1881" s="2">
        <v>45304</v>
      </c>
      <c r="C1881" t="s">
        <v>55</v>
      </c>
      <c r="D1881" t="s">
        <v>56</v>
      </c>
      <c r="E1881" t="s">
        <v>17</v>
      </c>
      <c r="F1881" s="5">
        <v>6</v>
      </c>
      <c r="G1881" s="5">
        <v>1</v>
      </c>
      <c r="H1881" s="5">
        <v>10294</v>
      </c>
      <c r="I1881" s="5">
        <v>1</v>
      </c>
      <c r="J1881" s="5">
        <v>3431</v>
      </c>
      <c r="K1881" t="s">
        <v>18</v>
      </c>
      <c r="L1881" t="s">
        <v>57</v>
      </c>
      <c r="M1881" t="s">
        <v>41</v>
      </c>
      <c r="N1881" t="s">
        <v>95</v>
      </c>
      <c r="O1881" t="s">
        <v>68</v>
      </c>
      <c r="P1881" t="s">
        <v>18</v>
      </c>
      <c r="Q1881">
        <f>Table1[[#This Row],[Course_Fee_AED]]-Table1[[#This Row],[Amount_Paid_AED]]</f>
        <v>6863</v>
      </c>
      <c r="R1881">
        <f>Table1[[#This Row],[Course_Fee_AED]]-Table1[[#This Row],[pending Revenue]]</f>
        <v>3431</v>
      </c>
    </row>
    <row r="1882" spans="1:18" x14ac:dyDescent="0.25">
      <c r="A1882" t="s">
        <v>1959</v>
      </c>
      <c r="B1882" s="2">
        <v>45484</v>
      </c>
      <c r="C1882" t="s">
        <v>75</v>
      </c>
      <c r="D1882" t="s">
        <v>76</v>
      </c>
      <c r="E1882" t="s">
        <v>17</v>
      </c>
      <c r="F1882" s="5">
        <v>6</v>
      </c>
      <c r="G1882" s="5">
        <v>1</v>
      </c>
      <c r="H1882" s="5">
        <v>7326</v>
      </c>
      <c r="I1882" s="5">
        <v>1</v>
      </c>
      <c r="J1882" s="5">
        <v>2442</v>
      </c>
      <c r="K1882" t="s">
        <v>18</v>
      </c>
      <c r="L1882" t="s">
        <v>57</v>
      </c>
      <c r="M1882" t="s">
        <v>60</v>
      </c>
      <c r="N1882" t="s">
        <v>79</v>
      </c>
      <c r="O1882" t="s">
        <v>87</v>
      </c>
      <c r="P1882" t="s">
        <v>36</v>
      </c>
      <c r="Q1882">
        <f>Table1[[#This Row],[Course_Fee_AED]]-Table1[[#This Row],[Amount_Paid_AED]]</f>
        <v>4884</v>
      </c>
      <c r="R1882">
        <f>Table1[[#This Row],[Course_Fee_AED]]-Table1[[#This Row],[pending Revenue]]</f>
        <v>2442</v>
      </c>
    </row>
    <row r="1883" spans="1:18" x14ac:dyDescent="0.25">
      <c r="A1883" t="s">
        <v>1960</v>
      </c>
      <c r="B1883" s="2">
        <v>45458</v>
      </c>
      <c r="C1883" t="s">
        <v>100</v>
      </c>
      <c r="D1883" t="s">
        <v>101</v>
      </c>
      <c r="E1883" t="s">
        <v>17</v>
      </c>
      <c r="F1883" s="5">
        <v>6</v>
      </c>
      <c r="G1883" s="5">
        <v>1</v>
      </c>
      <c r="H1883" s="5">
        <v>5268</v>
      </c>
      <c r="I1883" s="5">
        <v>3</v>
      </c>
      <c r="J1883" s="5">
        <v>5268</v>
      </c>
      <c r="K1883" t="s">
        <v>33</v>
      </c>
      <c r="L1883" t="s">
        <v>40</v>
      </c>
      <c r="M1883" t="s">
        <v>47</v>
      </c>
      <c r="N1883" t="s">
        <v>79</v>
      </c>
      <c r="O1883" t="s">
        <v>43</v>
      </c>
      <c r="P1883" t="s">
        <v>36</v>
      </c>
      <c r="Q1883">
        <f>Table1[[#This Row],[Course_Fee_AED]]-Table1[[#This Row],[Amount_Paid_AED]]</f>
        <v>0</v>
      </c>
      <c r="R1883">
        <f>Table1[[#This Row],[Course_Fee_AED]]-Table1[[#This Row],[pending Revenue]]</f>
        <v>5268</v>
      </c>
    </row>
    <row r="1884" spans="1:18" x14ac:dyDescent="0.25">
      <c r="A1884" t="s">
        <v>1961</v>
      </c>
      <c r="B1884" s="2">
        <v>45448</v>
      </c>
      <c r="C1884" t="s">
        <v>100</v>
      </c>
      <c r="D1884" t="s">
        <v>101</v>
      </c>
      <c r="E1884" t="s">
        <v>17</v>
      </c>
      <c r="F1884" s="5">
        <v>6</v>
      </c>
      <c r="G1884" s="5">
        <v>1</v>
      </c>
      <c r="H1884" s="5">
        <v>5246</v>
      </c>
      <c r="I1884" s="5">
        <v>1</v>
      </c>
      <c r="J1884" s="5">
        <v>1748</v>
      </c>
      <c r="K1884" t="s">
        <v>18</v>
      </c>
      <c r="L1884" t="s">
        <v>19</v>
      </c>
      <c r="M1884" t="s">
        <v>60</v>
      </c>
      <c r="N1884" t="s">
        <v>154</v>
      </c>
      <c r="O1884" t="s">
        <v>49</v>
      </c>
      <c r="P1884" t="s">
        <v>18</v>
      </c>
      <c r="Q1884">
        <f>Table1[[#This Row],[Course_Fee_AED]]-Table1[[#This Row],[Amount_Paid_AED]]</f>
        <v>3498</v>
      </c>
      <c r="R1884">
        <f>Table1[[#This Row],[Course_Fee_AED]]-Table1[[#This Row],[pending Revenue]]</f>
        <v>1748</v>
      </c>
    </row>
    <row r="1885" spans="1:18" x14ac:dyDescent="0.25">
      <c r="A1885" t="s">
        <v>1962</v>
      </c>
      <c r="B1885" s="2">
        <v>45364</v>
      </c>
      <c r="C1885" t="s">
        <v>82</v>
      </c>
      <c r="D1885" t="s">
        <v>83</v>
      </c>
      <c r="E1885" t="s">
        <v>17</v>
      </c>
      <c r="F1885" s="5">
        <v>6</v>
      </c>
      <c r="G1885" s="5">
        <v>1</v>
      </c>
      <c r="H1885" s="5">
        <v>10905</v>
      </c>
      <c r="I1885" s="5">
        <v>3</v>
      </c>
      <c r="J1885" s="5">
        <v>10905</v>
      </c>
      <c r="K1885" t="s">
        <v>33</v>
      </c>
      <c r="L1885" t="s">
        <v>40</v>
      </c>
      <c r="M1885" t="s">
        <v>63</v>
      </c>
      <c r="N1885" t="s">
        <v>42</v>
      </c>
      <c r="O1885" t="s">
        <v>71</v>
      </c>
      <c r="P1885" t="s">
        <v>36</v>
      </c>
      <c r="Q1885">
        <f>Table1[[#This Row],[Course_Fee_AED]]-Table1[[#This Row],[Amount_Paid_AED]]</f>
        <v>0</v>
      </c>
      <c r="R1885">
        <f>Table1[[#This Row],[Course_Fee_AED]]-Table1[[#This Row],[pending Revenue]]</f>
        <v>10905</v>
      </c>
    </row>
    <row r="1886" spans="1:18" x14ac:dyDescent="0.25">
      <c r="A1886" t="s">
        <v>1963</v>
      </c>
      <c r="B1886" s="2">
        <v>45639</v>
      </c>
      <c r="C1886" t="s">
        <v>45</v>
      </c>
      <c r="D1886" t="s">
        <v>46</v>
      </c>
      <c r="E1886" t="s">
        <v>17</v>
      </c>
      <c r="F1886" s="5">
        <v>6</v>
      </c>
      <c r="G1886" s="5">
        <v>1</v>
      </c>
      <c r="H1886" s="5">
        <v>4020</v>
      </c>
      <c r="I1886" s="5">
        <v>1</v>
      </c>
      <c r="J1886" s="5">
        <v>1340</v>
      </c>
      <c r="K1886" t="s">
        <v>18</v>
      </c>
      <c r="L1886" t="s">
        <v>57</v>
      </c>
      <c r="M1886" t="s">
        <v>20</v>
      </c>
      <c r="N1886" t="s">
        <v>70</v>
      </c>
      <c r="O1886" t="s">
        <v>58</v>
      </c>
      <c r="P1886" t="s">
        <v>36</v>
      </c>
      <c r="Q1886">
        <f>Table1[[#This Row],[Course_Fee_AED]]-Table1[[#This Row],[Amount_Paid_AED]]</f>
        <v>2680</v>
      </c>
      <c r="R1886">
        <f>Table1[[#This Row],[Course_Fee_AED]]-Table1[[#This Row],[pending Revenue]]</f>
        <v>1340</v>
      </c>
    </row>
    <row r="1887" spans="1:18" x14ac:dyDescent="0.25">
      <c r="A1887" t="s">
        <v>1964</v>
      </c>
      <c r="B1887" s="2">
        <v>45458</v>
      </c>
      <c r="C1887" t="s">
        <v>82</v>
      </c>
      <c r="D1887" t="s">
        <v>83</v>
      </c>
      <c r="E1887" t="s">
        <v>26</v>
      </c>
      <c r="F1887" s="5">
        <v>3</v>
      </c>
      <c r="G1887" s="5">
        <v>1</v>
      </c>
      <c r="H1887" s="5">
        <v>12076</v>
      </c>
      <c r="I1887" s="5">
        <v>2</v>
      </c>
      <c r="J1887" s="5">
        <v>8050</v>
      </c>
      <c r="K1887" t="s">
        <v>18</v>
      </c>
      <c r="L1887" t="s">
        <v>40</v>
      </c>
      <c r="M1887" t="s">
        <v>60</v>
      </c>
      <c r="N1887" t="s">
        <v>21</v>
      </c>
      <c r="O1887" t="s">
        <v>87</v>
      </c>
      <c r="P1887" t="s">
        <v>18</v>
      </c>
      <c r="Q1887">
        <f>Table1[[#This Row],[Course_Fee_AED]]-Table1[[#This Row],[Amount_Paid_AED]]</f>
        <v>4026</v>
      </c>
      <c r="R1887">
        <f>Table1[[#This Row],[Course_Fee_AED]]-Table1[[#This Row],[pending Revenue]]</f>
        <v>8050</v>
      </c>
    </row>
    <row r="1888" spans="1:18" x14ac:dyDescent="0.25">
      <c r="A1888" t="s">
        <v>1965</v>
      </c>
      <c r="B1888" s="2">
        <v>45344</v>
      </c>
      <c r="C1888" t="s">
        <v>82</v>
      </c>
      <c r="D1888" t="s">
        <v>83</v>
      </c>
      <c r="E1888" t="s">
        <v>26</v>
      </c>
      <c r="F1888" s="5">
        <v>3</v>
      </c>
      <c r="G1888" s="5">
        <v>1</v>
      </c>
      <c r="H1888" s="5">
        <v>10343</v>
      </c>
      <c r="I1888" s="5">
        <v>2</v>
      </c>
      <c r="J1888" s="5">
        <v>6894</v>
      </c>
      <c r="K1888" t="s">
        <v>18</v>
      </c>
      <c r="L1888" t="s">
        <v>19</v>
      </c>
      <c r="M1888" t="s">
        <v>63</v>
      </c>
      <c r="N1888" t="s">
        <v>73</v>
      </c>
      <c r="O1888" t="s">
        <v>43</v>
      </c>
      <c r="P1888" t="s">
        <v>18</v>
      </c>
      <c r="Q1888">
        <f>Table1[[#This Row],[Course_Fee_AED]]-Table1[[#This Row],[Amount_Paid_AED]]</f>
        <v>3449</v>
      </c>
      <c r="R1888">
        <f>Table1[[#This Row],[Course_Fee_AED]]-Table1[[#This Row],[pending Revenue]]</f>
        <v>6894</v>
      </c>
    </row>
    <row r="1889" spans="1:18" x14ac:dyDescent="0.25">
      <c r="A1889" t="s">
        <v>1966</v>
      </c>
      <c r="B1889" s="2">
        <v>45327</v>
      </c>
      <c r="C1889" t="s">
        <v>38</v>
      </c>
      <c r="D1889" t="s">
        <v>39</v>
      </c>
      <c r="E1889" t="s">
        <v>17</v>
      </c>
      <c r="F1889" s="5">
        <v>6</v>
      </c>
      <c r="G1889" s="5">
        <v>1</v>
      </c>
      <c r="H1889" s="5">
        <v>4460</v>
      </c>
      <c r="I1889" s="5">
        <v>1</v>
      </c>
      <c r="J1889" s="5">
        <v>1486</v>
      </c>
      <c r="K1889" t="s">
        <v>18</v>
      </c>
      <c r="L1889" t="s">
        <v>40</v>
      </c>
      <c r="M1889" t="s">
        <v>63</v>
      </c>
      <c r="N1889" t="s">
        <v>79</v>
      </c>
      <c r="O1889" t="s">
        <v>49</v>
      </c>
      <c r="P1889" t="s">
        <v>36</v>
      </c>
      <c r="Q1889">
        <f>Table1[[#This Row],[Course_Fee_AED]]-Table1[[#This Row],[Amount_Paid_AED]]</f>
        <v>2974</v>
      </c>
      <c r="R1889">
        <f>Table1[[#This Row],[Course_Fee_AED]]-Table1[[#This Row],[pending Revenue]]</f>
        <v>1486</v>
      </c>
    </row>
    <row r="1890" spans="1:18" x14ac:dyDescent="0.25">
      <c r="A1890" t="s">
        <v>1967</v>
      </c>
      <c r="B1890" s="2">
        <v>45350</v>
      </c>
      <c r="C1890" t="s">
        <v>24</v>
      </c>
      <c r="D1890" t="s">
        <v>25</v>
      </c>
      <c r="E1890" t="s">
        <v>26</v>
      </c>
      <c r="F1890" s="5">
        <v>3</v>
      </c>
      <c r="G1890" s="5">
        <v>1</v>
      </c>
      <c r="H1890" s="5">
        <v>5265</v>
      </c>
      <c r="I1890" s="5">
        <v>3</v>
      </c>
      <c r="J1890" s="5">
        <v>5265</v>
      </c>
      <c r="K1890" t="s">
        <v>33</v>
      </c>
      <c r="L1890" t="s">
        <v>40</v>
      </c>
      <c r="M1890" t="s">
        <v>20</v>
      </c>
      <c r="N1890" t="s">
        <v>79</v>
      </c>
      <c r="O1890" t="s">
        <v>64</v>
      </c>
      <c r="P1890" t="s">
        <v>18</v>
      </c>
      <c r="Q1890">
        <f>Table1[[#This Row],[Course_Fee_AED]]-Table1[[#This Row],[Amount_Paid_AED]]</f>
        <v>0</v>
      </c>
      <c r="R1890">
        <f>Table1[[#This Row],[Course_Fee_AED]]-Table1[[#This Row],[pending Revenue]]</f>
        <v>5265</v>
      </c>
    </row>
    <row r="1891" spans="1:18" x14ac:dyDescent="0.25">
      <c r="A1891" t="s">
        <v>1968</v>
      </c>
      <c r="B1891" s="2">
        <v>45613</v>
      </c>
      <c r="C1891" t="s">
        <v>38</v>
      </c>
      <c r="D1891" t="s">
        <v>39</v>
      </c>
      <c r="E1891" t="s">
        <v>26</v>
      </c>
      <c r="F1891" s="5">
        <v>3</v>
      </c>
      <c r="G1891" s="5">
        <v>1</v>
      </c>
      <c r="H1891" s="5">
        <v>6815</v>
      </c>
      <c r="I1891" s="5">
        <v>1</v>
      </c>
      <c r="J1891" s="5">
        <v>2271</v>
      </c>
      <c r="K1891" t="s">
        <v>18</v>
      </c>
      <c r="L1891" t="s">
        <v>19</v>
      </c>
      <c r="M1891" t="s">
        <v>41</v>
      </c>
      <c r="N1891" t="s">
        <v>154</v>
      </c>
      <c r="O1891" t="s">
        <v>64</v>
      </c>
      <c r="P1891" t="s">
        <v>36</v>
      </c>
      <c r="Q1891">
        <f>Table1[[#This Row],[Course_Fee_AED]]-Table1[[#This Row],[Amount_Paid_AED]]</f>
        <v>4544</v>
      </c>
      <c r="R1891">
        <f>Table1[[#This Row],[Course_Fee_AED]]-Table1[[#This Row],[pending Revenue]]</f>
        <v>2271</v>
      </c>
    </row>
    <row r="1892" spans="1:18" x14ac:dyDescent="0.25">
      <c r="A1892" t="s">
        <v>1969</v>
      </c>
      <c r="B1892" s="2">
        <v>45426</v>
      </c>
      <c r="C1892" t="s">
        <v>45</v>
      </c>
      <c r="D1892" t="s">
        <v>46</v>
      </c>
      <c r="E1892" t="s">
        <v>17</v>
      </c>
      <c r="F1892" s="5">
        <v>6</v>
      </c>
      <c r="G1892" s="5">
        <v>1</v>
      </c>
      <c r="H1892" s="5">
        <v>5834</v>
      </c>
      <c r="I1892" s="5">
        <v>2</v>
      </c>
      <c r="J1892" s="5">
        <v>3888</v>
      </c>
      <c r="K1892" t="s">
        <v>18</v>
      </c>
      <c r="L1892" t="s">
        <v>57</v>
      </c>
      <c r="M1892" t="s">
        <v>20</v>
      </c>
      <c r="N1892" t="s">
        <v>116</v>
      </c>
      <c r="O1892" t="s">
        <v>29</v>
      </c>
      <c r="P1892" t="s">
        <v>36</v>
      </c>
      <c r="Q1892">
        <f>Table1[[#This Row],[Course_Fee_AED]]-Table1[[#This Row],[Amount_Paid_AED]]</f>
        <v>1946</v>
      </c>
      <c r="R1892">
        <f>Table1[[#This Row],[Course_Fee_AED]]-Table1[[#This Row],[pending Revenue]]</f>
        <v>3888</v>
      </c>
    </row>
    <row r="1893" spans="1:18" x14ac:dyDescent="0.25">
      <c r="A1893" t="s">
        <v>1970</v>
      </c>
      <c r="B1893" s="2">
        <v>45335</v>
      </c>
      <c r="C1893" t="s">
        <v>106</v>
      </c>
      <c r="D1893" t="s">
        <v>107</v>
      </c>
      <c r="E1893" t="s">
        <v>17</v>
      </c>
      <c r="F1893" s="5">
        <v>6</v>
      </c>
      <c r="G1893" s="5">
        <v>1</v>
      </c>
      <c r="H1893" s="5">
        <v>5062</v>
      </c>
      <c r="I1893" s="5">
        <v>3</v>
      </c>
      <c r="J1893" s="5">
        <v>5061</v>
      </c>
      <c r="K1893" t="s">
        <v>18</v>
      </c>
      <c r="L1893" t="s">
        <v>40</v>
      </c>
      <c r="M1893" t="s">
        <v>20</v>
      </c>
      <c r="N1893" t="s">
        <v>73</v>
      </c>
      <c r="O1893" t="s">
        <v>35</v>
      </c>
      <c r="P1893" t="s">
        <v>36</v>
      </c>
      <c r="Q1893">
        <f>Table1[[#This Row],[Course_Fee_AED]]-Table1[[#This Row],[Amount_Paid_AED]]</f>
        <v>1</v>
      </c>
      <c r="R1893">
        <f>Table1[[#This Row],[Course_Fee_AED]]-Table1[[#This Row],[pending Revenue]]</f>
        <v>5061</v>
      </c>
    </row>
    <row r="1894" spans="1:18" x14ac:dyDescent="0.25">
      <c r="A1894" t="s">
        <v>1971</v>
      </c>
      <c r="B1894" s="2">
        <v>45657</v>
      </c>
      <c r="C1894" t="s">
        <v>51</v>
      </c>
      <c r="D1894" t="s">
        <v>52</v>
      </c>
      <c r="E1894" t="s">
        <v>17</v>
      </c>
      <c r="F1894" s="5">
        <v>6</v>
      </c>
      <c r="G1894" s="5">
        <v>1</v>
      </c>
      <c r="H1894" s="5">
        <v>5701</v>
      </c>
      <c r="I1894" s="5">
        <v>2</v>
      </c>
      <c r="J1894" s="5">
        <v>3800</v>
      </c>
      <c r="K1894" t="s">
        <v>18</v>
      </c>
      <c r="L1894" t="s">
        <v>57</v>
      </c>
      <c r="M1894" t="s">
        <v>41</v>
      </c>
      <c r="N1894" t="s">
        <v>61</v>
      </c>
      <c r="O1894" t="s">
        <v>29</v>
      </c>
      <c r="P1894" t="s">
        <v>36</v>
      </c>
      <c r="Q1894">
        <f>Table1[[#This Row],[Course_Fee_AED]]-Table1[[#This Row],[Amount_Paid_AED]]</f>
        <v>1901</v>
      </c>
      <c r="R1894">
        <f>Table1[[#This Row],[Course_Fee_AED]]-Table1[[#This Row],[pending Revenue]]</f>
        <v>3800</v>
      </c>
    </row>
    <row r="1895" spans="1:18" x14ac:dyDescent="0.25">
      <c r="A1895" t="s">
        <v>1972</v>
      </c>
      <c r="B1895" s="2">
        <v>45639</v>
      </c>
      <c r="C1895" t="s">
        <v>24</v>
      </c>
      <c r="D1895" t="s">
        <v>25</v>
      </c>
      <c r="E1895" t="s">
        <v>17</v>
      </c>
      <c r="F1895" s="5">
        <v>6</v>
      </c>
      <c r="G1895" s="5">
        <v>1</v>
      </c>
      <c r="H1895" s="5">
        <v>5414</v>
      </c>
      <c r="I1895" s="5">
        <v>1</v>
      </c>
      <c r="J1895" s="5">
        <v>1804</v>
      </c>
      <c r="K1895" t="s">
        <v>18</v>
      </c>
      <c r="L1895" t="s">
        <v>19</v>
      </c>
      <c r="M1895" t="s">
        <v>47</v>
      </c>
      <c r="N1895" t="s">
        <v>70</v>
      </c>
      <c r="O1895" t="s">
        <v>49</v>
      </c>
      <c r="P1895" t="s">
        <v>36</v>
      </c>
      <c r="Q1895">
        <f>Table1[[#This Row],[Course_Fee_AED]]-Table1[[#This Row],[Amount_Paid_AED]]</f>
        <v>3610</v>
      </c>
      <c r="R1895">
        <f>Table1[[#This Row],[Course_Fee_AED]]-Table1[[#This Row],[pending Revenue]]</f>
        <v>1804</v>
      </c>
    </row>
    <row r="1896" spans="1:18" x14ac:dyDescent="0.25">
      <c r="A1896" t="s">
        <v>1973</v>
      </c>
      <c r="B1896" s="2">
        <v>45525</v>
      </c>
      <c r="C1896" t="s">
        <v>113</v>
      </c>
      <c r="D1896" t="s">
        <v>93</v>
      </c>
      <c r="E1896" t="s">
        <v>17</v>
      </c>
      <c r="F1896" s="5">
        <v>6</v>
      </c>
      <c r="G1896" s="5">
        <v>1</v>
      </c>
      <c r="H1896" s="5">
        <v>3729</v>
      </c>
      <c r="I1896" s="5">
        <v>3</v>
      </c>
      <c r="J1896" s="5">
        <v>3729</v>
      </c>
      <c r="K1896" t="s">
        <v>33</v>
      </c>
      <c r="L1896" t="s">
        <v>40</v>
      </c>
      <c r="M1896" t="s">
        <v>27</v>
      </c>
      <c r="N1896" t="s">
        <v>154</v>
      </c>
      <c r="O1896" t="s">
        <v>71</v>
      </c>
      <c r="P1896" t="s">
        <v>36</v>
      </c>
      <c r="Q1896">
        <f>Table1[[#This Row],[Course_Fee_AED]]-Table1[[#This Row],[Amount_Paid_AED]]</f>
        <v>0</v>
      </c>
      <c r="R1896">
        <f>Table1[[#This Row],[Course_Fee_AED]]-Table1[[#This Row],[pending Revenue]]</f>
        <v>3729</v>
      </c>
    </row>
    <row r="1897" spans="1:18" x14ac:dyDescent="0.25">
      <c r="A1897" t="s">
        <v>1974</v>
      </c>
      <c r="B1897" s="2">
        <v>45524</v>
      </c>
      <c r="C1897" t="s">
        <v>113</v>
      </c>
      <c r="D1897" t="s">
        <v>93</v>
      </c>
      <c r="E1897" t="s">
        <v>26</v>
      </c>
      <c r="F1897" s="5">
        <v>3</v>
      </c>
      <c r="G1897" s="5">
        <v>1</v>
      </c>
      <c r="H1897" s="5">
        <v>4677</v>
      </c>
      <c r="I1897" s="5">
        <v>3</v>
      </c>
      <c r="J1897" s="5">
        <v>4677</v>
      </c>
      <c r="K1897" t="s">
        <v>33</v>
      </c>
      <c r="L1897" t="s">
        <v>40</v>
      </c>
      <c r="M1897" t="s">
        <v>60</v>
      </c>
      <c r="N1897" t="s">
        <v>53</v>
      </c>
      <c r="O1897" t="s">
        <v>29</v>
      </c>
      <c r="P1897" t="s">
        <v>18</v>
      </c>
      <c r="Q1897">
        <f>Table1[[#This Row],[Course_Fee_AED]]-Table1[[#This Row],[Amount_Paid_AED]]</f>
        <v>0</v>
      </c>
      <c r="R1897">
        <f>Table1[[#This Row],[Course_Fee_AED]]-Table1[[#This Row],[pending Revenue]]</f>
        <v>4677</v>
      </c>
    </row>
    <row r="1898" spans="1:18" x14ac:dyDescent="0.25">
      <c r="A1898" t="s">
        <v>1975</v>
      </c>
      <c r="B1898" s="2">
        <v>45644</v>
      </c>
      <c r="C1898" t="s">
        <v>75</v>
      </c>
      <c r="D1898" t="s">
        <v>76</v>
      </c>
      <c r="E1898" t="s">
        <v>17</v>
      </c>
      <c r="F1898" s="5">
        <v>6</v>
      </c>
      <c r="G1898" s="5">
        <v>1</v>
      </c>
      <c r="H1898" s="5">
        <v>12378</v>
      </c>
      <c r="I1898" s="5">
        <v>1</v>
      </c>
      <c r="J1898" s="5">
        <v>4126</v>
      </c>
      <c r="K1898" t="s">
        <v>18</v>
      </c>
      <c r="L1898" t="s">
        <v>40</v>
      </c>
      <c r="M1898" t="s">
        <v>20</v>
      </c>
      <c r="N1898" t="s">
        <v>116</v>
      </c>
      <c r="O1898" t="s">
        <v>71</v>
      </c>
      <c r="P1898" t="s">
        <v>36</v>
      </c>
      <c r="Q1898">
        <f>Table1[[#This Row],[Course_Fee_AED]]-Table1[[#This Row],[Amount_Paid_AED]]</f>
        <v>8252</v>
      </c>
      <c r="R1898">
        <f>Table1[[#This Row],[Course_Fee_AED]]-Table1[[#This Row],[pending Revenue]]</f>
        <v>4126</v>
      </c>
    </row>
    <row r="1899" spans="1:18" x14ac:dyDescent="0.25">
      <c r="A1899" t="s">
        <v>1976</v>
      </c>
      <c r="B1899" s="2">
        <v>45625</v>
      </c>
      <c r="C1899" t="s">
        <v>113</v>
      </c>
      <c r="D1899" t="s">
        <v>93</v>
      </c>
      <c r="E1899" t="s">
        <v>17</v>
      </c>
      <c r="F1899" s="5">
        <v>6</v>
      </c>
      <c r="G1899" s="5">
        <v>1</v>
      </c>
      <c r="H1899" s="5">
        <v>3206</v>
      </c>
      <c r="I1899" s="5">
        <v>3</v>
      </c>
      <c r="J1899" s="5">
        <v>3204</v>
      </c>
      <c r="K1899" t="s">
        <v>18</v>
      </c>
      <c r="L1899" t="s">
        <v>19</v>
      </c>
      <c r="M1899" t="s">
        <v>41</v>
      </c>
      <c r="N1899" t="s">
        <v>116</v>
      </c>
      <c r="O1899" t="s">
        <v>29</v>
      </c>
      <c r="P1899" t="s">
        <v>36</v>
      </c>
      <c r="Q1899">
        <f>Table1[[#This Row],[Course_Fee_AED]]-Table1[[#This Row],[Amount_Paid_AED]]</f>
        <v>2</v>
      </c>
      <c r="R1899">
        <f>Table1[[#This Row],[Course_Fee_AED]]-Table1[[#This Row],[pending Revenue]]</f>
        <v>3204</v>
      </c>
    </row>
    <row r="1900" spans="1:18" x14ac:dyDescent="0.25">
      <c r="A1900" t="s">
        <v>1977</v>
      </c>
      <c r="B1900" s="2">
        <v>45550</v>
      </c>
      <c r="C1900" t="s">
        <v>106</v>
      </c>
      <c r="D1900" t="s">
        <v>107</v>
      </c>
      <c r="E1900" t="s">
        <v>17</v>
      </c>
      <c r="F1900" s="5">
        <v>6</v>
      </c>
      <c r="G1900" s="5">
        <v>1</v>
      </c>
      <c r="H1900" s="5">
        <v>5681</v>
      </c>
      <c r="I1900" s="5">
        <v>3</v>
      </c>
      <c r="J1900" s="5">
        <v>5679</v>
      </c>
      <c r="K1900" t="s">
        <v>18</v>
      </c>
      <c r="L1900" t="s">
        <v>57</v>
      </c>
      <c r="M1900" t="s">
        <v>20</v>
      </c>
      <c r="N1900" t="s">
        <v>61</v>
      </c>
      <c r="O1900" t="s">
        <v>64</v>
      </c>
      <c r="P1900" t="s">
        <v>36</v>
      </c>
      <c r="Q1900">
        <f>Table1[[#This Row],[Course_Fee_AED]]-Table1[[#This Row],[Amount_Paid_AED]]</f>
        <v>2</v>
      </c>
      <c r="R1900">
        <f>Table1[[#This Row],[Course_Fee_AED]]-Table1[[#This Row],[pending Revenue]]</f>
        <v>5679</v>
      </c>
    </row>
    <row r="1901" spans="1:18" x14ac:dyDescent="0.25">
      <c r="A1901" t="s">
        <v>1978</v>
      </c>
      <c r="B1901" s="2">
        <v>45533</v>
      </c>
      <c r="C1901" t="s">
        <v>55</v>
      </c>
      <c r="D1901" t="s">
        <v>56</v>
      </c>
      <c r="E1901" t="s">
        <v>17</v>
      </c>
      <c r="F1901" s="5">
        <v>6</v>
      </c>
      <c r="G1901" s="5">
        <v>1</v>
      </c>
      <c r="H1901" s="5">
        <v>8654</v>
      </c>
      <c r="I1901" s="5">
        <v>1</v>
      </c>
      <c r="J1901" s="5">
        <v>2884</v>
      </c>
      <c r="K1901" t="s">
        <v>18</v>
      </c>
      <c r="L1901" t="s">
        <v>57</v>
      </c>
      <c r="M1901" t="s">
        <v>60</v>
      </c>
      <c r="N1901" t="s">
        <v>53</v>
      </c>
      <c r="O1901" t="s">
        <v>71</v>
      </c>
      <c r="P1901" t="s">
        <v>18</v>
      </c>
      <c r="Q1901">
        <f>Table1[[#This Row],[Course_Fee_AED]]-Table1[[#This Row],[Amount_Paid_AED]]</f>
        <v>5770</v>
      </c>
      <c r="R1901">
        <f>Table1[[#This Row],[Course_Fee_AED]]-Table1[[#This Row],[pending Revenue]]</f>
        <v>2884</v>
      </c>
    </row>
    <row r="1902" spans="1:18" x14ac:dyDescent="0.25">
      <c r="A1902" t="s">
        <v>1979</v>
      </c>
      <c r="B1902" s="2">
        <v>45604</v>
      </c>
      <c r="C1902" t="s">
        <v>55</v>
      </c>
      <c r="D1902" t="s">
        <v>56</v>
      </c>
      <c r="E1902" t="s">
        <v>17</v>
      </c>
      <c r="F1902" s="5">
        <v>6</v>
      </c>
      <c r="G1902" s="5">
        <v>1</v>
      </c>
      <c r="H1902" s="5">
        <v>11756</v>
      </c>
      <c r="I1902" s="5">
        <v>3</v>
      </c>
      <c r="J1902" s="5">
        <v>11754</v>
      </c>
      <c r="K1902" t="s">
        <v>18</v>
      </c>
      <c r="L1902" t="s">
        <v>19</v>
      </c>
      <c r="M1902" t="s">
        <v>60</v>
      </c>
      <c r="N1902" t="s">
        <v>73</v>
      </c>
      <c r="O1902" t="s">
        <v>71</v>
      </c>
      <c r="P1902" t="s">
        <v>36</v>
      </c>
      <c r="Q1902">
        <f>Table1[[#This Row],[Course_Fee_AED]]-Table1[[#This Row],[Amount_Paid_AED]]</f>
        <v>2</v>
      </c>
      <c r="R1902">
        <f>Table1[[#This Row],[Course_Fee_AED]]-Table1[[#This Row],[pending Revenue]]</f>
        <v>11754</v>
      </c>
    </row>
    <row r="1903" spans="1:18" x14ac:dyDescent="0.25">
      <c r="A1903" t="s">
        <v>1980</v>
      </c>
      <c r="B1903" s="2">
        <v>45455</v>
      </c>
      <c r="C1903" t="s">
        <v>66</v>
      </c>
      <c r="D1903" t="s">
        <v>56</v>
      </c>
      <c r="E1903" t="s">
        <v>17</v>
      </c>
      <c r="F1903" s="5">
        <v>6</v>
      </c>
      <c r="G1903" s="5">
        <v>1</v>
      </c>
      <c r="H1903" s="5">
        <v>10574</v>
      </c>
      <c r="I1903" s="5">
        <v>2</v>
      </c>
      <c r="J1903" s="5">
        <v>7048</v>
      </c>
      <c r="K1903" t="s">
        <v>18</v>
      </c>
      <c r="L1903" t="s">
        <v>19</v>
      </c>
      <c r="M1903" t="s">
        <v>47</v>
      </c>
      <c r="N1903" t="s">
        <v>21</v>
      </c>
      <c r="O1903" t="s">
        <v>35</v>
      </c>
      <c r="P1903" t="s">
        <v>18</v>
      </c>
      <c r="Q1903">
        <f>Table1[[#This Row],[Course_Fee_AED]]-Table1[[#This Row],[Amount_Paid_AED]]</f>
        <v>3526</v>
      </c>
      <c r="R1903">
        <f>Table1[[#This Row],[Course_Fee_AED]]-Table1[[#This Row],[pending Revenue]]</f>
        <v>7048</v>
      </c>
    </row>
    <row r="1904" spans="1:18" x14ac:dyDescent="0.25">
      <c r="A1904" t="s">
        <v>1981</v>
      </c>
      <c r="B1904" s="2">
        <v>45654</v>
      </c>
      <c r="C1904" t="s">
        <v>38</v>
      </c>
      <c r="D1904" t="s">
        <v>39</v>
      </c>
      <c r="E1904" t="s">
        <v>17</v>
      </c>
      <c r="F1904" s="5">
        <v>6</v>
      </c>
      <c r="G1904" s="5">
        <v>1</v>
      </c>
      <c r="H1904" s="5">
        <v>5286</v>
      </c>
      <c r="I1904" s="5">
        <v>2</v>
      </c>
      <c r="J1904" s="5">
        <v>3524</v>
      </c>
      <c r="K1904" t="s">
        <v>18</v>
      </c>
      <c r="L1904" t="s">
        <v>40</v>
      </c>
      <c r="M1904" t="s">
        <v>63</v>
      </c>
      <c r="N1904" t="s">
        <v>154</v>
      </c>
      <c r="O1904" t="s">
        <v>43</v>
      </c>
      <c r="P1904" t="s">
        <v>18</v>
      </c>
      <c r="Q1904">
        <f>Table1[[#This Row],[Course_Fee_AED]]-Table1[[#This Row],[Amount_Paid_AED]]</f>
        <v>1762</v>
      </c>
      <c r="R1904">
        <f>Table1[[#This Row],[Course_Fee_AED]]-Table1[[#This Row],[pending Revenue]]</f>
        <v>3524</v>
      </c>
    </row>
    <row r="1905" spans="1:18" x14ac:dyDescent="0.25">
      <c r="A1905" t="s">
        <v>1982</v>
      </c>
      <c r="B1905" s="2">
        <v>45606</v>
      </c>
      <c r="C1905" t="s">
        <v>66</v>
      </c>
      <c r="D1905" t="s">
        <v>56</v>
      </c>
      <c r="E1905" t="s">
        <v>26</v>
      </c>
      <c r="F1905" s="5">
        <v>3</v>
      </c>
      <c r="G1905" s="5">
        <v>1</v>
      </c>
      <c r="H1905" s="5">
        <v>8304</v>
      </c>
      <c r="I1905" s="5">
        <v>1</v>
      </c>
      <c r="J1905" s="5">
        <v>2768</v>
      </c>
      <c r="K1905" t="s">
        <v>18</v>
      </c>
      <c r="L1905" t="s">
        <v>40</v>
      </c>
      <c r="M1905" t="s">
        <v>41</v>
      </c>
      <c r="N1905" t="s">
        <v>21</v>
      </c>
      <c r="O1905" t="s">
        <v>64</v>
      </c>
      <c r="P1905" t="s">
        <v>18</v>
      </c>
      <c r="Q1905">
        <f>Table1[[#This Row],[Course_Fee_AED]]-Table1[[#This Row],[Amount_Paid_AED]]</f>
        <v>5536</v>
      </c>
      <c r="R1905">
        <f>Table1[[#This Row],[Course_Fee_AED]]-Table1[[#This Row],[pending Revenue]]</f>
        <v>2768</v>
      </c>
    </row>
    <row r="1906" spans="1:18" x14ac:dyDescent="0.25">
      <c r="A1906" t="s">
        <v>1983</v>
      </c>
      <c r="B1906" s="2">
        <v>45555</v>
      </c>
      <c r="C1906" t="s">
        <v>51</v>
      </c>
      <c r="D1906" t="s">
        <v>52</v>
      </c>
      <c r="E1906" t="s">
        <v>26</v>
      </c>
      <c r="F1906" s="5">
        <v>3</v>
      </c>
      <c r="G1906" s="5">
        <v>1</v>
      </c>
      <c r="H1906" s="5">
        <v>5561</v>
      </c>
      <c r="I1906" s="5">
        <v>3</v>
      </c>
      <c r="J1906" s="5">
        <v>5559</v>
      </c>
      <c r="K1906" t="s">
        <v>18</v>
      </c>
      <c r="L1906" t="s">
        <v>57</v>
      </c>
      <c r="M1906" t="s">
        <v>63</v>
      </c>
      <c r="N1906" t="s">
        <v>48</v>
      </c>
      <c r="O1906" t="s">
        <v>68</v>
      </c>
      <c r="P1906" t="s">
        <v>36</v>
      </c>
      <c r="Q1906">
        <f>Table1[[#This Row],[Course_Fee_AED]]-Table1[[#This Row],[Amount_Paid_AED]]</f>
        <v>2</v>
      </c>
      <c r="R1906">
        <f>Table1[[#This Row],[Course_Fee_AED]]-Table1[[#This Row],[pending Revenue]]</f>
        <v>5559</v>
      </c>
    </row>
    <row r="1907" spans="1:18" x14ac:dyDescent="0.25">
      <c r="A1907" t="s">
        <v>1984</v>
      </c>
      <c r="B1907" s="2">
        <v>45512</v>
      </c>
      <c r="C1907" t="s">
        <v>82</v>
      </c>
      <c r="D1907" t="s">
        <v>83</v>
      </c>
      <c r="E1907" t="s">
        <v>26</v>
      </c>
      <c r="F1907" s="5">
        <v>3</v>
      </c>
      <c r="G1907" s="5">
        <v>1</v>
      </c>
      <c r="H1907" s="5">
        <v>14067</v>
      </c>
      <c r="I1907" s="5">
        <v>1</v>
      </c>
      <c r="J1907" s="5">
        <v>4689</v>
      </c>
      <c r="K1907" t="s">
        <v>18</v>
      </c>
      <c r="L1907" t="s">
        <v>19</v>
      </c>
      <c r="M1907" t="s">
        <v>47</v>
      </c>
      <c r="N1907" t="s">
        <v>90</v>
      </c>
      <c r="O1907" t="s">
        <v>58</v>
      </c>
      <c r="P1907" t="s">
        <v>18</v>
      </c>
      <c r="Q1907">
        <f>Table1[[#This Row],[Course_Fee_AED]]-Table1[[#This Row],[Amount_Paid_AED]]</f>
        <v>9378</v>
      </c>
      <c r="R1907">
        <f>Table1[[#This Row],[Course_Fee_AED]]-Table1[[#This Row],[pending Revenue]]</f>
        <v>4689</v>
      </c>
    </row>
    <row r="1908" spans="1:18" x14ac:dyDescent="0.25">
      <c r="A1908" t="s">
        <v>1985</v>
      </c>
      <c r="B1908" s="2">
        <v>45423</v>
      </c>
      <c r="C1908" t="s">
        <v>55</v>
      </c>
      <c r="D1908" t="s">
        <v>56</v>
      </c>
      <c r="E1908" t="s">
        <v>26</v>
      </c>
      <c r="F1908" s="5">
        <v>3</v>
      </c>
      <c r="G1908" s="5">
        <v>1</v>
      </c>
      <c r="H1908" s="5">
        <v>7555</v>
      </c>
      <c r="I1908" s="5">
        <v>2</v>
      </c>
      <c r="J1908" s="5">
        <v>5036</v>
      </c>
      <c r="K1908" t="s">
        <v>18</v>
      </c>
      <c r="L1908" t="s">
        <v>19</v>
      </c>
      <c r="M1908" t="s">
        <v>60</v>
      </c>
      <c r="N1908" t="s">
        <v>95</v>
      </c>
      <c r="O1908" t="s">
        <v>58</v>
      </c>
      <c r="P1908" t="s">
        <v>18</v>
      </c>
      <c r="Q1908">
        <f>Table1[[#This Row],[Course_Fee_AED]]-Table1[[#This Row],[Amount_Paid_AED]]</f>
        <v>2519</v>
      </c>
      <c r="R1908">
        <f>Table1[[#This Row],[Course_Fee_AED]]-Table1[[#This Row],[pending Revenue]]</f>
        <v>5036</v>
      </c>
    </row>
    <row r="1909" spans="1:18" x14ac:dyDescent="0.25">
      <c r="A1909" t="s">
        <v>1986</v>
      </c>
      <c r="B1909" s="2">
        <v>45397</v>
      </c>
      <c r="C1909" t="s">
        <v>66</v>
      </c>
      <c r="D1909" t="s">
        <v>56</v>
      </c>
      <c r="E1909" t="s">
        <v>17</v>
      </c>
      <c r="F1909" s="5">
        <v>6</v>
      </c>
      <c r="G1909" s="5">
        <v>1</v>
      </c>
      <c r="H1909" s="5">
        <v>11546</v>
      </c>
      <c r="I1909" s="5">
        <v>2</v>
      </c>
      <c r="J1909" s="5">
        <v>7696</v>
      </c>
      <c r="K1909" t="s">
        <v>18</v>
      </c>
      <c r="L1909" t="s">
        <v>19</v>
      </c>
      <c r="M1909" t="s">
        <v>47</v>
      </c>
      <c r="N1909" t="s">
        <v>42</v>
      </c>
      <c r="O1909" t="s">
        <v>29</v>
      </c>
      <c r="P1909" t="s">
        <v>18</v>
      </c>
      <c r="Q1909">
        <f>Table1[[#This Row],[Course_Fee_AED]]-Table1[[#This Row],[Amount_Paid_AED]]</f>
        <v>3850</v>
      </c>
      <c r="R1909">
        <f>Table1[[#This Row],[Course_Fee_AED]]-Table1[[#This Row],[pending Revenue]]</f>
        <v>7696</v>
      </c>
    </row>
    <row r="1910" spans="1:18" x14ac:dyDescent="0.25">
      <c r="A1910" t="s">
        <v>1987</v>
      </c>
      <c r="B1910" s="2">
        <v>45636</v>
      </c>
      <c r="C1910" t="s">
        <v>92</v>
      </c>
      <c r="D1910" t="s">
        <v>93</v>
      </c>
      <c r="E1910" t="s">
        <v>17</v>
      </c>
      <c r="F1910" s="5">
        <v>6</v>
      </c>
      <c r="G1910" s="5">
        <v>1</v>
      </c>
      <c r="H1910" s="5">
        <v>6809</v>
      </c>
      <c r="I1910" s="5">
        <v>1</v>
      </c>
      <c r="J1910" s="5">
        <v>2269</v>
      </c>
      <c r="K1910" t="s">
        <v>18</v>
      </c>
      <c r="L1910" t="s">
        <v>19</v>
      </c>
      <c r="M1910" t="s">
        <v>20</v>
      </c>
      <c r="N1910" t="s">
        <v>48</v>
      </c>
      <c r="O1910" t="s">
        <v>58</v>
      </c>
      <c r="P1910" t="s">
        <v>18</v>
      </c>
      <c r="Q1910">
        <f>Table1[[#This Row],[Course_Fee_AED]]-Table1[[#This Row],[Amount_Paid_AED]]</f>
        <v>4540</v>
      </c>
      <c r="R1910">
        <f>Table1[[#This Row],[Course_Fee_AED]]-Table1[[#This Row],[pending Revenue]]</f>
        <v>2269</v>
      </c>
    </row>
    <row r="1911" spans="1:18" x14ac:dyDescent="0.25">
      <c r="A1911" t="s">
        <v>1988</v>
      </c>
      <c r="B1911" s="2">
        <v>45471</v>
      </c>
      <c r="C1911" t="s">
        <v>55</v>
      </c>
      <c r="D1911" t="s">
        <v>56</v>
      </c>
      <c r="E1911" t="s">
        <v>17</v>
      </c>
      <c r="F1911" s="5">
        <v>6</v>
      </c>
      <c r="G1911" s="5">
        <v>1</v>
      </c>
      <c r="H1911" s="5">
        <v>10417</v>
      </c>
      <c r="I1911" s="5">
        <v>1</v>
      </c>
      <c r="J1911" s="5">
        <v>3472</v>
      </c>
      <c r="K1911" t="s">
        <v>18</v>
      </c>
      <c r="L1911" t="s">
        <v>19</v>
      </c>
      <c r="M1911" t="s">
        <v>63</v>
      </c>
      <c r="N1911" t="s">
        <v>116</v>
      </c>
      <c r="O1911" t="s">
        <v>43</v>
      </c>
      <c r="P1911" t="s">
        <v>36</v>
      </c>
      <c r="Q1911">
        <f>Table1[[#This Row],[Course_Fee_AED]]-Table1[[#This Row],[Amount_Paid_AED]]</f>
        <v>6945</v>
      </c>
      <c r="R1911">
        <f>Table1[[#This Row],[Course_Fee_AED]]-Table1[[#This Row],[pending Revenue]]</f>
        <v>3472</v>
      </c>
    </row>
    <row r="1912" spans="1:18" x14ac:dyDescent="0.25">
      <c r="A1912" t="s">
        <v>1989</v>
      </c>
      <c r="B1912" s="2">
        <v>45463</v>
      </c>
      <c r="C1912" t="s">
        <v>82</v>
      </c>
      <c r="D1912" t="s">
        <v>83</v>
      </c>
      <c r="E1912" t="s">
        <v>26</v>
      </c>
      <c r="F1912" s="5">
        <v>3</v>
      </c>
      <c r="G1912" s="5">
        <v>1</v>
      </c>
      <c r="H1912" s="5">
        <v>10198</v>
      </c>
      <c r="I1912" s="5">
        <v>3</v>
      </c>
      <c r="J1912" s="5">
        <v>10197</v>
      </c>
      <c r="K1912" t="s">
        <v>18</v>
      </c>
      <c r="L1912" t="s">
        <v>40</v>
      </c>
      <c r="M1912" t="s">
        <v>60</v>
      </c>
      <c r="N1912" t="s">
        <v>79</v>
      </c>
      <c r="O1912" t="s">
        <v>58</v>
      </c>
      <c r="P1912" t="s">
        <v>18</v>
      </c>
      <c r="Q1912">
        <f>Table1[[#This Row],[Course_Fee_AED]]-Table1[[#This Row],[Amount_Paid_AED]]</f>
        <v>1</v>
      </c>
      <c r="R1912">
        <f>Table1[[#This Row],[Course_Fee_AED]]-Table1[[#This Row],[pending Revenue]]</f>
        <v>10197</v>
      </c>
    </row>
    <row r="1913" spans="1:18" x14ac:dyDescent="0.25">
      <c r="A1913" t="s">
        <v>1990</v>
      </c>
      <c r="B1913" s="2">
        <v>45486</v>
      </c>
      <c r="C1913" t="s">
        <v>66</v>
      </c>
      <c r="D1913" t="s">
        <v>56</v>
      </c>
      <c r="E1913" t="s">
        <v>26</v>
      </c>
      <c r="F1913" s="5">
        <v>3</v>
      </c>
      <c r="G1913" s="5">
        <v>1</v>
      </c>
      <c r="H1913" s="5">
        <v>8231</v>
      </c>
      <c r="I1913" s="5">
        <v>3</v>
      </c>
      <c r="J1913" s="5">
        <v>8229</v>
      </c>
      <c r="K1913" t="s">
        <v>18</v>
      </c>
      <c r="L1913" t="s">
        <v>57</v>
      </c>
      <c r="M1913" t="s">
        <v>63</v>
      </c>
      <c r="N1913" t="s">
        <v>95</v>
      </c>
      <c r="O1913" t="s">
        <v>29</v>
      </c>
      <c r="P1913" t="s">
        <v>36</v>
      </c>
      <c r="Q1913">
        <f>Table1[[#This Row],[Course_Fee_AED]]-Table1[[#This Row],[Amount_Paid_AED]]</f>
        <v>2</v>
      </c>
      <c r="R1913">
        <f>Table1[[#This Row],[Course_Fee_AED]]-Table1[[#This Row],[pending Revenue]]</f>
        <v>8229</v>
      </c>
    </row>
    <row r="1914" spans="1:18" x14ac:dyDescent="0.25">
      <c r="A1914" t="s">
        <v>1991</v>
      </c>
      <c r="B1914" s="2">
        <v>45514</v>
      </c>
      <c r="C1914" t="s">
        <v>31</v>
      </c>
      <c r="D1914" t="s">
        <v>32</v>
      </c>
      <c r="E1914" t="s">
        <v>26</v>
      </c>
      <c r="F1914" s="5">
        <v>3</v>
      </c>
      <c r="G1914" s="5">
        <v>1</v>
      </c>
      <c r="H1914" s="5">
        <v>6725</v>
      </c>
      <c r="I1914" s="5">
        <v>2</v>
      </c>
      <c r="J1914" s="5">
        <v>4482</v>
      </c>
      <c r="K1914" t="s">
        <v>18</v>
      </c>
      <c r="L1914" t="s">
        <v>40</v>
      </c>
      <c r="M1914" t="s">
        <v>27</v>
      </c>
      <c r="N1914" t="s">
        <v>116</v>
      </c>
      <c r="O1914" t="s">
        <v>64</v>
      </c>
      <c r="P1914" t="s">
        <v>18</v>
      </c>
      <c r="Q1914">
        <f>Table1[[#This Row],[Course_Fee_AED]]-Table1[[#This Row],[Amount_Paid_AED]]</f>
        <v>2243</v>
      </c>
      <c r="R1914">
        <f>Table1[[#This Row],[Course_Fee_AED]]-Table1[[#This Row],[pending Revenue]]</f>
        <v>4482</v>
      </c>
    </row>
    <row r="1915" spans="1:18" x14ac:dyDescent="0.25">
      <c r="A1915" t="s">
        <v>1992</v>
      </c>
      <c r="B1915" s="2">
        <v>45345</v>
      </c>
      <c r="C1915" t="s">
        <v>51</v>
      </c>
      <c r="D1915" t="s">
        <v>52</v>
      </c>
      <c r="E1915" t="s">
        <v>17</v>
      </c>
      <c r="F1915" s="5">
        <v>6</v>
      </c>
      <c r="G1915" s="5">
        <v>1</v>
      </c>
      <c r="H1915" s="5">
        <v>4236</v>
      </c>
      <c r="I1915" s="5">
        <v>2</v>
      </c>
      <c r="J1915" s="5">
        <v>2824</v>
      </c>
      <c r="K1915" t="s">
        <v>18</v>
      </c>
      <c r="L1915" t="s">
        <v>40</v>
      </c>
      <c r="M1915" t="s">
        <v>41</v>
      </c>
      <c r="N1915" t="s">
        <v>42</v>
      </c>
      <c r="O1915" t="s">
        <v>22</v>
      </c>
      <c r="P1915" t="s">
        <v>36</v>
      </c>
      <c r="Q1915">
        <f>Table1[[#This Row],[Course_Fee_AED]]-Table1[[#This Row],[Amount_Paid_AED]]</f>
        <v>1412</v>
      </c>
      <c r="R1915">
        <f>Table1[[#This Row],[Course_Fee_AED]]-Table1[[#This Row],[pending Revenue]]</f>
        <v>2824</v>
      </c>
    </row>
    <row r="1916" spans="1:18" x14ac:dyDescent="0.25">
      <c r="A1916" t="s">
        <v>1993</v>
      </c>
      <c r="B1916" s="2">
        <v>45405</v>
      </c>
      <c r="C1916" t="s">
        <v>31</v>
      </c>
      <c r="D1916" t="s">
        <v>32</v>
      </c>
      <c r="E1916" t="s">
        <v>17</v>
      </c>
      <c r="F1916" s="5">
        <v>6</v>
      </c>
      <c r="G1916" s="5">
        <v>1</v>
      </c>
      <c r="H1916" s="5">
        <v>7489</v>
      </c>
      <c r="I1916" s="5">
        <v>2</v>
      </c>
      <c r="J1916" s="5">
        <v>4992</v>
      </c>
      <c r="K1916" t="s">
        <v>18</v>
      </c>
      <c r="L1916" t="s">
        <v>40</v>
      </c>
      <c r="M1916" t="s">
        <v>20</v>
      </c>
      <c r="N1916" t="s">
        <v>42</v>
      </c>
      <c r="O1916" t="s">
        <v>22</v>
      </c>
      <c r="P1916" t="s">
        <v>18</v>
      </c>
      <c r="Q1916">
        <f>Table1[[#This Row],[Course_Fee_AED]]-Table1[[#This Row],[Amount_Paid_AED]]</f>
        <v>2497</v>
      </c>
      <c r="R1916">
        <f>Table1[[#This Row],[Course_Fee_AED]]-Table1[[#This Row],[pending Revenue]]</f>
        <v>4992</v>
      </c>
    </row>
    <row r="1917" spans="1:18" x14ac:dyDescent="0.25">
      <c r="A1917" t="s">
        <v>1994</v>
      </c>
      <c r="B1917" s="2">
        <v>45504</v>
      </c>
      <c r="C1917" t="s">
        <v>92</v>
      </c>
      <c r="D1917" t="s">
        <v>93</v>
      </c>
      <c r="E1917" t="s">
        <v>26</v>
      </c>
      <c r="F1917" s="5">
        <v>3</v>
      </c>
      <c r="G1917" s="5">
        <v>1</v>
      </c>
      <c r="H1917" s="5">
        <v>6783</v>
      </c>
      <c r="I1917" s="5">
        <v>1</v>
      </c>
      <c r="J1917" s="5">
        <v>2261</v>
      </c>
      <c r="K1917" t="s">
        <v>18</v>
      </c>
      <c r="L1917" t="s">
        <v>40</v>
      </c>
      <c r="M1917" t="s">
        <v>41</v>
      </c>
      <c r="N1917" t="s">
        <v>95</v>
      </c>
      <c r="O1917" t="s">
        <v>71</v>
      </c>
      <c r="P1917" t="s">
        <v>18</v>
      </c>
      <c r="Q1917">
        <f>Table1[[#This Row],[Course_Fee_AED]]-Table1[[#This Row],[Amount_Paid_AED]]</f>
        <v>4522</v>
      </c>
      <c r="R1917">
        <f>Table1[[#This Row],[Course_Fee_AED]]-Table1[[#This Row],[pending Revenue]]</f>
        <v>2261</v>
      </c>
    </row>
    <row r="1918" spans="1:18" x14ac:dyDescent="0.25">
      <c r="A1918" t="s">
        <v>1995</v>
      </c>
      <c r="B1918" s="2">
        <v>45347</v>
      </c>
      <c r="C1918" t="s">
        <v>15</v>
      </c>
      <c r="D1918" t="s">
        <v>16</v>
      </c>
      <c r="E1918" t="s">
        <v>17</v>
      </c>
      <c r="F1918" s="5">
        <v>6</v>
      </c>
      <c r="G1918" s="5">
        <v>1</v>
      </c>
      <c r="H1918" s="5">
        <v>4644</v>
      </c>
      <c r="I1918" s="5">
        <v>2</v>
      </c>
      <c r="J1918" s="5">
        <v>3096</v>
      </c>
      <c r="K1918" t="s">
        <v>18</v>
      </c>
      <c r="L1918" t="s">
        <v>40</v>
      </c>
      <c r="M1918" t="s">
        <v>60</v>
      </c>
      <c r="N1918" t="s">
        <v>48</v>
      </c>
      <c r="O1918" t="s">
        <v>87</v>
      </c>
      <c r="P1918" t="s">
        <v>18</v>
      </c>
      <c r="Q1918">
        <f>Table1[[#This Row],[Course_Fee_AED]]-Table1[[#This Row],[Amount_Paid_AED]]</f>
        <v>1548</v>
      </c>
      <c r="R1918">
        <f>Table1[[#This Row],[Course_Fee_AED]]-Table1[[#This Row],[pending Revenue]]</f>
        <v>3096</v>
      </c>
    </row>
    <row r="1919" spans="1:18" x14ac:dyDescent="0.25">
      <c r="A1919" t="s">
        <v>1996</v>
      </c>
      <c r="B1919" s="2">
        <v>45440</v>
      </c>
      <c r="C1919" t="s">
        <v>51</v>
      </c>
      <c r="D1919" t="s">
        <v>52</v>
      </c>
      <c r="E1919" t="s">
        <v>26</v>
      </c>
      <c r="F1919" s="5">
        <v>3</v>
      </c>
      <c r="G1919" s="5">
        <v>1</v>
      </c>
      <c r="H1919" s="5">
        <v>3776</v>
      </c>
      <c r="I1919" s="5">
        <v>1</v>
      </c>
      <c r="J1919" s="5">
        <v>1258</v>
      </c>
      <c r="K1919" t="s">
        <v>18</v>
      </c>
      <c r="L1919" t="s">
        <v>40</v>
      </c>
      <c r="M1919" t="s">
        <v>20</v>
      </c>
      <c r="N1919" t="s">
        <v>61</v>
      </c>
      <c r="O1919" t="s">
        <v>49</v>
      </c>
      <c r="P1919" t="s">
        <v>36</v>
      </c>
      <c r="Q1919">
        <f>Table1[[#This Row],[Course_Fee_AED]]-Table1[[#This Row],[Amount_Paid_AED]]</f>
        <v>2518</v>
      </c>
      <c r="R1919">
        <f>Table1[[#This Row],[Course_Fee_AED]]-Table1[[#This Row],[pending Revenue]]</f>
        <v>1258</v>
      </c>
    </row>
    <row r="1920" spans="1:18" x14ac:dyDescent="0.25">
      <c r="A1920" t="s">
        <v>1997</v>
      </c>
      <c r="B1920" s="2">
        <v>45518</v>
      </c>
      <c r="C1920" t="s">
        <v>92</v>
      </c>
      <c r="D1920" t="s">
        <v>93</v>
      </c>
      <c r="E1920" t="s">
        <v>17</v>
      </c>
      <c r="F1920" s="5">
        <v>6</v>
      </c>
      <c r="G1920" s="5">
        <v>1</v>
      </c>
      <c r="H1920" s="5">
        <v>7851</v>
      </c>
      <c r="I1920" s="5">
        <v>3</v>
      </c>
      <c r="J1920" s="5">
        <v>7851</v>
      </c>
      <c r="K1920" t="s">
        <v>33</v>
      </c>
      <c r="L1920" t="s">
        <v>57</v>
      </c>
      <c r="M1920" t="s">
        <v>20</v>
      </c>
      <c r="N1920" t="s">
        <v>61</v>
      </c>
      <c r="O1920" t="s">
        <v>29</v>
      </c>
      <c r="P1920" t="s">
        <v>36</v>
      </c>
      <c r="Q1920">
        <f>Table1[[#This Row],[Course_Fee_AED]]-Table1[[#This Row],[Amount_Paid_AED]]</f>
        <v>0</v>
      </c>
      <c r="R1920">
        <f>Table1[[#This Row],[Course_Fee_AED]]-Table1[[#This Row],[pending Revenue]]</f>
        <v>7851</v>
      </c>
    </row>
    <row r="1921" spans="1:18" x14ac:dyDescent="0.25">
      <c r="A1921" t="s">
        <v>1998</v>
      </c>
      <c r="B1921" s="2">
        <v>45645</v>
      </c>
      <c r="C1921" t="s">
        <v>100</v>
      </c>
      <c r="D1921" t="s">
        <v>101</v>
      </c>
      <c r="E1921" t="s">
        <v>26</v>
      </c>
      <c r="F1921" s="5">
        <v>3</v>
      </c>
      <c r="G1921" s="5">
        <v>1</v>
      </c>
      <c r="H1921" s="5">
        <v>4689</v>
      </c>
      <c r="I1921" s="5">
        <v>1</v>
      </c>
      <c r="J1921" s="5">
        <v>1563</v>
      </c>
      <c r="K1921" t="s">
        <v>18</v>
      </c>
      <c r="L1921" t="s">
        <v>57</v>
      </c>
      <c r="M1921" t="s">
        <v>60</v>
      </c>
      <c r="N1921" t="s">
        <v>53</v>
      </c>
      <c r="O1921" t="s">
        <v>22</v>
      </c>
      <c r="P1921" t="s">
        <v>18</v>
      </c>
      <c r="Q1921">
        <f>Table1[[#This Row],[Course_Fee_AED]]-Table1[[#This Row],[Amount_Paid_AED]]</f>
        <v>3126</v>
      </c>
      <c r="R1921">
        <f>Table1[[#This Row],[Course_Fee_AED]]-Table1[[#This Row],[pending Revenue]]</f>
        <v>1563</v>
      </c>
    </row>
    <row r="1922" spans="1:18" x14ac:dyDescent="0.25">
      <c r="A1922" t="s">
        <v>1999</v>
      </c>
      <c r="B1922" s="2">
        <v>45450</v>
      </c>
      <c r="C1922" t="s">
        <v>82</v>
      </c>
      <c r="D1922" t="s">
        <v>83</v>
      </c>
      <c r="E1922" t="s">
        <v>26</v>
      </c>
      <c r="F1922" s="5">
        <v>3</v>
      </c>
      <c r="G1922" s="5">
        <v>1</v>
      </c>
      <c r="H1922" s="5">
        <v>12740</v>
      </c>
      <c r="I1922" s="5">
        <v>2</v>
      </c>
      <c r="J1922" s="5">
        <v>8492</v>
      </c>
      <c r="K1922" t="s">
        <v>18</v>
      </c>
      <c r="L1922" t="s">
        <v>40</v>
      </c>
      <c r="M1922" t="s">
        <v>47</v>
      </c>
      <c r="N1922" t="s">
        <v>73</v>
      </c>
      <c r="O1922" t="s">
        <v>64</v>
      </c>
      <c r="P1922" t="s">
        <v>36</v>
      </c>
      <c r="Q1922">
        <f>Table1[[#This Row],[Course_Fee_AED]]-Table1[[#This Row],[Amount_Paid_AED]]</f>
        <v>4248</v>
      </c>
      <c r="R1922">
        <f>Table1[[#This Row],[Course_Fee_AED]]-Table1[[#This Row],[pending Revenue]]</f>
        <v>8492</v>
      </c>
    </row>
    <row r="1923" spans="1:18" x14ac:dyDescent="0.25">
      <c r="A1923" t="s">
        <v>2000</v>
      </c>
      <c r="B1923" s="2">
        <v>45612</v>
      </c>
      <c r="C1923" t="s">
        <v>92</v>
      </c>
      <c r="D1923" t="s">
        <v>93</v>
      </c>
      <c r="E1923" t="s">
        <v>26</v>
      </c>
      <c r="F1923" s="5">
        <v>3</v>
      </c>
      <c r="G1923" s="5">
        <v>1</v>
      </c>
      <c r="H1923" s="5">
        <v>6448</v>
      </c>
      <c r="I1923" s="5">
        <v>1</v>
      </c>
      <c r="J1923" s="5">
        <v>2149</v>
      </c>
      <c r="K1923" t="s">
        <v>18</v>
      </c>
      <c r="L1923" t="s">
        <v>19</v>
      </c>
      <c r="M1923" t="s">
        <v>41</v>
      </c>
      <c r="N1923" t="s">
        <v>79</v>
      </c>
      <c r="O1923" t="s">
        <v>64</v>
      </c>
      <c r="P1923" t="s">
        <v>18</v>
      </c>
      <c r="Q1923">
        <f>Table1[[#This Row],[Course_Fee_AED]]-Table1[[#This Row],[Amount_Paid_AED]]</f>
        <v>4299</v>
      </c>
      <c r="R1923">
        <f>Table1[[#This Row],[Course_Fee_AED]]-Table1[[#This Row],[pending Revenue]]</f>
        <v>2149</v>
      </c>
    </row>
    <row r="1924" spans="1:18" x14ac:dyDescent="0.25">
      <c r="A1924" t="s">
        <v>2001</v>
      </c>
      <c r="B1924" s="2">
        <v>45411</v>
      </c>
      <c r="C1924" t="s">
        <v>75</v>
      </c>
      <c r="D1924" t="s">
        <v>76</v>
      </c>
      <c r="E1924" t="s">
        <v>17</v>
      </c>
      <c r="F1924" s="5">
        <v>6</v>
      </c>
      <c r="G1924" s="5">
        <v>1</v>
      </c>
      <c r="H1924" s="5">
        <v>10463</v>
      </c>
      <c r="I1924" s="5">
        <v>3</v>
      </c>
      <c r="J1924" s="5">
        <v>10461</v>
      </c>
      <c r="K1924" t="s">
        <v>18</v>
      </c>
      <c r="L1924" t="s">
        <v>19</v>
      </c>
      <c r="M1924" t="s">
        <v>20</v>
      </c>
      <c r="N1924" t="s">
        <v>95</v>
      </c>
      <c r="O1924" t="s">
        <v>68</v>
      </c>
      <c r="P1924" t="s">
        <v>36</v>
      </c>
      <c r="Q1924">
        <f>Table1[[#This Row],[Course_Fee_AED]]-Table1[[#This Row],[Amount_Paid_AED]]</f>
        <v>2</v>
      </c>
      <c r="R1924">
        <f>Table1[[#This Row],[Course_Fee_AED]]-Table1[[#This Row],[pending Revenue]]</f>
        <v>10461</v>
      </c>
    </row>
    <row r="1925" spans="1:18" x14ac:dyDescent="0.25">
      <c r="A1925" t="s">
        <v>2002</v>
      </c>
      <c r="B1925" s="2">
        <v>45499</v>
      </c>
      <c r="C1925" t="s">
        <v>45</v>
      </c>
      <c r="D1925" t="s">
        <v>46</v>
      </c>
      <c r="E1925" t="s">
        <v>17</v>
      </c>
      <c r="F1925" s="5">
        <v>6</v>
      </c>
      <c r="G1925" s="5">
        <v>1</v>
      </c>
      <c r="H1925" s="5">
        <v>4253</v>
      </c>
      <c r="I1925" s="5">
        <v>2</v>
      </c>
      <c r="J1925" s="5">
        <v>2834</v>
      </c>
      <c r="K1925" t="s">
        <v>18</v>
      </c>
      <c r="L1925" t="s">
        <v>57</v>
      </c>
      <c r="M1925" t="s">
        <v>47</v>
      </c>
      <c r="N1925" t="s">
        <v>154</v>
      </c>
      <c r="O1925" t="s">
        <v>87</v>
      </c>
      <c r="P1925" t="s">
        <v>18</v>
      </c>
      <c r="Q1925">
        <f>Table1[[#This Row],[Course_Fee_AED]]-Table1[[#This Row],[Amount_Paid_AED]]</f>
        <v>1419</v>
      </c>
      <c r="R1925">
        <f>Table1[[#This Row],[Course_Fee_AED]]-Table1[[#This Row],[pending Revenue]]</f>
        <v>2834</v>
      </c>
    </row>
    <row r="1926" spans="1:18" x14ac:dyDescent="0.25">
      <c r="A1926" t="s">
        <v>2003</v>
      </c>
      <c r="B1926" s="2">
        <v>45632</v>
      </c>
      <c r="C1926" t="s">
        <v>24</v>
      </c>
      <c r="D1926" t="s">
        <v>25</v>
      </c>
      <c r="E1926" t="s">
        <v>17</v>
      </c>
      <c r="F1926" s="5">
        <v>6</v>
      </c>
      <c r="G1926" s="5">
        <v>1</v>
      </c>
      <c r="H1926" s="5">
        <v>6843</v>
      </c>
      <c r="I1926" s="5">
        <v>3</v>
      </c>
      <c r="J1926" s="5">
        <v>6843</v>
      </c>
      <c r="K1926" t="s">
        <v>33</v>
      </c>
      <c r="L1926" t="s">
        <v>40</v>
      </c>
      <c r="M1926" t="s">
        <v>27</v>
      </c>
      <c r="N1926" t="s">
        <v>53</v>
      </c>
      <c r="O1926" t="s">
        <v>49</v>
      </c>
      <c r="P1926" t="s">
        <v>18</v>
      </c>
      <c r="Q1926">
        <f>Table1[[#This Row],[Course_Fee_AED]]-Table1[[#This Row],[Amount_Paid_AED]]</f>
        <v>0</v>
      </c>
      <c r="R1926">
        <f>Table1[[#This Row],[Course_Fee_AED]]-Table1[[#This Row],[pending Revenue]]</f>
        <v>6843</v>
      </c>
    </row>
    <row r="1927" spans="1:18" x14ac:dyDescent="0.25">
      <c r="A1927" t="s">
        <v>2004</v>
      </c>
      <c r="B1927" s="2">
        <v>45489</v>
      </c>
      <c r="C1927" t="s">
        <v>75</v>
      </c>
      <c r="D1927" t="s">
        <v>76</v>
      </c>
      <c r="E1927" t="s">
        <v>17</v>
      </c>
      <c r="F1927" s="5">
        <v>6</v>
      </c>
      <c r="G1927" s="5">
        <v>1</v>
      </c>
      <c r="H1927" s="5">
        <v>14383</v>
      </c>
      <c r="I1927" s="5">
        <v>1</v>
      </c>
      <c r="J1927" s="5">
        <v>4794</v>
      </c>
      <c r="K1927" t="s">
        <v>18</v>
      </c>
      <c r="L1927" t="s">
        <v>19</v>
      </c>
      <c r="M1927" t="s">
        <v>63</v>
      </c>
      <c r="N1927" t="s">
        <v>116</v>
      </c>
      <c r="O1927" t="s">
        <v>35</v>
      </c>
      <c r="P1927" t="s">
        <v>18</v>
      </c>
      <c r="Q1927">
        <f>Table1[[#This Row],[Course_Fee_AED]]-Table1[[#This Row],[Amount_Paid_AED]]</f>
        <v>9589</v>
      </c>
      <c r="R1927">
        <f>Table1[[#This Row],[Course_Fee_AED]]-Table1[[#This Row],[pending Revenue]]</f>
        <v>4794</v>
      </c>
    </row>
    <row r="1928" spans="1:18" x14ac:dyDescent="0.25">
      <c r="A1928" t="s">
        <v>2005</v>
      </c>
      <c r="B1928" s="2">
        <v>45332</v>
      </c>
      <c r="C1928" t="s">
        <v>55</v>
      </c>
      <c r="D1928" t="s">
        <v>56</v>
      </c>
      <c r="E1928" t="s">
        <v>26</v>
      </c>
      <c r="F1928" s="5">
        <v>3</v>
      </c>
      <c r="G1928" s="5">
        <v>1</v>
      </c>
      <c r="H1928" s="5">
        <v>9449</v>
      </c>
      <c r="I1928" s="5">
        <v>1</v>
      </c>
      <c r="J1928" s="5">
        <v>3149</v>
      </c>
      <c r="K1928" t="s">
        <v>18</v>
      </c>
      <c r="L1928" t="s">
        <v>40</v>
      </c>
      <c r="M1928" t="s">
        <v>41</v>
      </c>
      <c r="N1928" t="s">
        <v>53</v>
      </c>
      <c r="O1928" t="s">
        <v>35</v>
      </c>
      <c r="P1928" t="s">
        <v>18</v>
      </c>
      <c r="Q1928">
        <f>Table1[[#This Row],[Course_Fee_AED]]-Table1[[#This Row],[Amount_Paid_AED]]</f>
        <v>6300</v>
      </c>
      <c r="R1928">
        <f>Table1[[#This Row],[Course_Fee_AED]]-Table1[[#This Row],[pending Revenue]]</f>
        <v>3149</v>
      </c>
    </row>
    <row r="1929" spans="1:18" x14ac:dyDescent="0.25">
      <c r="A1929" t="s">
        <v>2006</v>
      </c>
      <c r="B1929" s="2">
        <v>45618</v>
      </c>
      <c r="C1929" t="s">
        <v>45</v>
      </c>
      <c r="D1929" t="s">
        <v>46</v>
      </c>
      <c r="E1929" t="s">
        <v>26</v>
      </c>
      <c r="F1929" s="5">
        <v>3</v>
      </c>
      <c r="G1929" s="5">
        <v>1</v>
      </c>
      <c r="H1929" s="5">
        <v>4436</v>
      </c>
      <c r="I1929" s="5">
        <v>3</v>
      </c>
      <c r="J1929" s="5">
        <v>4434</v>
      </c>
      <c r="K1929" t="s">
        <v>18</v>
      </c>
      <c r="L1929" t="s">
        <v>57</v>
      </c>
      <c r="M1929" t="s">
        <v>41</v>
      </c>
      <c r="N1929" t="s">
        <v>21</v>
      </c>
      <c r="O1929" t="s">
        <v>68</v>
      </c>
      <c r="P1929" t="s">
        <v>36</v>
      </c>
      <c r="Q1929">
        <f>Table1[[#This Row],[Course_Fee_AED]]-Table1[[#This Row],[Amount_Paid_AED]]</f>
        <v>2</v>
      </c>
      <c r="R1929">
        <f>Table1[[#This Row],[Course_Fee_AED]]-Table1[[#This Row],[pending Revenue]]</f>
        <v>4434</v>
      </c>
    </row>
    <row r="1930" spans="1:18" x14ac:dyDescent="0.25">
      <c r="A1930" t="s">
        <v>2007</v>
      </c>
      <c r="B1930" s="2">
        <v>45619</v>
      </c>
      <c r="C1930" t="s">
        <v>31</v>
      </c>
      <c r="D1930" t="s">
        <v>32</v>
      </c>
      <c r="E1930" t="s">
        <v>26</v>
      </c>
      <c r="F1930" s="5">
        <v>3</v>
      </c>
      <c r="G1930" s="5">
        <v>1</v>
      </c>
      <c r="H1930" s="5">
        <v>7214</v>
      </c>
      <c r="I1930" s="5">
        <v>3</v>
      </c>
      <c r="J1930" s="5">
        <v>7212</v>
      </c>
      <c r="K1930" t="s">
        <v>18</v>
      </c>
      <c r="L1930" t="s">
        <v>57</v>
      </c>
      <c r="M1930" t="s">
        <v>60</v>
      </c>
      <c r="N1930" t="s">
        <v>21</v>
      </c>
      <c r="O1930" t="s">
        <v>71</v>
      </c>
      <c r="P1930" t="s">
        <v>36</v>
      </c>
      <c r="Q1930">
        <f>Table1[[#This Row],[Course_Fee_AED]]-Table1[[#This Row],[Amount_Paid_AED]]</f>
        <v>2</v>
      </c>
      <c r="R1930">
        <f>Table1[[#This Row],[Course_Fee_AED]]-Table1[[#This Row],[pending Revenue]]</f>
        <v>7212</v>
      </c>
    </row>
    <row r="1931" spans="1:18" x14ac:dyDescent="0.25">
      <c r="A1931" t="s">
        <v>2008</v>
      </c>
      <c r="B1931" s="2">
        <v>45595</v>
      </c>
      <c r="C1931" t="s">
        <v>55</v>
      </c>
      <c r="D1931" t="s">
        <v>56</v>
      </c>
      <c r="E1931" t="s">
        <v>17</v>
      </c>
      <c r="F1931" s="5">
        <v>6</v>
      </c>
      <c r="G1931" s="5">
        <v>1</v>
      </c>
      <c r="H1931" s="5">
        <v>9467</v>
      </c>
      <c r="I1931" s="5">
        <v>1</v>
      </c>
      <c r="J1931" s="5">
        <v>3155</v>
      </c>
      <c r="K1931" t="s">
        <v>18</v>
      </c>
      <c r="L1931" t="s">
        <v>40</v>
      </c>
      <c r="M1931" t="s">
        <v>41</v>
      </c>
      <c r="N1931" t="s">
        <v>70</v>
      </c>
      <c r="O1931" t="s">
        <v>29</v>
      </c>
      <c r="P1931" t="s">
        <v>36</v>
      </c>
      <c r="Q1931">
        <f>Table1[[#This Row],[Course_Fee_AED]]-Table1[[#This Row],[Amount_Paid_AED]]</f>
        <v>6312</v>
      </c>
      <c r="R1931">
        <f>Table1[[#This Row],[Course_Fee_AED]]-Table1[[#This Row],[pending Revenue]]</f>
        <v>3155</v>
      </c>
    </row>
    <row r="1932" spans="1:18" x14ac:dyDescent="0.25">
      <c r="A1932" t="s">
        <v>2009</v>
      </c>
      <c r="B1932" s="2">
        <v>45623</v>
      </c>
      <c r="C1932" t="s">
        <v>51</v>
      </c>
      <c r="D1932" t="s">
        <v>52</v>
      </c>
      <c r="E1932" t="s">
        <v>26</v>
      </c>
      <c r="F1932" s="5">
        <v>3</v>
      </c>
      <c r="G1932" s="5">
        <v>1</v>
      </c>
      <c r="H1932" s="5">
        <v>4265</v>
      </c>
      <c r="I1932" s="5">
        <v>3</v>
      </c>
      <c r="J1932" s="5">
        <v>4263</v>
      </c>
      <c r="K1932" t="s">
        <v>18</v>
      </c>
      <c r="L1932" t="s">
        <v>40</v>
      </c>
      <c r="M1932" t="s">
        <v>63</v>
      </c>
      <c r="N1932" t="s">
        <v>53</v>
      </c>
      <c r="O1932" t="s">
        <v>68</v>
      </c>
      <c r="P1932" t="s">
        <v>18</v>
      </c>
      <c r="Q1932">
        <f>Table1[[#This Row],[Course_Fee_AED]]-Table1[[#This Row],[Amount_Paid_AED]]</f>
        <v>2</v>
      </c>
      <c r="R1932">
        <f>Table1[[#This Row],[Course_Fee_AED]]-Table1[[#This Row],[pending Revenue]]</f>
        <v>4263</v>
      </c>
    </row>
    <row r="1933" spans="1:18" x14ac:dyDescent="0.25">
      <c r="A1933" t="s">
        <v>2010</v>
      </c>
      <c r="B1933" s="2">
        <v>45558</v>
      </c>
      <c r="C1933" t="s">
        <v>15</v>
      </c>
      <c r="D1933" t="s">
        <v>16</v>
      </c>
      <c r="E1933" t="s">
        <v>17</v>
      </c>
      <c r="F1933" s="5">
        <v>6</v>
      </c>
      <c r="G1933" s="5">
        <v>1</v>
      </c>
      <c r="H1933" s="5">
        <v>7155</v>
      </c>
      <c r="I1933" s="5">
        <v>1</v>
      </c>
      <c r="J1933" s="5">
        <v>2385</v>
      </c>
      <c r="K1933" t="s">
        <v>18</v>
      </c>
      <c r="L1933" t="s">
        <v>40</v>
      </c>
      <c r="M1933" t="s">
        <v>27</v>
      </c>
      <c r="N1933" t="s">
        <v>86</v>
      </c>
      <c r="O1933" t="s">
        <v>58</v>
      </c>
      <c r="P1933" t="s">
        <v>36</v>
      </c>
      <c r="Q1933">
        <f>Table1[[#This Row],[Course_Fee_AED]]-Table1[[#This Row],[Amount_Paid_AED]]</f>
        <v>4770</v>
      </c>
      <c r="R1933">
        <f>Table1[[#This Row],[Course_Fee_AED]]-Table1[[#This Row],[pending Revenue]]</f>
        <v>2385</v>
      </c>
    </row>
    <row r="1934" spans="1:18" x14ac:dyDescent="0.25">
      <c r="A1934" t="s">
        <v>2011</v>
      </c>
      <c r="B1934" s="2">
        <v>45447</v>
      </c>
      <c r="C1934" t="s">
        <v>45</v>
      </c>
      <c r="D1934" t="s">
        <v>46</v>
      </c>
      <c r="E1934" t="s">
        <v>17</v>
      </c>
      <c r="F1934" s="5">
        <v>6</v>
      </c>
      <c r="G1934" s="5">
        <v>1</v>
      </c>
      <c r="H1934" s="5">
        <v>5414</v>
      </c>
      <c r="I1934" s="5">
        <v>1</v>
      </c>
      <c r="J1934" s="5">
        <v>1804</v>
      </c>
      <c r="K1934" t="s">
        <v>18</v>
      </c>
      <c r="L1934" t="s">
        <v>19</v>
      </c>
      <c r="M1934" t="s">
        <v>41</v>
      </c>
      <c r="N1934" t="s">
        <v>73</v>
      </c>
      <c r="O1934" t="s">
        <v>35</v>
      </c>
      <c r="P1934" t="s">
        <v>36</v>
      </c>
      <c r="Q1934">
        <f>Table1[[#This Row],[Course_Fee_AED]]-Table1[[#This Row],[Amount_Paid_AED]]</f>
        <v>3610</v>
      </c>
      <c r="R1934">
        <f>Table1[[#This Row],[Course_Fee_AED]]-Table1[[#This Row],[pending Revenue]]</f>
        <v>1804</v>
      </c>
    </row>
    <row r="1935" spans="1:18" x14ac:dyDescent="0.25">
      <c r="A1935" t="s">
        <v>2012</v>
      </c>
      <c r="B1935" s="2">
        <v>45624</v>
      </c>
      <c r="C1935" t="s">
        <v>38</v>
      </c>
      <c r="D1935" t="s">
        <v>39</v>
      </c>
      <c r="E1935" t="s">
        <v>17</v>
      </c>
      <c r="F1935" s="5">
        <v>6</v>
      </c>
      <c r="G1935" s="5">
        <v>1</v>
      </c>
      <c r="H1935" s="5">
        <v>5485</v>
      </c>
      <c r="I1935" s="5">
        <v>2</v>
      </c>
      <c r="J1935" s="5">
        <v>3656</v>
      </c>
      <c r="K1935" t="s">
        <v>18</v>
      </c>
      <c r="L1935" t="s">
        <v>40</v>
      </c>
      <c r="M1935" t="s">
        <v>27</v>
      </c>
      <c r="N1935" t="s">
        <v>42</v>
      </c>
      <c r="O1935" t="s">
        <v>29</v>
      </c>
      <c r="P1935" t="s">
        <v>36</v>
      </c>
      <c r="Q1935">
        <f>Table1[[#This Row],[Course_Fee_AED]]-Table1[[#This Row],[Amount_Paid_AED]]</f>
        <v>1829</v>
      </c>
      <c r="R1935">
        <f>Table1[[#This Row],[Course_Fee_AED]]-Table1[[#This Row],[pending Revenue]]</f>
        <v>3656</v>
      </c>
    </row>
    <row r="1936" spans="1:18" x14ac:dyDescent="0.25">
      <c r="A1936" t="s">
        <v>2013</v>
      </c>
      <c r="B1936" s="2">
        <v>45591</v>
      </c>
      <c r="C1936" t="s">
        <v>31</v>
      </c>
      <c r="D1936" t="s">
        <v>32</v>
      </c>
      <c r="E1936" t="s">
        <v>17</v>
      </c>
      <c r="F1936" s="5">
        <v>6</v>
      </c>
      <c r="G1936" s="5">
        <v>1</v>
      </c>
      <c r="H1936" s="5">
        <v>6069</v>
      </c>
      <c r="I1936" s="5">
        <v>3</v>
      </c>
      <c r="J1936" s="5">
        <v>6069</v>
      </c>
      <c r="K1936" t="s">
        <v>33</v>
      </c>
      <c r="L1936" t="s">
        <v>40</v>
      </c>
      <c r="M1936" t="s">
        <v>27</v>
      </c>
      <c r="N1936" t="s">
        <v>73</v>
      </c>
      <c r="O1936" t="s">
        <v>68</v>
      </c>
      <c r="P1936" t="s">
        <v>18</v>
      </c>
      <c r="Q1936">
        <f>Table1[[#This Row],[Course_Fee_AED]]-Table1[[#This Row],[Amount_Paid_AED]]</f>
        <v>0</v>
      </c>
      <c r="R1936">
        <f>Table1[[#This Row],[Course_Fee_AED]]-Table1[[#This Row],[pending Revenue]]</f>
        <v>6069</v>
      </c>
    </row>
    <row r="1937" spans="1:18" x14ac:dyDescent="0.25">
      <c r="A1937" t="s">
        <v>2014</v>
      </c>
      <c r="B1937" s="2">
        <v>45501</v>
      </c>
      <c r="C1937" t="s">
        <v>100</v>
      </c>
      <c r="D1937" t="s">
        <v>101</v>
      </c>
      <c r="E1937" t="s">
        <v>17</v>
      </c>
      <c r="F1937" s="5">
        <v>6</v>
      </c>
      <c r="G1937" s="5">
        <v>1</v>
      </c>
      <c r="H1937" s="5">
        <v>4675</v>
      </c>
      <c r="I1937" s="5">
        <v>3</v>
      </c>
      <c r="J1937" s="5">
        <v>4674</v>
      </c>
      <c r="K1937" t="s">
        <v>18</v>
      </c>
      <c r="L1937" t="s">
        <v>40</v>
      </c>
      <c r="M1937" t="s">
        <v>47</v>
      </c>
      <c r="N1937" t="s">
        <v>116</v>
      </c>
      <c r="O1937" t="s">
        <v>87</v>
      </c>
      <c r="P1937" t="s">
        <v>36</v>
      </c>
      <c r="Q1937">
        <f>Table1[[#This Row],[Course_Fee_AED]]-Table1[[#This Row],[Amount_Paid_AED]]</f>
        <v>1</v>
      </c>
      <c r="R1937">
        <f>Table1[[#This Row],[Course_Fee_AED]]-Table1[[#This Row],[pending Revenue]]</f>
        <v>4674</v>
      </c>
    </row>
    <row r="1938" spans="1:18" x14ac:dyDescent="0.25">
      <c r="A1938" t="s">
        <v>2015</v>
      </c>
      <c r="B1938" s="2">
        <v>45489</v>
      </c>
      <c r="C1938" t="s">
        <v>31</v>
      </c>
      <c r="D1938" t="s">
        <v>32</v>
      </c>
      <c r="E1938" t="s">
        <v>17</v>
      </c>
      <c r="F1938" s="5">
        <v>6</v>
      </c>
      <c r="G1938" s="5">
        <v>1</v>
      </c>
      <c r="H1938" s="5">
        <v>6768</v>
      </c>
      <c r="I1938" s="5">
        <v>2</v>
      </c>
      <c r="J1938" s="5">
        <v>4512</v>
      </c>
      <c r="K1938" t="s">
        <v>18</v>
      </c>
      <c r="L1938" t="s">
        <v>19</v>
      </c>
      <c r="M1938" t="s">
        <v>41</v>
      </c>
      <c r="N1938" t="s">
        <v>79</v>
      </c>
      <c r="O1938" t="s">
        <v>49</v>
      </c>
      <c r="P1938" t="s">
        <v>18</v>
      </c>
      <c r="Q1938">
        <f>Table1[[#This Row],[Course_Fee_AED]]-Table1[[#This Row],[Amount_Paid_AED]]</f>
        <v>2256</v>
      </c>
      <c r="R1938">
        <f>Table1[[#This Row],[Course_Fee_AED]]-Table1[[#This Row],[pending Revenue]]</f>
        <v>4512</v>
      </c>
    </row>
    <row r="1939" spans="1:18" x14ac:dyDescent="0.25">
      <c r="A1939" t="s">
        <v>2016</v>
      </c>
      <c r="B1939" s="2">
        <v>45447</v>
      </c>
      <c r="C1939" t="s">
        <v>113</v>
      </c>
      <c r="D1939" t="s">
        <v>93</v>
      </c>
      <c r="E1939" t="s">
        <v>17</v>
      </c>
      <c r="F1939" s="5">
        <v>6</v>
      </c>
      <c r="G1939" s="5">
        <v>1</v>
      </c>
      <c r="H1939" s="5">
        <v>3042</v>
      </c>
      <c r="I1939" s="5">
        <v>3</v>
      </c>
      <c r="J1939" s="5">
        <v>3042</v>
      </c>
      <c r="K1939" t="s">
        <v>33</v>
      </c>
      <c r="L1939" t="s">
        <v>40</v>
      </c>
      <c r="M1939" t="s">
        <v>60</v>
      </c>
      <c r="N1939" t="s">
        <v>21</v>
      </c>
      <c r="O1939" t="s">
        <v>35</v>
      </c>
      <c r="P1939" t="s">
        <v>36</v>
      </c>
      <c r="Q1939">
        <f>Table1[[#This Row],[Course_Fee_AED]]-Table1[[#This Row],[Amount_Paid_AED]]</f>
        <v>0</v>
      </c>
      <c r="R1939">
        <f>Table1[[#This Row],[Course_Fee_AED]]-Table1[[#This Row],[pending Revenue]]</f>
        <v>3042</v>
      </c>
    </row>
    <row r="1940" spans="1:18" x14ac:dyDescent="0.25">
      <c r="A1940" t="s">
        <v>2017</v>
      </c>
      <c r="B1940" s="2">
        <v>45514</v>
      </c>
      <c r="C1940" t="s">
        <v>15</v>
      </c>
      <c r="D1940" t="s">
        <v>16</v>
      </c>
      <c r="E1940" t="s">
        <v>17</v>
      </c>
      <c r="F1940" s="5">
        <v>6</v>
      </c>
      <c r="G1940" s="5">
        <v>1</v>
      </c>
      <c r="H1940" s="5">
        <v>7044</v>
      </c>
      <c r="I1940" s="5">
        <v>2</v>
      </c>
      <c r="J1940" s="5">
        <v>4696</v>
      </c>
      <c r="K1940" t="s">
        <v>18</v>
      </c>
      <c r="L1940" t="s">
        <v>40</v>
      </c>
      <c r="M1940" t="s">
        <v>63</v>
      </c>
      <c r="N1940" t="s">
        <v>86</v>
      </c>
      <c r="O1940" t="s">
        <v>71</v>
      </c>
      <c r="P1940" t="s">
        <v>18</v>
      </c>
      <c r="Q1940">
        <f>Table1[[#This Row],[Course_Fee_AED]]-Table1[[#This Row],[Amount_Paid_AED]]</f>
        <v>2348</v>
      </c>
      <c r="R1940">
        <f>Table1[[#This Row],[Course_Fee_AED]]-Table1[[#This Row],[pending Revenue]]</f>
        <v>4696</v>
      </c>
    </row>
    <row r="1941" spans="1:18" x14ac:dyDescent="0.25">
      <c r="A1941" t="s">
        <v>2018</v>
      </c>
      <c r="B1941" s="2">
        <v>45336</v>
      </c>
      <c r="C1941" t="s">
        <v>66</v>
      </c>
      <c r="D1941" t="s">
        <v>56</v>
      </c>
      <c r="E1941" t="s">
        <v>26</v>
      </c>
      <c r="F1941" s="5">
        <v>3</v>
      </c>
      <c r="G1941" s="5">
        <v>1</v>
      </c>
      <c r="H1941" s="5">
        <v>9362</v>
      </c>
      <c r="I1941" s="5">
        <v>2</v>
      </c>
      <c r="J1941" s="5">
        <v>6240</v>
      </c>
      <c r="K1941" t="s">
        <v>18</v>
      </c>
      <c r="L1941" t="s">
        <v>19</v>
      </c>
      <c r="M1941" t="s">
        <v>60</v>
      </c>
      <c r="N1941" t="s">
        <v>48</v>
      </c>
      <c r="O1941" t="s">
        <v>58</v>
      </c>
      <c r="P1941" t="s">
        <v>36</v>
      </c>
      <c r="Q1941">
        <f>Table1[[#This Row],[Course_Fee_AED]]-Table1[[#This Row],[Amount_Paid_AED]]</f>
        <v>3122</v>
      </c>
      <c r="R1941">
        <f>Table1[[#This Row],[Course_Fee_AED]]-Table1[[#This Row],[pending Revenue]]</f>
        <v>6240</v>
      </c>
    </row>
    <row r="1942" spans="1:18" x14ac:dyDescent="0.25">
      <c r="A1942" t="s">
        <v>2019</v>
      </c>
      <c r="B1942" s="2">
        <v>45487</v>
      </c>
      <c r="C1942" t="s">
        <v>55</v>
      </c>
      <c r="D1942" t="s">
        <v>56</v>
      </c>
      <c r="E1942" t="s">
        <v>17</v>
      </c>
      <c r="F1942" s="5">
        <v>6</v>
      </c>
      <c r="G1942" s="5">
        <v>1</v>
      </c>
      <c r="H1942" s="5">
        <v>10628</v>
      </c>
      <c r="I1942" s="5">
        <v>2</v>
      </c>
      <c r="J1942" s="5">
        <v>7084</v>
      </c>
      <c r="K1942" t="s">
        <v>18</v>
      </c>
      <c r="L1942" t="s">
        <v>40</v>
      </c>
      <c r="M1942" t="s">
        <v>27</v>
      </c>
      <c r="N1942" t="s">
        <v>28</v>
      </c>
      <c r="O1942" t="s">
        <v>87</v>
      </c>
      <c r="P1942" t="s">
        <v>18</v>
      </c>
      <c r="Q1942">
        <f>Table1[[#This Row],[Course_Fee_AED]]-Table1[[#This Row],[Amount_Paid_AED]]</f>
        <v>3544</v>
      </c>
      <c r="R1942">
        <f>Table1[[#This Row],[Course_Fee_AED]]-Table1[[#This Row],[pending Revenue]]</f>
        <v>7084</v>
      </c>
    </row>
    <row r="1943" spans="1:18" x14ac:dyDescent="0.25">
      <c r="A1943" t="s">
        <v>2020</v>
      </c>
      <c r="B1943" s="2">
        <v>45292</v>
      </c>
      <c r="C1943" t="s">
        <v>51</v>
      </c>
      <c r="D1943" t="s">
        <v>52</v>
      </c>
      <c r="E1943" t="s">
        <v>17</v>
      </c>
      <c r="F1943" s="5">
        <v>6</v>
      </c>
      <c r="G1943" s="5">
        <v>1</v>
      </c>
      <c r="H1943" s="5">
        <v>4554</v>
      </c>
      <c r="I1943" s="5">
        <v>2</v>
      </c>
      <c r="J1943" s="5">
        <v>3036</v>
      </c>
      <c r="K1943" t="s">
        <v>18</v>
      </c>
      <c r="L1943" t="s">
        <v>19</v>
      </c>
      <c r="M1943" t="s">
        <v>41</v>
      </c>
      <c r="N1943" t="s">
        <v>21</v>
      </c>
      <c r="O1943" t="s">
        <v>64</v>
      </c>
      <c r="P1943" t="s">
        <v>36</v>
      </c>
      <c r="Q1943">
        <f>Table1[[#This Row],[Course_Fee_AED]]-Table1[[#This Row],[Amount_Paid_AED]]</f>
        <v>1518</v>
      </c>
      <c r="R1943">
        <f>Table1[[#This Row],[Course_Fee_AED]]-Table1[[#This Row],[pending Revenue]]</f>
        <v>3036</v>
      </c>
    </row>
    <row r="1944" spans="1:18" x14ac:dyDescent="0.25">
      <c r="A1944" t="s">
        <v>2021</v>
      </c>
      <c r="B1944" s="2">
        <v>45545</v>
      </c>
      <c r="C1944" t="s">
        <v>38</v>
      </c>
      <c r="D1944" t="s">
        <v>39</v>
      </c>
      <c r="E1944" t="s">
        <v>17</v>
      </c>
      <c r="F1944" s="5">
        <v>6</v>
      </c>
      <c r="G1944" s="5">
        <v>1</v>
      </c>
      <c r="H1944" s="5">
        <v>4143</v>
      </c>
      <c r="I1944" s="5">
        <v>3</v>
      </c>
      <c r="J1944" s="5">
        <v>4143</v>
      </c>
      <c r="K1944" t="s">
        <v>33</v>
      </c>
      <c r="L1944" t="s">
        <v>40</v>
      </c>
      <c r="M1944" t="s">
        <v>63</v>
      </c>
      <c r="N1944" t="s">
        <v>95</v>
      </c>
      <c r="O1944" t="s">
        <v>64</v>
      </c>
      <c r="P1944" t="s">
        <v>36</v>
      </c>
      <c r="Q1944">
        <f>Table1[[#This Row],[Course_Fee_AED]]-Table1[[#This Row],[Amount_Paid_AED]]</f>
        <v>0</v>
      </c>
      <c r="R1944">
        <f>Table1[[#This Row],[Course_Fee_AED]]-Table1[[#This Row],[pending Revenue]]</f>
        <v>4143</v>
      </c>
    </row>
    <row r="1945" spans="1:18" x14ac:dyDescent="0.25">
      <c r="A1945" t="s">
        <v>2022</v>
      </c>
      <c r="B1945" s="2">
        <v>45598</v>
      </c>
      <c r="C1945" t="s">
        <v>82</v>
      </c>
      <c r="D1945" t="s">
        <v>83</v>
      </c>
      <c r="E1945" t="s">
        <v>26</v>
      </c>
      <c r="F1945" s="5">
        <v>3</v>
      </c>
      <c r="G1945" s="5">
        <v>1</v>
      </c>
      <c r="H1945" s="5">
        <v>11064</v>
      </c>
      <c r="I1945" s="5">
        <v>1</v>
      </c>
      <c r="J1945" s="5">
        <v>3688</v>
      </c>
      <c r="K1945" t="s">
        <v>18</v>
      </c>
      <c r="L1945" t="s">
        <v>57</v>
      </c>
      <c r="M1945" t="s">
        <v>63</v>
      </c>
      <c r="N1945" t="s">
        <v>79</v>
      </c>
      <c r="O1945" t="s">
        <v>87</v>
      </c>
      <c r="P1945" t="s">
        <v>36</v>
      </c>
      <c r="Q1945">
        <f>Table1[[#This Row],[Course_Fee_AED]]-Table1[[#This Row],[Amount_Paid_AED]]</f>
        <v>7376</v>
      </c>
      <c r="R1945">
        <f>Table1[[#This Row],[Course_Fee_AED]]-Table1[[#This Row],[pending Revenue]]</f>
        <v>3688</v>
      </c>
    </row>
    <row r="1946" spans="1:18" x14ac:dyDescent="0.25">
      <c r="A1946" t="s">
        <v>2023</v>
      </c>
      <c r="B1946" s="2">
        <v>45319</v>
      </c>
      <c r="C1946" t="s">
        <v>92</v>
      </c>
      <c r="D1946" t="s">
        <v>93</v>
      </c>
      <c r="E1946" t="s">
        <v>26</v>
      </c>
      <c r="F1946" s="5">
        <v>3</v>
      </c>
      <c r="G1946" s="5">
        <v>1</v>
      </c>
      <c r="H1946" s="5">
        <v>6083</v>
      </c>
      <c r="I1946" s="5">
        <v>2</v>
      </c>
      <c r="J1946" s="5">
        <v>4054</v>
      </c>
      <c r="K1946" t="s">
        <v>18</v>
      </c>
      <c r="L1946" t="s">
        <v>19</v>
      </c>
      <c r="M1946" t="s">
        <v>47</v>
      </c>
      <c r="N1946" t="s">
        <v>21</v>
      </c>
      <c r="O1946" t="s">
        <v>49</v>
      </c>
      <c r="P1946" t="s">
        <v>36</v>
      </c>
      <c r="Q1946">
        <f>Table1[[#This Row],[Course_Fee_AED]]-Table1[[#This Row],[Amount_Paid_AED]]</f>
        <v>2029</v>
      </c>
      <c r="R1946">
        <f>Table1[[#This Row],[Course_Fee_AED]]-Table1[[#This Row],[pending Revenue]]</f>
        <v>4054</v>
      </c>
    </row>
    <row r="1947" spans="1:18" x14ac:dyDescent="0.25">
      <c r="A1947" t="s">
        <v>2024</v>
      </c>
      <c r="B1947" s="2">
        <v>45330</v>
      </c>
      <c r="C1947" t="s">
        <v>55</v>
      </c>
      <c r="D1947" t="s">
        <v>56</v>
      </c>
      <c r="E1947" t="s">
        <v>26</v>
      </c>
      <c r="F1947" s="5">
        <v>3</v>
      </c>
      <c r="G1947" s="5">
        <v>1</v>
      </c>
      <c r="H1947" s="5">
        <v>10546</v>
      </c>
      <c r="I1947" s="5">
        <v>3</v>
      </c>
      <c r="J1947" s="5">
        <v>10545</v>
      </c>
      <c r="K1947" t="s">
        <v>18</v>
      </c>
      <c r="L1947" t="s">
        <v>19</v>
      </c>
      <c r="M1947" t="s">
        <v>60</v>
      </c>
      <c r="N1947" t="s">
        <v>70</v>
      </c>
      <c r="O1947" t="s">
        <v>71</v>
      </c>
      <c r="P1947" t="s">
        <v>36</v>
      </c>
      <c r="Q1947">
        <f>Table1[[#This Row],[Course_Fee_AED]]-Table1[[#This Row],[Amount_Paid_AED]]</f>
        <v>1</v>
      </c>
      <c r="R1947">
        <f>Table1[[#This Row],[Course_Fee_AED]]-Table1[[#This Row],[pending Revenue]]</f>
        <v>10545</v>
      </c>
    </row>
    <row r="1948" spans="1:18" x14ac:dyDescent="0.25">
      <c r="A1948" t="s">
        <v>2025</v>
      </c>
      <c r="B1948" s="2">
        <v>45652</v>
      </c>
      <c r="C1948" t="s">
        <v>66</v>
      </c>
      <c r="D1948" t="s">
        <v>56</v>
      </c>
      <c r="E1948" t="s">
        <v>17</v>
      </c>
      <c r="F1948" s="5">
        <v>6</v>
      </c>
      <c r="G1948" s="5">
        <v>1</v>
      </c>
      <c r="H1948" s="5">
        <v>11206</v>
      </c>
      <c r="I1948" s="5">
        <v>3</v>
      </c>
      <c r="J1948" s="5">
        <v>11205</v>
      </c>
      <c r="K1948" t="s">
        <v>18</v>
      </c>
      <c r="L1948" t="s">
        <v>57</v>
      </c>
      <c r="M1948" t="s">
        <v>27</v>
      </c>
      <c r="N1948" t="s">
        <v>21</v>
      </c>
      <c r="O1948" t="s">
        <v>64</v>
      </c>
      <c r="P1948" t="s">
        <v>36</v>
      </c>
      <c r="Q1948">
        <f>Table1[[#This Row],[Course_Fee_AED]]-Table1[[#This Row],[Amount_Paid_AED]]</f>
        <v>1</v>
      </c>
      <c r="R1948">
        <f>Table1[[#This Row],[Course_Fee_AED]]-Table1[[#This Row],[pending Revenue]]</f>
        <v>11205</v>
      </c>
    </row>
    <row r="1949" spans="1:18" x14ac:dyDescent="0.25">
      <c r="A1949" t="s">
        <v>2026</v>
      </c>
      <c r="B1949" s="2">
        <v>45655</v>
      </c>
      <c r="C1949" t="s">
        <v>82</v>
      </c>
      <c r="D1949" t="s">
        <v>83</v>
      </c>
      <c r="E1949" t="s">
        <v>26</v>
      </c>
      <c r="F1949" s="5">
        <v>3</v>
      </c>
      <c r="G1949" s="5">
        <v>1</v>
      </c>
      <c r="H1949" s="5">
        <v>14515</v>
      </c>
      <c r="I1949" s="5">
        <v>1</v>
      </c>
      <c r="J1949" s="5">
        <v>4838</v>
      </c>
      <c r="K1949" t="s">
        <v>18</v>
      </c>
      <c r="L1949" t="s">
        <v>40</v>
      </c>
      <c r="M1949" t="s">
        <v>41</v>
      </c>
      <c r="N1949" t="s">
        <v>86</v>
      </c>
      <c r="O1949" t="s">
        <v>43</v>
      </c>
      <c r="P1949" t="s">
        <v>36</v>
      </c>
      <c r="Q1949">
        <f>Table1[[#This Row],[Course_Fee_AED]]-Table1[[#This Row],[Amount_Paid_AED]]</f>
        <v>9677</v>
      </c>
      <c r="R1949">
        <f>Table1[[#This Row],[Course_Fee_AED]]-Table1[[#This Row],[pending Revenue]]</f>
        <v>4838</v>
      </c>
    </row>
    <row r="1950" spans="1:18" x14ac:dyDescent="0.25">
      <c r="A1950" t="s">
        <v>2027</v>
      </c>
      <c r="B1950" s="2">
        <v>45438</v>
      </c>
      <c r="C1950" t="s">
        <v>55</v>
      </c>
      <c r="D1950" t="s">
        <v>56</v>
      </c>
      <c r="E1950" t="s">
        <v>26</v>
      </c>
      <c r="F1950" s="5">
        <v>3</v>
      </c>
      <c r="G1950" s="5">
        <v>1</v>
      </c>
      <c r="H1950" s="5">
        <v>10267</v>
      </c>
      <c r="I1950" s="5">
        <v>3</v>
      </c>
      <c r="J1950" s="5">
        <v>10266</v>
      </c>
      <c r="K1950" t="s">
        <v>18</v>
      </c>
      <c r="L1950" t="s">
        <v>40</v>
      </c>
      <c r="M1950" t="s">
        <v>27</v>
      </c>
      <c r="N1950" t="s">
        <v>73</v>
      </c>
      <c r="O1950" t="s">
        <v>43</v>
      </c>
      <c r="P1950" t="s">
        <v>18</v>
      </c>
      <c r="Q1950">
        <f>Table1[[#This Row],[Course_Fee_AED]]-Table1[[#This Row],[Amount_Paid_AED]]</f>
        <v>1</v>
      </c>
      <c r="R1950">
        <f>Table1[[#This Row],[Course_Fee_AED]]-Table1[[#This Row],[pending Revenue]]</f>
        <v>10266</v>
      </c>
    </row>
    <row r="1951" spans="1:18" x14ac:dyDescent="0.25">
      <c r="A1951" t="s">
        <v>2028</v>
      </c>
      <c r="B1951" s="2">
        <v>45635</v>
      </c>
      <c r="C1951" t="s">
        <v>113</v>
      </c>
      <c r="D1951" t="s">
        <v>93</v>
      </c>
      <c r="E1951" t="s">
        <v>17</v>
      </c>
      <c r="F1951" s="5">
        <v>6</v>
      </c>
      <c r="G1951" s="5">
        <v>1</v>
      </c>
      <c r="H1951" s="5">
        <v>3576</v>
      </c>
      <c r="I1951" s="5">
        <v>1</v>
      </c>
      <c r="J1951" s="5">
        <v>1192</v>
      </c>
      <c r="K1951" t="s">
        <v>18</v>
      </c>
      <c r="L1951" t="s">
        <v>40</v>
      </c>
      <c r="M1951" t="s">
        <v>20</v>
      </c>
      <c r="N1951" t="s">
        <v>95</v>
      </c>
      <c r="O1951" t="s">
        <v>58</v>
      </c>
      <c r="P1951" t="s">
        <v>36</v>
      </c>
      <c r="Q1951">
        <f>Table1[[#This Row],[Course_Fee_AED]]-Table1[[#This Row],[Amount_Paid_AED]]</f>
        <v>2384</v>
      </c>
      <c r="R1951">
        <f>Table1[[#This Row],[Course_Fee_AED]]-Table1[[#This Row],[pending Revenue]]</f>
        <v>1192</v>
      </c>
    </row>
    <row r="1952" spans="1:18" x14ac:dyDescent="0.25">
      <c r="A1952" t="s">
        <v>2029</v>
      </c>
      <c r="B1952" s="2">
        <v>45519</v>
      </c>
      <c r="C1952" t="s">
        <v>100</v>
      </c>
      <c r="D1952" t="s">
        <v>101</v>
      </c>
      <c r="E1952" t="s">
        <v>17</v>
      </c>
      <c r="F1952" s="5">
        <v>6</v>
      </c>
      <c r="G1952" s="5">
        <v>1</v>
      </c>
      <c r="H1952" s="5">
        <v>4267</v>
      </c>
      <c r="I1952" s="5">
        <v>3</v>
      </c>
      <c r="J1952" s="5">
        <v>4266</v>
      </c>
      <c r="K1952" t="s">
        <v>18</v>
      </c>
      <c r="L1952" t="s">
        <v>57</v>
      </c>
      <c r="M1952" t="s">
        <v>41</v>
      </c>
      <c r="N1952" t="s">
        <v>154</v>
      </c>
      <c r="O1952" t="s">
        <v>35</v>
      </c>
      <c r="P1952" t="s">
        <v>36</v>
      </c>
      <c r="Q1952">
        <f>Table1[[#This Row],[Course_Fee_AED]]-Table1[[#This Row],[Amount_Paid_AED]]</f>
        <v>1</v>
      </c>
      <c r="R1952">
        <f>Table1[[#This Row],[Course_Fee_AED]]-Table1[[#This Row],[pending Revenue]]</f>
        <v>4266</v>
      </c>
    </row>
    <row r="1953" spans="1:18" x14ac:dyDescent="0.25">
      <c r="A1953" t="s">
        <v>2030</v>
      </c>
      <c r="B1953" s="2">
        <v>45644</v>
      </c>
      <c r="C1953" t="s">
        <v>31</v>
      </c>
      <c r="D1953" t="s">
        <v>32</v>
      </c>
      <c r="E1953" t="s">
        <v>17</v>
      </c>
      <c r="F1953" s="5">
        <v>6</v>
      </c>
      <c r="G1953" s="5">
        <v>1</v>
      </c>
      <c r="H1953" s="5">
        <v>6745</v>
      </c>
      <c r="I1953" s="5">
        <v>1</v>
      </c>
      <c r="J1953" s="5">
        <v>2248</v>
      </c>
      <c r="K1953" t="s">
        <v>18</v>
      </c>
      <c r="L1953" t="s">
        <v>40</v>
      </c>
      <c r="M1953" t="s">
        <v>41</v>
      </c>
      <c r="N1953" t="s">
        <v>86</v>
      </c>
      <c r="O1953" t="s">
        <v>29</v>
      </c>
      <c r="P1953" t="s">
        <v>36</v>
      </c>
      <c r="Q1953">
        <f>Table1[[#This Row],[Course_Fee_AED]]-Table1[[#This Row],[Amount_Paid_AED]]</f>
        <v>4497</v>
      </c>
      <c r="R1953">
        <f>Table1[[#This Row],[Course_Fee_AED]]-Table1[[#This Row],[pending Revenue]]</f>
        <v>2248</v>
      </c>
    </row>
    <row r="1954" spans="1:18" x14ac:dyDescent="0.25">
      <c r="A1954" t="s">
        <v>2031</v>
      </c>
      <c r="B1954" s="2">
        <v>45381</v>
      </c>
      <c r="C1954" t="s">
        <v>92</v>
      </c>
      <c r="D1954" t="s">
        <v>93</v>
      </c>
      <c r="E1954" t="s">
        <v>17</v>
      </c>
      <c r="F1954" s="5">
        <v>6</v>
      </c>
      <c r="G1954" s="5">
        <v>1</v>
      </c>
      <c r="H1954" s="5">
        <v>4567</v>
      </c>
      <c r="I1954" s="5">
        <v>1</v>
      </c>
      <c r="J1954" s="5">
        <v>1522</v>
      </c>
      <c r="K1954" t="s">
        <v>18</v>
      </c>
      <c r="L1954" t="s">
        <v>40</v>
      </c>
      <c r="M1954" t="s">
        <v>63</v>
      </c>
      <c r="N1954" t="s">
        <v>53</v>
      </c>
      <c r="O1954" t="s">
        <v>35</v>
      </c>
      <c r="P1954" t="s">
        <v>36</v>
      </c>
      <c r="Q1954">
        <f>Table1[[#This Row],[Course_Fee_AED]]-Table1[[#This Row],[Amount_Paid_AED]]</f>
        <v>3045</v>
      </c>
      <c r="R1954">
        <f>Table1[[#This Row],[Course_Fee_AED]]-Table1[[#This Row],[pending Revenue]]</f>
        <v>1522</v>
      </c>
    </row>
    <row r="1955" spans="1:18" x14ac:dyDescent="0.25">
      <c r="A1955" t="s">
        <v>2032</v>
      </c>
      <c r="B1955" s="2">
        <v>45364</v>
      </c>
      <c r="C1955" t="s">
        <v>75</v>
      </c>
      <c r="D1955" t="s">
        <v>76</v>
      </c>
      <c r="E1955" t="s">
        <v>26</v>
      </c>
      <c r="F1955" s="5">
        <v>3</v>
      </c>
      <c r="G1955" s="5">
        <v>1</v>
      </c>
      <c r="H1955" s="5">
        <v>7157</v>
      </c>
      <c r="I1955" s="5">
        <v>1</v>
      </c>
      <c r="J1955" s="5">
        <v>2385</v>
      </c>
      <c r="K1955" t="s">
        <v>18</v>
      </c>
      <c r="L1955" t="s">
        <v>57</v>
      </c>
      <c r="M1955" t="s">
        <v>41</v>
      </c>
      <c r="N1955" t="s">
        <v>34</v>
      </c>
      <c r="O1955" t="s">
        <v>87</v>
      </c>
      <c r="P1955" t="s">
        <v>18</v>
      </c>
      <c r="Q1955">
        <f>Table1[[#This Row],[Course_Fee_AED]]-Table1[[#This Row],[Amount_Paid_AED]]</f>
        <v>4772</v>
      </c>
      <c r="R1955">
        <f>Table1[[#This Row],[Course_Fee_AED]]-Table1[[#This Row],[pending Revenue]]</f>
        <v>2385</v>
      </c>
    </row>
    <row r="1956" spans="1:18" x14ac:dyDescent="0.25">
      <c r="A1956" t="s">
        <v>2033</v>
      </c>
      <c r="B1956" s="2">
        <v>45509</v>
      </c>
      <c r="C1956" t="s">
        <v>106</v>
      </c>
      <c r="D1956" t="s">
        <v>107</v>
      </c>
      <c r="E1956" t="s">
        <v>17</v>
      </c>
      <c r="F1956" s="5">
        <v>6</v>
      </c>
      <c r="G1956" s="5">
        <v>1</v>
      </c>
      <c r="H1956" s="5">
        <v>5925</v>
      </c>
      <c r="I1956" s="5">
        <v>1</v>
      </c>
      <c r="J1956" s="5">
        <v>1975</v>
      </c>
      <c r="K1956" t="s">
        <v>18</v>
      </c>
      <c r="L1956" t="s">
        <v>19</v>
      </c>
      <c r="M1956" t="s">
        <v>47</v>
      </c>
      <c r="N1956" t="s">
        <v>42</v>
      </c>
      <c r="O1956" t="s">
        <v>22</v>
      </c>
      <c r="P1956" t="s">
        <v>36</v>
      </c>
      <c r="Q1956">
        <f>Table1[[#This Row],[Course_Fee_AED]]-Table1[[#This Row],[Amount_Paid_AED]]</f>
        <v>3950</v>
      </c>
      <c r="R1956">
        <f>Table1[[#This Row],[Course_Fee_AED]]-Table1[[#This Row],[pending Revenue]]</f>
        <v>1975</v>
      </c>
    </row>
    <row r="1957" spans="1:18" x14ac:dyDescent="0.25">
      <c r="A1957" t="s">
        <v>2034</v>
      </c>
      <c r="B1957" s="2">
        <v>45555</v>
      </c>
      <c r="C1957" t="s">
        <v>31</v>
      </c>
      <c r="D1957" t="s">
        <v>32</v>
      </c>
      <c r="E1957" t="s">
        <v>26</v>
      </c>
      <c r="F1957" s="5">
        <v>3</v>
      </c>
      <c r="G1957" s="5">
        <v>1</v>
      </c>
      <c r="H1957" s="5">
        <v>6077</v>
      </c>
      <c r="I1957" s="5">
        <v>2</v>
      </c>
      <c r="J1957" s="5">
        <v>4050</v>
      </c>
      <c r="K1957" t="s">
        <v>18</v>
      </c>
      <c r="L1957" t="s">
        <v>57</v>
      </c>
      <c r="M1957" t="s">
        <v>20</v>
      </c>
      <c r="N1957" t="s">
        <v>61</v>
      </c>
      <c r="O1957" t="s">
        <v>35</v>
      </c>
      <c r="P1957" t="s">
        <v>18</v>
      </c>
      <c r="Q1957">
        <f>Table1[[#This Row],[Course_Fee_AED]]-Table1[[#This Row],[Amount_Paid_AED]]</f>
        <v>2027</v>
      </c>
      <c r="R1957">
        <f>Table1[[#This Row],[Course_Fee_AED]]-Table1[[#This Row],[pending Revenue]]</f>
        <v>4050</v>
      </c>
    </row>
    <row r="1958" spans="1:18" x14ac:dyDescent="0.25">
      <c r="A1958" t="s">
        <v>2035</v>
      </c>
      <c r="B1958" s="2">
        <v>45621</v>
      </c>
      <c r="C1958" t="s">
        <v>82</v>
      </c>
      <c r="D1958" t="s">
        <v>83</v>
      </c>
      <c r="E1958" t="s">
        <v>17</v>
      </c>
      <c r="F1958" s="5">
        <v>6</v>
      </c>
      <c r="G1958" s="5">
        <v>1</v>
      </c>
      <c r="H1958" s="5">
        <v>9189</v>
      </c>
      <c r="I1958" s="5">
        <v>3</v>
      </c>
      <c r="J1958" s="5">
        <v>9189</v>
      </c>
      <c r="K1958" t="s">
        <v>33</v>
      </c>
      <c r="L1958" t="s">
        <v>40</v>
      </c>
      <c r="M1958" t="s">
        <v>41</v>
      </c>
      <c r="N1958" t="s">
        <v>28</v>
      </c>
      <c r="O1958" t="s">
        <v>22</v>
      </c>
      <c r="P1958" t="s">
        <v>18</v>
      </c>
      <c r="Q1958">
        <f>Table1[[#This Row],[Course_Fee_AED]]-Table1[[#This Row],[Amount_Paid_AED]]</f>
        <v>0</v>
      </c>
      <c r="R1958">
        <f>Table1[[#This Row],[Course_Fee_AED]]-Table1[[#This Row],[pending Revenue]]</f>
        <v>9189</v>
      </c>
    </row>
    <row r="1959" spans="1:18" x14ac:dyDescent="0.25">
      <c r="A1959" t="s">
        <v>2036</v>
      </c>
      <c r="B1959" s="2">
        <v>45554</v>
      </c>
      <c r="C1959" t="s">
        <v>66</v>
      </c>
      <c r="D1959" t="s">
        <v>56</v>
      </c>
      <c r="E1959" t="s">
        <v>17</v>
      </c>
      <c r="F1959" s="5">
        <v>6</v>
      </c>
      <c r="G1959" s="5">
        <v>1</v>
      </c>
      <c r="H1959" s="5">
        <v>9637</v>
      </c>
      <c r="I1959" s="5">
        <v>3</v>
      </c>
      <c r="J1959" s="5">
        <v>9636</v>
      </c>
      <c r="K1959" t="s">
        <v>18</v>
      </c>
      <c r="L1959" t="s">
        <v>40</v>
      </c>
      <c r="M1959" t="s">
        <v>20</v>
      </c>
      <c r="N1959" t="s">
        <v>70</v>
      </c>
      <c r="O1959" t="s">
        <v>71</v>
      </c>
      <c r="P1959" t="s">
        <v>36</v>
      </c>
      <c r="Q1959">
        <f>Table1[[#This Row],[Course_Fee_AED]]-Table1[[#This Row],[Amount_Paid_AED]]</f>
        <v>1</v>
      </c>
      <c r="R1959">
        <f>Table1[[#This Row],[Course_Fee_AED]]-Table1[[#This Row],[pending Revenue]]</f>
        <v>9636</v>
      </c>
    </row>
    <row r="1960" spans="1:18" x14ac:dyDescent="0.25">
      <c r="A1960" t="s">
        <v>2037</v>
      </c>
      <c r="B1960" s="2">
        <v>45438</v>
      </c>
      <c r="C1960" t="s">
        <v>38</v>
      </c>
      <c r="D1960" t="s">
        <v>39</v>
      </c>
      <c r="E1960" t="s">
        <v>17</v>
      </c>
      <c r="F1960" s="5">
        <v>6</v>
      </c>
      <c r="G1960" s="5">
        <v>1</v>
      </c>
      <c r="H1960" s="5">
        <v>6475</v>
      </c>
      <c r="I1960" s="5">
        <v>2</v>
      </c>
      <c r="J1960" s="5">
        <v>4316</v>
      </c>
      <c r="K1960" t="s">
        <v>18</v>
      </c>
      <c r="L1960" t="s">
        <v>40</v>
      </c>
      <c r="M1960" t="s">
        <v>20</v>
      </c>
      <c r="N1960" t="s">
        <v>79</v>
      </c>
      <c r="O1960" t="s">
        <v>22</v>
      </c>
      <c r="P1960" t="s">
        <v>36</v>
      </c>
      <c r="Q1960">
        <f>Table1[[#This Row],[Course_Fee_AED]]-Table1[[#This Row],[Amount_Paid_AED]]</f>
        <v>2159</v>
      </c>
      <c r="R1960">
        <f>Table1[[#This Row],[Course_Fee_AED]]-Table1[[#This Row],[pending Revenue]]</f>
        <v>4316</v>
      </c>
    </row>
    <row r="1961" spans="1:18" x14ac:dyDescent="0.25">
      <c r="A1961" t="s">
        <v>2038</v>
      </c>
      <c r="B1961" s="2">
        <v>45583</v>
      </c>
      <c r="C1961" t="s">
        <v>113</v>
      </c>
      <c r="D1961" t="s">
        <v>93</v>
      </c>
      <c r="E1961" t="s">
        <v>26</v>
      </c>
      <c r="F1961" s="5">
        <v>3</v>
      </c>
      <c r="G1961" s="5">
        <v>1</v>
      </c>
      <c r="H1961" s="5">
        <v>4417</v>
      </c>
      <c r="I1961" s="5">
        <v>2</v>
      </c>
      <c r="J1961" s="5">
        <v>2944</v>
      </c>
      <c r="K1961" t="s">
        <v>18</v>
      </c>
      <c r="L1961" t="s">
        <v>57</v>
      </c>
      <c r="M1961" t="s">
        <v>27</v>
      </c>
      <c r="N1961" t="s">
        <v>79</v>
      </c>
      <c r="O1961" t="s">
        <v>35</v>
      </c>
      <c r="P1961" t="s">
        <v>18</v>
      </c>
      <c r="Q1961">
        <f>Table1[[#This Row],[Course_Fee_AED]]-Table1[[#This Row],[Amount_Paid_AED]]</f>
        <v>1473</v>
      </c>
      <c r="R1961">
        <f>Table1[[#This Row],[Course_Fee_AED]]-Table1[[#This Row],[pending Revenue]]</f>
        <v>2944</v>
      </c>
    </row>
    <row r="1962" spans="1:18" x14ac:dyDescent="0.25">
      <c r="A1962" t="s">
        <v>2039</v>
      </c>
      <c r="B1962" s="2">
        <v>45568</v>
      </c>
      <c r="C1962" t="s">
        <v>82</v>
      </c>
      <c r="D1962" t="s">
        <v>83</v>
      </c>
      <c r="E1962" t="s">
        <v>26</v>
      </c>
      <c r="F1962" s="5">
        <v>3</v>
      </c>
      <c r="G1962" s="5">
        <v>1</v>
      </c>
      <c r="H1962" s="5">
        <v>8937</v>
      </c>
      <c r="I1962" s="5">
        <v>1</v>
      </c>
      <c r="J1962" s="5">
        <v>2979</v>
      </c>
      <c r="K1962" t="s">
        <v>18</v>
      </c>
      <c r="L1962" t="s">
        <v>19</v>
      </c>
      <c r="M1962" t="s">
        <v>27</v>
      </c>
      <c r="N1962" t="s">
        <v>61</v>
      </c>
      <c r="O1962" t="s">
        <v>58</v>
      </c>
      <c r="P1962" t="s">
        <v>36</v>
      </c>
      <c r="Q1962">
        <f>Table1[[#This Row],[Course_Fee_AED]]-Table1[[#This Row],[Amount_Paid_AED]]</f>
        <v>5958</v>
      </c>
      <c r="R1962">
        <f>Table1[[#This Row],[Course_Fee_AED]]-Table1[[#This Row],[pending Revenue]]</f>
        <v>2979</v>
      </c>
    </row>
    <row r="1963" spans="1:18" x14ac:dyDescent="0.25">
      <c r="A1963" t="s">
        <v>2040</v>
      </c>
      <c r="B1963" s="2">
        <v>45505</v>
      </c>
      <c r="C1963" t="s">
        <v>82</v>
      </c>
      <c r="D1963" t="s">
        <v>83</v>
      </c>
      <c r="E1963" t="s">
        <v>17</v>
      </c>
      <c r="F1963" s="5">
        <v>6</v>
      </c>
      <c r="G1963" s="5">
        <v>1</v>
      </c>
      <c r="H1963" s="5">
        <v>11861</v>
      </c>
      <c r="I1963" s="5">
        <v>2</v>
      </c>
      <c r="J1963" s="5">
        <v>7906</v>
      </c>
      <c r="K1963" t="s">
        <v>18</v>
      </c>
      <c r="L1963" t="s">
        <v>19</v>
      </c>
      <c r="M1963" t="s">
        <v>60</v>
      </c>
      <c r="N1963" t="s">
        <v>86</v>
      </c>
      <c r="O1963" t="s">
        <v>22</v>
      </c>
      <c r="P1963" t="s">
        <v>18</v>
      </c>
      <c r="Q1963">
        <f>Table1[[#This Row],[Course_Fee_AED]]-Table1[[#This Row],[Amount_Paid_AED]]</f>
        <v>3955</v>
      </c>
      <c r="R1963">
        <f>Table1[[#This Row],[Course_Fee_AED]]-Table1[[#This Row],[pending Revenue]]</f>
        <v>7906</v>
      </c>
    </row>
    <row r="1964" spans="1:18" x14ac:dyDescent="0.25">
      <c r="A1964" t="s">
        <v>2041</v>
      </c>
      <c r="B1964" s="2">
        <v>45363</v>
      </c>
      <c r="C1964" t="s">
        <v>15</v>
      </c>
      <c r="D1964" t="s">
        <v>16</v>
      </c>
      <c r="E1964" t="s">
        <v>26</v>
      </c>
      <c r="F1964" s="5">
        <v>3</v>
      </c>
      <c r="G1964" s="5">
        <v>1</v>
      </c>
      <c r="H1964" s="5">
        <v>6085</v>
      </c>
      <c r="I1964" s="5">
        <v>3</v>
      </c>
      <c r="J1964" s="5">
        <v>6084</v>
      </c>
      <c r="K1964" t="s">
        <v>18</v>
      </c>
      <c r="L1964" t="s">
        <v>19</v>
      </c>
      <c r="M1964" t="s">
        <v>20</v>
      </c>
      <c r="N1964" t="s">
        <v>154</v>
      </c>
      <c r="O1964" t="s">
        <v>43</v>
      </c>
      <c r="P1964" t="s">
        <v>18</v>
      </c>
      <c r="Q1964">
        <f>Table1[[#This Row],[Course_Fee_AED]]-Table1[[#This Row],[Amount_Paid_AED]]</f>
        <v>1</v>
      </c>
      <c r="R1964">
        <f>Table1[[#This Row],[Course_Fee_AED]]-Table1[[#This Row],[pending Revenue]]</f>
        <v>6084</v>
      </c>
    </row>
    <row r="1965" spans="1:18" x14ac:dyDescent="0.25">
      <c r="A1965" t="s">
        <v>2042</v>
      </c>
      <c r="B1965" s="2">
        <v>45565</v>
      </c>
      <c r="C1965" t="s">
        <v>45</v>
      </c>
      <c r="D1965" t="s">
        <v>46</v>
      </c>
      <c r="E1965" t="s">
        <v>17</v>
      </c>
      <c r="F1965" s="5">
        <v>6</v>
      </c>
      <c r="G1965" s="5">
        <v>1</v>
      </c>
      <c r="H1965" s="5">
        <v>5282</v>
      </c>
      <c r="I1965" s="5">
        <v>2</v>
      </c>
      <c r="J1965" s="5">
        <v>3520</v>
      </c>
      <c r="K1965" t="s">
        <v>18</v>
      </c>
      <c r="L1965" t="s">
        <v>40</v>
      </c>
      <c r="M1965" t="s">
        <v>27</v>
      </c>
      <c r="N1965" t="s">
        <v>34</v>
      </c>
      <c r="O1965" t="s">
        <v>87</v>
      </c>
      <c r="P1965" t="s">
        <v>36</v>
      </c>
      <c r="Q1965">
        <f>Table1[[#This Row],[Course_Fee_AED]]-Table1[[#This Row],[Amount_Paid_AED]]</f>
        <v>1762</v>
      </c>
      <c r="R1965">
        <f>Table1[[#This Row],[Course_Fee_AED]]-Table1[[#This Row],[pending Revenue]]</f>
        <v>3520</v>
      </c>
    </row>
    <row r="1966" spans="1:18" x14ac:dyDescent="0.25">
      <c r="A1966" t="s">
        <v>2043</v>
      </c>
      <c r="B1966" s="2">
        <v>45518</v>
      </c>
      <c r="C1966" t="s">
        <v>106</v>
      </c>
      <c r="D1966" t="s">
        <v>107</v>
      </c>
      <c r="E1966" t="s">
        <v>17</v>
      </c>
      <c r="F1966" s="5">
        <v>6</v>
      </c>
      <c r="G1966" s="5">
        <v>1</v>
      </c>
      <c r="H1966" s="5">
        <v>7950</v>
      </c>
      <c r="I1966" s="5">
        <v>2</v>
      </c>
      <c r="J1966" s="5">
        <v>5300</v>
      </c>
      <c r="K1966" t="s">
        <v>18</v>
      </c>
      <c r="L1966" t="s">
        <v>19</v>
      </c>
      <c r="M1966" t="s">
        <v>27</v>
      </c>
      <c r="N1966" t="s">
        <v>21</v>
      </c>
      <c r="O1966" t="s">
        <v>68</v>
      </c>
      <c r="P1966" t="s">
        <v>18</v>
      </c>
      <c r="Q1966">
        <f>Table1[[#This Row],[Course_Fee_AED]]-Table1[[#This Row],[Amount_Paid_AED]]</f>
        <v>2650</v>
      </c>
      <c r="R1966">
        <f>Table1[[#This Row],[Course_Fee_AED]]-Table1[[#This Row],[pending Revenue]]</f>
        <v>5300</v>
      </c>
    </row>
    <row r="1967" spans="1:18" x14ac:dyDescent="0.25">
      <c r="A1967" t="s">
        <v>2044</v>
      </c>
      <c r="B1967" s="2">
        <v>45459</v>
      </c>
      <c r="C1967" t="s">
        <v>55</v>
      </c>
      <c r="D1967" t="s">
        <v>56</v>
      </c>
      <c r="E1967" t="s">
        <v>17</v>
      </c>
      <c r="F1967" s="5">
        <v>6</v>
      </c>
      <c r="G1967" s="5">
        <v>1</v>
      </c>
      <c r="H1967" s="5">
        <v>7779</v>
      </c>
      <c r="I1967" s="5">
        <v>2</v>
      </c>
      <c r="J1967" s="5">
        <v>5186</v>
      </c>
      <c r="K1967" t="s">
        <v>18</v>
      </c>
      <c r="L1967" t="s">
        <v>40</v>
      </c>
      <c r="M1967" t="s">
        <v>20</v>
      </c>
      <c r="N1967" t="s">
        <v>53</v>
      </c>
      <c r="O1967" t="s">
        <v>29</v>
      </c>
      <c r="P1967" t="s">
        <v>36</v>
      </c>
      <c r="Q1967">
        <f>Table1[[#This Row],[Course_Fee_AED]]-Table1[[#This Row],[Amount_Paid_AED]]</f>
        <v>2593</v>
      </c>
      <c r="R1967">
        <f>Table1[[#This Row],[Course_Fee_AED]]-Table1[[#This Row],[pending Revenue]]</f>
        <v>5186</v>
      </c>
    </row>
    <row r="1968" spans="1:18" x14ac:dyDescent="0.25">
      <c r="A1968" t="s">
        <v>2045</v>
      </c>
      <c r="B1968" s="2">
        <v>45485</v>
      </c>
      <c r="C1968" t="s">
        <v>66</v>
      </c>
      <c r="D1968" t="s">
        <v>56</v>
      </c>
      <c r="E1968" t="s">
        <v>26</v>
      </c>
      <c r="F1968" s="5">
        <v>3</v>
      </c>
      <c r="G1968" s="5">
        <v>1</v>
      </c>
      <c r="H1968" s="5">
        <v>11118</v>
      </c>
      <c r="I1968" s="5">
        <v>1</v>
      </c>
      <c r="J1968" s="5">
        <v>3706</v>
      </c>
      <c r="K1968" t="s">
        <v>18</v>
      </c>
      <c r="L1968" t="s">
        <v>40</v>
      </c>
      <c r="M1968" t="s">
        <v>47</v>
      </c>
      <c r="N1968" t="s">
        <v>90</v>
      </c>
      <c r="O1968" t="s">
        <v>49</v>
      </c>
      <c r="P1968" t="s">
        <v>18</v>
      </c>
      <c r="Q1968">
        <f>Table1[[#This Row],[Course_Fee_AED]]-Table1[[#This Row],[Amount_Paid_AED]]</f>
        <v>7412</v>
      </c>
      <c r="R1968">
        <f>Table1[[#This Row],[Course_Fee_AED]]-Table1[[#This Row],[pending Revenue]]</f>
        <v>3706</v>
      </c>
    </row>
    <row r="1969" spans="1:18" x14ac:dyDescent="0.25">
      <c r="A1969" t="s">
        <v>2046</v>
      </c>
      <c r="B1969" s="2">
        <v>45513</v>
      </c>
      <c r="C1969" t="s">
        <v>38</v>
      </c>
      <c r="D1969" t="s">
        <v>39</v>
      </c>
      <c r="E1969" t="s">
        <v>26</v>
      </c>
      <c r="F1969" s="5">
        <v>3</v>
      </c>
      <c r="G1969" s="5">
        <v>1</v>
      </c>
      <c r="H1969" s="5">
        <v>4189</v>
      </c>
      <c r="I1969" s="5">
        <v>3</v>
      </c>
      <c r="J1969" s="5">
        <v>4188</v>
      </c>
      <c r="K1969" t="s">
        <v>18</v>
      </c>
      <c r="L1969" t="s">
        <v>19</v>
      </c>
      <c r="M1969" t="s">
        <v>47</v>
      </c>
      <c r="N1969" t="s">
        <v>70</v>
      </c>
      <c r="O1969" t="s">
        <v>64</v>
      </c>
      <c r="P1969" t="s">
        <v>36</v>
      </c>
      <c r="Q1969">
        <f>Table1[[#This Row],[Course_Fee_AED]]-Table1[[#This Row],[Amount_Paid_AED]]</f>
        <v>1</v>
      </c>
      <c r="R1969">
        <f>Table1[[#This Row],[Course_Fee_AED]]-Table1[[#This Row],[pending Revenue]]</f>
        <v>4188</v>
      </c>
    </row>
    <row r="1970" spans="1:18" x14ac:dyDescent="0.25">
      <c r="A1970" t="s">
        <v>2047</v>
      </c>
      <c r="B1970" s="2">
        <v>45414</v>
      </c>
      <c r="C1970" t="s">
        <v>15</v>
      </c>
      <c r="D1970" t="s">
        <v>16</v>
      </c>
      <c r="E1970" t="s">
        <v>17</v>
      </c>
      <c r="F1970" s="5">
        <v>6</v>
      </c>
      <c r="G1970" s="5">
        <v>1</v>
      </c>
      <c r="H1970" s="5">
        <v>6868</v>
      </c>
      <c r="I1970" s="5">
        <v>2</v>
      </c>
      <c r="J1970" s="5">
        <v>4578</v>
      </c>
      <c r="K1970" t="s">
        <v>18</v>
      </c>
      <c r="L1970" t="s">
        <v>19</v>
      </c>
      <c r="M1970" t="s">
        <v>27</v>
      </c>
      <c r="N1970" t="s">
        <v>116</v>
      </c>
      <c r="O1970" t="s">
        <v>43</v>
      </c>
      <c r="P1970" t="s">
        <v>18</v>
      </c>
      <c r="Q1970">
        <f>Table1[[#This Row],[Course_Fee_AED]]-Table1[[#This Row],[Amount_Paid_AED]]</f>
        <v>2290</v>
      </c>
      <c r="R1970">
        <f>Table1[[#This Row],[Course_Fee_AED]]-Table1[[#This Row],[pending Revenue]]</f>
        <v>4578</v>
      </c>
    </row>
    <row r="1971" spans="1:18" x14ac:dyDescent="0.25">
      <c r="A1971" t="s">
        <v>2048</v>
      </c>
      <c r="B1971" s="2">
        <v>45535</v>
      </c>
      <c r="C1971" t="s">
        <v>106</v>
      </c>
      <c r="D1971" t="s">
        <v>107</v>
      </c>
      <c r="E1971" t="s">
        <v>17</v>
      </c>
      <c r="F1971" s="5">
        <v>6</v>
      </c>
      <c r="G1971" s="5">
        <v>1</v>
      </c>
      <c r="H1971" s="5">
        <v>5841</v>
      </c>
      <c r="I1971" s="5">
        <v>3</v>
      </c>
      <c r="J1971" s="5">
        <v>5841</v>
      </c>
      <c r="K1971" t="s">
        <v>33</v>
      </c>
      <c r="L1971" t="s">
        <v>57</v>
      </c>
      <c r="M1971" t="s">
        <v>60</v>
      </c>
      <c r="N1971" t="s">
        <v>95</v>
      </c>
      <c r="O1971" t="s">
        <v>68</v>
      </c>
      <c r="P1971" t="s">
        <v>18</v>
      </c>
      <c r="Q1971">
        <f>Table1[[#This Row],[Course_Fee_AED]]-Table1[[#This Row],[Amount_Paid_AED]]</f>
        <v>0</v>
      </c>
      <c r="R1971">
        <f>Table1[[#This Row],[Course_Fee_AED]]-Table1[[#This Row],[pending Revenue]]</f>
        <v>5841</v>
      </c>
    </row>
    <row r="1972" spans="1:18" x14ac:dyDescent="0.25">
      <c r="A1972" t="s">
        <v>2049</v>
      </c>
      <c r="B1972" s="2">
        <v>45348</v>
      </c>
      <c r="C1972" t="s">
        <v>82</v>
      </c>
      <c r="D1972" t="s">
        <v>83</v>
      </c>
      <c r="E1972" t="s">
        <v>26</v>
      </c>
      <c r="F1972" s="5">
        <v>3</v>
      </c>
      <c r="G1972" s="5">
        <v>1</v>
      </c>
      <c r="H1972" s="5">
        <v>13281</v>
      </c>
      <c r="I1972" s="5">
        <v>3</v>
      </c>
      <c r="J1972" s="5">
        <v>13281</v>
      </c>
      <c r="K1972" t="s">
        <v>33</v>
      </c>
      <c r="L1972" t="s">
        <v>57</v>
      </c>
      <c r="M1972" t="s">
        <v>60</v>
      </c>
      <c r="N1972" t="s">
        <v>61</v>
      </c>
      <c r="O1972" t="s">
        <v>58</v>
      </c>
      <c r="P1972" t="s">
        <v>36</v>
      </c>
      <c r="Q1972">
        <f>Table1[[#This Row],[Course_Fee_AED]]-Table1[[#This Row],[Amount_Paid_AED]]</f>
        <v>0</v>
      </c>
      <c r="R1972">
        <f>Table1[[#This Row],[Course_Fee_AED]]-Table1[[#This Row],[pending Revenue]]</f>
        <v>13281</v>
      </c>
    </row>
    <row r="1973" spans="1:18" x14ac:dyDescent="0.25">
      <c r="A1973" t="s">
        <v>2050</v>
      </c>
      <c r="B1973" s="2">
        <v>45299</v>
      </c>
      <c r="C1973" t="s">
        <v>51</v>
      </c>
      <c r="D1973" t="s">
        <v>52</v>
      </c>
      <c r="E1973" t="s">
        <v>26</v>
      </c>
      <c r="F1973" s="5">
        <v>3</v>
      </c>
      <c r="G1973" s="5">
        <v>1</v>
      </c>
      <c r="H1973" s="5">
        <v>4597</v>
      </c>
      <c r="I1973" s="5">
        <v>3</v>
      </c>
      <c r="J1973" s="5">
        <v>4596</v>
      </c>
      <c r="K1973" t="s">
        <v>18</v>
      </c>
      <c r="L1973" t="s">
        <v>57</v>
      </c>
      <c r="M1973" t="s">
        <v>27</v>
      </c>
      <c r="N1973" t="s">
        <v>90</v>
      </c>
      <c r="O1973" t="s">
        <v>58</v>
      </c>
      <c r="P1973" t="s">
        <v>36</v>
      </c>
      <c r="Q1973">
        <f>Table1[[#This Row],[Course_Fee_AED]]-Table1[[#This Row],[Amount_Paid_AED]]</f>
        <v>1</v>
      </c>
      <c r="R1973">
        <f>Table1[[#This Row],[Course_Fee_AED]]-Table1[[#This Row],[pending Revenue]]</f>
        <v>4596</v>
      </c>
    </row>
    <row r="1974" spans="1:18" x14ac:dyDescent="0.25">
      <c r="A1974" t="s">
        <v>2051</v>
      </c>
      <c r="B1974" s="2">
        <v>45482</v>
      </c>
      <c r="C1974" t="s">
        <v>92</v>
      </c>
      <c r="D1974" t="s">
        <v>93</v>
      </c>
      <c r="E1974" t="s">
        <v>17</v>
      </c>
      <c r="F1974" s="5">
        <v>6</v>
      </c>
      <c r="G1974" s="5">
        <v>1</v>
      </c>
      <c r="H1974" s="5">
        <v>4946</v>
      </c>
      <c r="I1974" s="5">
        <v>3</v>
      </c>
      <c r="J1974" s="5">
        <v>4944</v>
      </c>
      <c r="K1974" t="s">
        <v>18</v>
      </c>
      <c r="L1974" t="s">
        <v>40</v>
      </c>
      <c r="M1974" t="s">
        <v>27</v>
      </c>
      <c r="N1974" t="s">
        <v>42</v>
      </c>
      <c r="O1974" t="s">
        <v>68</v>
      </c>
      <c r="P1974" t="s">
        <v>36</v>
      </c>
      <c r="Q1974">
        <f>Table1[[#This Row],[Course_Fee_AED]]-Table1[[#This Row],[Amount_Paid_AED]]</f>
        <v>2</v>
      </c>
      <c r="R1974">
        <f>Table1[[#This Row],[Course_Fee_AED]]-Table1[[#This Row],[pending Revenue]]</f>
        <v>4944</v>
      </c>
    </row>
    <row r="1975" spans="1:18" x14ac:dyDescent="0.25">
      <c r="A1975" t="s">
        <v>2052</v>
      </c>
      <c r="B1975" s="2">
        <v>45350</v>
      </c>
      <c r="C1975" t="s">
        <v>31</v>
      </c>
      <c r="D1975" t="s">
        <v>32</v>
      </c>
      <c r="E1975" t="s">
        <v>26</v>
      </c>
      <c r="F1975" s="5">
        <v>3</v>
      </c>
      <c r="G1975" s="5">
        <v>1</v>
      </c>
      <c r="H1975" s="5">
        <v>7068</v>
      </c>
      <c r="I1975" s="5">
        <v>1</v>
      </c>
      <c r="J1975" s="5">
        <v>2356</v>
      </c>
      <c r="K1975" t="s">
        <v>18</v>
      </c>
      <c r="L1975" t="s">
        <v>19</v>
      </c>
      <c r="M1975" t="s">
        <v>63</v>
      </c>
      <c r="N1975" t="s">
        <v>86</v>
      </c>
      <c r="O1975" t="s">
        <v>71</v>
      </c>
      <c r="P1975" t="s">
        <v>36</v>
      </c>
      <c r="Q1975">
        <f>Table1[[#This Row],[Course_Fee_AED]]-Table1[[#This Row],[Amount_Paid_AED]]</f>
        <v>4712</v>
      </c>
      <c r="R1975">
        <f>Table1[[#This Row],[Course_Fee_AED]]-Table1[[#This Row],[pending Revenue]]</f>
        <v>2356</v>
      </c>
    </row>
    <row r="1976" spans="1:18" x14ac:dyDescent="0.25">
      <c r="A1976" t="s">
        <v>2053</v>
      </c>
      <c r="B1976" s="2">
        <v>45294</v>
      </c>
      <c r="C1976" t="s">
        <v>15</v>
      </c>
      <c r="D1976" t="s">
        <v>16</v>
      </c>
      <c r="E1976" t="s">
        <v>26</v>
      </c>
      <c r="F1976" s="5">
        <v>3</v>
      </c>
      <c r="G1976" s="5">
        <v>1</v>
      </c>
      <c r="H1976" s="5">
        <v>4233</v>
      </c>
      <c r="I1976" s="5">
        <v>1</v>
      </c>
      <c r="J1976" s="5">
        <v>1411</v>
      </c>
      <c r="K1976" t="s">
        <v>18</v>
      </c>
      <c r="L1976" t="s">
        <v>19</v>
      </c>
      <c r="M1976" t="s">
        <v>47</v>
      </c>
      <c r="N1976" t="s">
        <v>116</v>
      </c>
      <c r="O1976" t="s">
        <v>64</v>
      </c>
      <c r="P1976" t="s">
        <v>18</v>
      </c>
      <c r="Q1976">
        <f>Table1[[#This Row],[Course_Fee_AED]]-Table1[[#This Row],[Amount_Paid_AED]]</f>
        <v>2822</v>
      </c>
      <c r="R1976">
        <f>Table1[[#This Row],[Course_Fee_AED]]-Table1[[#This Row],[pending Revenue]]</f>
        <v>1411</v>
      </c>
    </row>
    <row r="1977" spans="1:18" x14ac:dyDescent="0.25">
      <c r="A1977" t="s">
        <v>2054</v>
      </c>
      <c r="B1977" s="2">
        <v>45504</v>
      </c>
      <c r="C1977" t="s">
        <v>31</v>
      </c>
      <c r="D1977" t="s">
        <v>32</v>
      </c>
      <c r="E1977" t="s">
        <v>26</v>
      </c>
      <c r="F1977" s="5">
        <v>3</v>
      </c>
      <c r="G1977" s="5">
        <v>1</v>
      </c>
      <c r="H1977" s="5">
        <v>7181</v>
      </c>
      <c r="I1977" s="5">
        <v>2</v>
      </c>
      <c r="J1977" s="5">
        <v>4786</v>
      </c>
      <c r="K1977" t="s">
        <v>18</v>
      </c>
      <c r="L1977" t="s">
        <v>19</v>
      </c>
      <c r="M1977" t="s">
        <v>60</v>
      </c>
      <c r="N1977" t="s">
        <v>73</v>
      </c>
      <c r="O1977" t="s">
        <v>49</v>
      </c>
      <c r="P1977" t="s">
        <v>36</v>
      </c>
      <c r="Q1977">
        <f>Table1[[#This Row],[Course_Fee_AED]]-Table1[[#This Row],[Amount_Paid_AED]]</f>
        <v>2395</v>
      </c>
      <c r="R1977">
        <f>Table1[[#This Row],[Course_Fee_AED]]-Table1[[#This Row],[pending Revenue]]</f>
        <v>4786</v>
      </c>
    </row>
    <row r="1978" spans="1:18" x14ac:dyDescent="0.25">
      <c r="A1978" t="s">
        <v>2055</v>
      </c>
      <c r="B1978" s="2">
        <v>45580</v>
      </c>
      <c r="C1978" t="s">
        <v>92</v>
      </c>
      <c r="D1978" t="s">
        <v>93</v>
      </c>
      <c r="E1978" t="s">
        <v>26</v>
      </c>
      <c r="F1978" s="5">
        <v>3</v>
      </c>
      <c r="G1978" s="5">
        <v>1</v>
      </c>
      <c r="H1978" s="5">
        <v>4897</v>
      </c>
      <c r="I1978" s="5">
        <v>1</v>
      </c>
      <c r="J1978" s="5">
        <v>1632</v>
      </c>
      <c r="K1978" t="s">
        <v>18</v>
      </c>
      <c r="L1978" t="s">
        <v>19</v>
      </c>
      <c r="M1978" t="s">
        <v>20</v>
      </c>
      <c r="N1978" t="s">
        <v>21</v>
      </c>
      <c r="O1978" t="s">
        <v>71</v>
      </c>
      <c r="P1978" t="s">
        <v>36</v>
      </c>
      <c r="Q1978">
        <f>Table1[[#This Row],[Course_Fee_AED]]-Table1[[#This Row],[Amount_Paid_AED]]</f>
        <v>3265</v>
      </c>
      <c r="R1978">
        <f>Table1[[#This Row],[Course_Fee_AED]]-Table1[[#This Row],[pending Revenue]]</f>
        <v>1632</v>
      </c>
    </row>
    <row r="1979" spans="1:18" x14ac:dyDescent="0.25">
      <c r="A1979" t="s">
        <v>2056</v>
      </c>
      <c r="B1979" s="2">
        <v>45482</v>
      </c>
      <c r="C1979" t="s">
        <v>15</v>
      </c>
      <c r="D1979" t="s">
        <v>16</v>
      </c>
      <c r="E1979" t="s">
        <v>26</v>
      </c>
      <c r="F1979" s="5">
        <v>3</v>
      </c>
      <c r="G1979" s="5">
        <v>1</v>
      </c>
      <c r="H1979" s="5">
        <v>6818</v>
      </c>
      <c r="I1979" s="5">
        <v>2</v>
      </c>
      <c r="J1979" s="5">
        <v>4544</v>
      </c>
      <c r="K1979" t="s">
        <v>18</v>
      </c>
      <c r="L1979" t="s">
        <v>57</v>
      </c>
      <c r="M1979" t="s">
        <v>63</v>
      </c>
      <c r="N1979" t="s">
        <v>154</v>
      </c>
      <c r="O1979" t="s">
        <v>68</v>
      </c>
      <c r="P1979" t="s">
        <v>36</v>
      </c>
      <c r="Q1979">
        <f>Table1[[#This Row],[Course_Fee_AED]]-Table1[[#This Row],[Amount_Paid_AED]]</f>
        <v>2274</v>
      </c>
      <c r="R1979">
        <f>Table1[[#This Row],[Course_Fee_AED]]-Table1[[#This Row],[pending Revenue]]</f>
        <v>4544</v>
      </c>
    </row>
    <row r="1980" spans="1:18" x14ac:dyDescent="0.25">
      <c r="A1980" t="s">
        <v>2057</v>
      </c>
      <c r="B1980" s="2">
        <v>45555</v>
      </c>
      <c r="C1980" t="s">
        <v>82</v>
      </c>
      <c r="D1980" t="s">
        <v>83</v>
      </c>
      <c r="E1980" t="s">
        <v>26</v>
      </c>
      <c r="F1980" s="5">
        <v>3</v>
      </c>
      <c r="G1980" s="5">
        <v>1</v>
      </c>
      <c r="H1980" s="5">
        <v>12352</v>
      </c>
      <c r="I1980" s="5">
        <v>3</v>
      </c>
      <c r="J1980" s="5">
        <v>12351</v>
      </c>
      <c r="K1980" t="s">
        <v>18</v>
      </c>
      <c r="L1980" t="s">
        <v>19</v>
      </c>
      <c r="M1980" t="s">
        <v>20</v>
      </c>
      <c r="N1980" t="s">
        <v>95</v>
      </c>
      <c r="O1980" t="s">
        <v>29</v>
      </c>
      <c r="P1980" t="s">
        <v>36</v>
      </c>
      <c r="Q1980">
        <f>Table1[[#This Row],[Course_Fee_AED]]-Table1[[#This Row],[Amount_Paid_AED]]</f>
        <v>1</v>
      </c>
      <c r="R1980">
        <f>Table1[[#This Row],[Course_Fee_AED]]-Table1[[#This Row],[pending Revenue]]</f>
        <v>12351</v>
      </c>
    </row>
    <row r="1981" spans="1:18" x14ac:dyDescent="0.25">
      <c r="A1981" t="s">
        <v>2058</v>
      </c>
      <c r="B1981" s="2">
        <v>45389</v>
      </c>
      <c r="C1981" t="s">
        <v>45</v>
      </c>
      <c r="D1981" t="s">
        <v>46</v>
      </c>
      <c r="E1981" t="s">
        <v>26</v>
      </c>
      <c r="F1981" s="5">
        <v>3</v>
      </c>
      <c r="G1981" s="5">
        <v>1</v>
      </c>
      <c r="H1981" s="5">
        <v>4681</v>
      </c>
      <c r="I1981" s="5">
        <v>2</v>
      </c>
      <c r="J1981" s="5">
        <v>3120</v>
      </c>
      <c r="K1981" t="s">
        <v>18</v>
      </c>
      <c r="L1981" t="s">
        <v>19</v>
      </c>
      <c r="M1981" t="s">
        <v>47</v>
      </c>
      <c r="N1981" t="s">
        <v>73</v>
      </c>
      <c r="O1981" t="s">
        <v>43</v>
      </c>
      <c r="P1981" t="s">
        <v>36</v>
      </c>
      <c r="Q1981">
        <f>Table1[[#This Row],[Course_Fee_AED]]-Table1[[#This Row],[Amount_Paid_AED]]</f>
        <v>1561</v>
      </c>
      <c r="R1981">
        <f>Table1[[#This Row],[Course_Fee_AED]]-Table1[[#This Row],[pending Revenue]]</f>
        <v>3120</v>
      </c>
    </row>
    <row r="1982" spans="1:18" x14ac:dyDescent="0.25">
      <c r="A1982" t="s">
        <v>2059</v>
      </c>
      <c r="B1982" s="2">
        <v>45486</v>
      </c>
      <c r="C1982" t="s">
        <v>15</v>
      </c>
      <c r="D1982" t="s">
        <v>16</v>
      </c>
      <c r="E1982" t="s">
        <v>17</v>
      </c>
      <c r="F1982" s="5">
        <v>6</v>
      </c>
      <c r="G1982" s="5">
        <v>1</v>
      </c>
      <c r="H1982" s="5">
        <v>7200</v>
      </c>
      <c r="I1982" s="5">
        <v>3</v>
      </c>
      <c r="J1982" s="5">
        <v>7200</v>
      </c>
      <c r="K1982" t="s">
        <v>33</v>
      </c>
      <c r="L1982" t="s">
        <v>57</v>
      </c>
      <c r="M1982" t="s">
        <v>63</v>
      </c>
      <c r="N1982" t="s">
        <v>95</v>
      </c>
      <c r="O1982" t="s">
        <v>22</v>
      </c>
      <c r="P1982" t="s">
        <v>36</v>
      </c>
      <c r="Q1982">
        <f>Table1[[#This Row],[Course_Fee_AED]]-Table1[[#This Row],[Amount_Paid_AED]]</f>
        <v>0</v>
      </c>
      <c r="R1982">
        <f>Table1[[#This Row],[Course_Fee_AED]]-Table1[[#This Row],[pending Revenue]]</f>
        <v>7200</v>
      </c>
    </row>
    <row r="1983" spans="1:18" x14ac:dyDescent="0.25">
      <c r="A1983" t="s">
        <v>2060</v>
      </c>
      <c r="B1983" s="2">
        <v>45497</v>
      </c>
      <c r="C1983" t="s">
        <v>15</v>
      </c>
      <c r="D1983" t="s">
        <v>16</v>
      </c>
      <c r="E1983" t="s">
        <v>17</v>
      </c>
      <c r="F1983" s="5">
        <v>6</v>
      </c>
      <c r="G1983" s="5">
        <v>1</v>
      </c>
      <c r="H1983" s="5">
        <v>5935</v>
      </c>
      <c r="I1983" s="5">
        <v>2</v>
      </c>
      <c r="J1983" s="5">
        <v>3956</v>
      </c>
      <c r="K1983" t="s">
        <v>18</v>
      </c>
      <c r="L1983" t="s">
        <v>40</v>
      </c>
      <c r="M1983" t="s">
        <v>20</v>
      </c>
      <c r="N1983" t="s">
        <v>79</v>
      </c>
      <c r="O1983" t="s">
        <v>29</v>
      </c>
      <c r="P1983" t="s">
        <v>36</v>
      </c>
      <c r="Q1983">
        <f>Table1[[#This Row],[Course_Fee_AED]]-Table1[[#This Row],[Amount_Paid_AED]]</f>
        <v>1979</v>
      </c>
      <c r="R1983">
        <f>Table1[[#This Row],[Course_Fee_AED]]-Table1[[#This Row],[pending Revenue]]</f>
        <v>3956</v>
      </c>
    </row>
    <row r="1984" spans="1:18" x14ac:dyDescent="0.25">
      <c r="A1984" t="s">
        <v>2061</v>
      </c>
      <c r="B1984" s="2">
        <v>45424</v>
      </c>
      <c r="C1984" t="s">
        <v>92</v>
      </c>
      <c r="D1984" t="s">
        <v>93</v>
      </c>
      <c r="E1984" t="s">
        <v>17</v>
      </c>
      <c r="F1984" s="5">
        <v>6</v>
      </c>
      <c r="G1984" s="5">
        <v>1</v>
      </c>
      <c r="H1984" s="5">
        <v>7958</v>
      </c>
      <c r="I1984" s="5">
        <v>2</v>
      </c>
      <c r="J1984" s="5">
        <v>5304</v>
      </c>
      <c r="K1984" t="s">
        <v>18</v>
      </c>
      <c r="L1984" t="s">
        <v>57</v>
      </c>
      <c r="M1984" t="s">
        <v>20</v>
      </c>
      <c r="N1984" t="s">
        <v>90</v>
      </c>
      <c r="O1984" t="s">
        <v>87</v>
      </c>
      <c r="P1984" t="s">
        <v>18</v>
      </c>
      <c r="Q1984">
        <f>Table1[[#This Row],[Course_Fee_AED]]-Table1[[#This Row],[Amount_Paid_AED]]</f>
        <v>2654</v>
      </c>
      <c r="R1984">
        <f>Table1[[#This Row],[Course_Fee_AED]]-Table1[[#This Row],[pending Revenue]]</f>
        <v>5304</v>
      </c>
    </row>
    <row r="1985" spans="1:18" x14ac:dyDescent="0.25">
      <c r="A1985" t="s">
        <v>2062</v>
      </c>
      <c r="B1985" s="2">
        <v>45308</v>
      </c>
      <c r="C1985" t="s">
        <v>55</v>
      </c>
      <c r="D1985" t="s">
        <v>56</v>
      </c>
      <c r="E1985" t="s">
        <v>26</v>
      </c>
      <c r="F1985" s="5">
        <v>3</v>
      </c>
      <c r="G1985" s="5">
        <v>1</v>
      </c>
      <c r="H1985" s="5">
        <v>7373</v>
      </c>
      <c r="I1985" s="5">
        <v>1</v>
      </c>
      <c r="J1985" s="5">
        <v>2457</v>
      </c>
      <c r="K1985" t="s">
        <v>18</v>
      </c>
      <c r="L1985" t="s">
        <v>19</v>
      </c>
      <c r="M1985" t="s">
        <v>41</v>
      </c>
      <c r="N1985" t="s">
        <v>70</v>
      </c>
      <c r="O1985" t="s">
        <v>49</v>
      </c>
      <c r="P1985" t="s">
        <v>36</v>
      </c>
      <c r="Q1985">
        <f>Table1[[#This Row],[Course_Fee_AED]]-Table1[[#This Row],[Amount_Paid_AED]]</f>
        <v>4916</v>
      </c>
      <c r="R1985">
        <f>Table1[[#This Row],[Course_Fee_AED]]-Table1[[#This Row],[pending Revenue]]</f>
        <v>2457</v>
      </c>
    </row>
    <row r="1986" spans="1:18" x14ac:dyDescent="0.25">
      <c r="A1986" t="s">
        <v>2063</v>
      </c>
      <c r="B1986" s="2">
        <v>45532</v>
      </c>
      <c r="C1986" t="s">
        <v>106</v>
      </c>
      <c r="D1986" t="s">
        <v>107</v>
      </c>
      <c r="E1986" t="s">
        <v>17</v>
      </c>
      <c r="F1986" s="5">
        <v>6</v>
      </c>
      <c r="G1986" s="5">
        <v>1</v>
      </c>
      <c r="H1986" s="5">
        <v>6825</v>
      </c>
      <c r="I1986" s="5">
        <v>1</v>
      </c>
      <c r="J1986" s="5">
        <v>2275</v>
      </c>
      <c r="K1986" t="s">
        <v>18</v>
      </c>
      <c r="L1986" t="s">
        <v>19</v>
      </c>
      <c r="M1986" t="s">
        <v>60</v>
      </c>
      <c r="N1986" t="s">
        <v>34</v>
      </c>
      <c r="O1986" t="s">
        <v>68</v>
      </c>
      <c r="P1986" t="s">
        <v>36</v>
      </c>
      <c r="Q1986">
        <f>Table1[[#This Row],[Course_Fee_AED]]-Table1[[#This Row],[Amount_Paid_AED]]</f>
        <v>4550</v>
      </c>
      <c r="R1986">
        <f>Table1[[#This Row],[Course_Fee_AED]]-Table1[[#This Row],[pending Revenue]]</f>
        <v>2275</v>
      </c>
    </row>
    <row r="1987" spans="1:18" x14ac:dyDescent="0.25">
      <c r="A1987" t="s">
        <v>2064</v>
      </c>
      <c r="B1987" s="2">
        <v>45539</v>
      </c>
      <c r="C1987" t="s">
        <v>45</v>
      </c>
      <c r="D1987" t="s">
        <v>46</v>
      </c>
      <c r="E1987" t="s">
        <v>17</v>
      </c>
      <c r="F1987" s="5">
        <v>6</v>
      </c>
      <c r="G1987" s="5">
        <v>1</v>
      </c>
      <c r="H1987" s="5">
        <v>6778</v>
      </c>
      <c r="I1987" s="5">
        <v>3</v>
      </c>
      <c r="J1987" s="5">
        <v>6777</v>
      </c>
      <c r="K1987" t="s">
        <v>18</v>
      </c>
      <c r="L1987" t="s">
        <v>57</v>
      </c>
      <c r="M1987" t="s">
        <v>63</v>
      </c>
      <c r="N1987" t="s">
        <v>70</v>
      </c>
      <c r="O1987" t="s">
        <v>29</v>
      </c>
      <c r="P1987" t="s">
        <v>18</v>
      </c>
      <c r="Q1987">
        <f>Table1[[#This Row],[Course_Fee_AED]]-Table1[[#This Row],[Amount_Paid_AED]]</f>
        <v>1</v>
      </c>
      <c r="R1987">
        <f>Table1[[#This Row],[Course_Fee_AED]]-Table1[[#This Row],[pending Revenue]]</f>
        <v>6777</v>
      </c>
    </row>
    <row r="1988" spans="1:18" x14ac:dyDescent="0.25">
      <c r="A1988" t="s">
        <v>2065</v>
      </c>
      <c r="B1988" s="2">
        <v>45486</v>
      </c>
      <c r="C1988" t="s">
        <v>92</v>
      </c>
      <c r="D1988" t="s">
        <v>93</v>
      </c>
      <c r="E1988" t="s">
        <v>26</v>
      </c>
      <c r="F1988" s="5">
        <v>3</v>
      </c>
      <c r="G1988" s="5">
        <v>1</v>
      </c>
      <c r="H1988" s="5">
        <v>7165</v>
      </c>
      <c r="I1988" s="5">
        <v>1</v>
      </c>
      <c r="J1988" s="5">
        <v>2388</v>
      </c>
      <c r="K1988" t="s">
        <v>18</v>
      </c>
      <c r="L1988" t="s">
        <v>40</v>
      </c>
      <c r="M1988" t="s">
        <v>47</v>
      </c>
      <c r="N1988" t="s">
        <v>154</v>
      </c>
      <c r="O1988" t="s">
        <v>71</v>
      </c>
      <c r="P1988" t="s">
        <v>18</v>
      </c>
      <c r="Q1988">
        <f>Table1[[#This Row],[Course_Fee_AED]]-Table1[[#This Row],[Amount_Paid_AED]]</f>
        <v>4777</v>
      </c>
      <c r="R1988">
        <f>Table1[[#This Row],[Course_Fee_AED]]-Table1[[#This Row],[pending Revenue]]</f>
        <v>2388</v>
      </c>
    </row>
    <row r="1989" spans="1:18" x14ac:dyDescent="0.25">
      <c r="A1989" t="s">
        <v>2066</v>
      </c>
      <c r="B1989" s="2">
        <v>45471</v>
      </c>
      <c r="C1989" t="s">
        <v>31</v>
      </c>
      <c r="D1989" t="s">
        <v>32</v>
      </c>
      <c r="E1989" t="s">
        <v>17</v>
      </c>
      <c r="F1989" s="5">
        <v>6</v>
      </c>
      <c r="G1989" s="5">
        <v>1</v>
      </c>
      <c r="H1989" s="5">
        <v>7582</v>
      </c>
      <c r="I1989" s="5">
        <v>2</v>
      </c>
      <c r="J1989" s="5">
        <v>5054</v>
      </c>
      <c r="K1989" t="s">
        <v>18</v>
      </c>
      <c r="L1989" t="s">
        <v>19</v>
      </c>
      <c r="M1989" t="s">
        <v>27</v>
      </c>
      <c r="N1989" t="s">
        <v>53</v>
      </c>
      <c r="O1989" t="s">
        <v>35</v>
      </c>
      <c r="P1989" t="s">
        <v>36</v>
      </c>
      <c r="Q1989">
        <f>Table1[[#This Row],[Course_Fee_AED]]-Table1[[#This Row],[Amount_Paid_AED]]</f>
        <v>2528</v>
      </c>
      <c r="R1989">
        <f>Table1[[#This Row],[Course_Fee_AED]]-Table1[[#This Row],[pending Revenue]]</f>
        <v>5054</v>
      </c>
    </row>
    <row r="1990" spans="1:18" x14ac:dyDescent="0.25">
      <c r="A1990" t="s">
        <v>2067</v>
      </c>
      <c r="B1990" s="2">
        <v>45500</v>
      </c>
      <c r="C1990" t="s">
        <v>92</v>
      </c>
      <c r="D1990" t="s">
        <v>93</v>
      </c>
      <c r="E1990" t="s">
        <v>26</v>
      </c>
      <c r="F1990" s="5">
        <v>3</v>
      </c>
      <c r="G1990" s="5">
        <v>1</v>
      </c>
      <c r="H1990" s="5">
        <v>6794</v>
      </c>
      <c r="I1990" s="5">
        <v>1</v>
      </c>
      <c r="J1990" s="5">
        <v>2264</v>
      </c>
      <c r="K1990" t="s">
        <v>18</v>
      </c>
      <c r="L1990" t="s">
        <v>57</v>
      </c>
      <c r="M1990" t="s">
        <v>47</v>
      </c>
      <c r="N1990" t="s">
        <v>95</v>
      </c>
      <c r="O1990" t="s">
        <v>68</v>
      </c>
      <c r="P1990" t="s">
        <v>18</v>
      </c>
      <c r="Q1990">
        <f>Table1[[#This Row],[Course_Fee_AED]]-Table1[[#This Row],[Amount_Paid_AED]]</f>
        <v>4530</v>
      </c>
      <c r="R1990">
        <f>Table1[[#This Row],[Course_Fee_AED]]-Table1[[#This Row],[pending Revenue]]</f>
        <v>2264</v>
      </c>
    </row>
    <row r="1991" spans="1:18" x14ac:dyDescent="0.25">
      <c r="A1991" t="s">
        <v>2068</v>
      </c>
      <c r="B1991" s="2">
        <v>45440</v>
      </c>
      <c r="C1991" t="s">
        <v>24</v>
      </c>
      <c r="D1991" t="s">
        <v>25</v>
      </c>
      <c r="E1991" t="s">
        <v>17</v>
      </c>
      <c r="F1991" s="5">
        <v>6</v>
      </c>
      <c r="G1991" s="5">
        <v>1</v>
      </c>
      <c r="H1991" s="5">
        <v>6959</v>
      </c>
      <c r="I1991" s="5">
        <v>2</v>
      </c>
      <c r="J1991" s="5">
        <v>4638</v>
      </c>
      <c r="K1991" t="s">
        <v>18</v>
      </c>
      <c r="L1991" t="s">
        <v>40</v>
      </c>
      <c r="M1991" t="s">
        <v>20</v>
      </c>
      <c r="N1991" t="s">
        <v>70</v>
      </c>
      <c r="O1991" t="s">
        <v>22</v>
      </c>
      <c r="P1991" t="s">
        <v>36</v>
      </c>
      <c r="Q1991">
        <f>Table1[[#This Row],[Course_Fee_AED]]-Table1[[#This Row],[Amount_Paid_AED]]</f>
        <v>2321</v>
      </c>
      <c r="R1991">
        <f>Table1[[#This Row],[Course_Fee_AED]]-Table1[[#This Row],[pending Revenue]]</f>
        <v>4638</v>
      </c>
    </row>
    <row r="1992" spans="1:18" x14ac:dyDescent="0.25">
      <c r="A1992" t="s">
        <v>2069</v>
      </c>
      <c r="B1992" s="2">
        <v>45503</v>
      </c>
      <c r="C1992" t="s">
        <v>113</v>
      </c>
      <c r="D1992" t="s">
        <v>93</v>
      </c>
      <c r="E1992" t="s">
        <v>17</v>
      </c>
      <c r="F1992" s="5">
        <v>6</v>
      </c>
      <c r="G1992" s="5">
        <v>1</v>
      </c>
      <c r="H1992" s="5">
        <v>3590</v>
      </c>
      <c r="I1992" s="5">
        <v>2</v>
      </c>
      <c r="J1992" s="5">
        <v>2392</v>
      </c>
      <c r="K1992" t="s">
        <v>18</v>
      </c>
      <c r="L1992" t="s">
        <v>57</v>
      </c>
      <c r="M1992" t="s">
        <v>41</v>
      </c>
      <c r="N1992" t="s">
        <v>53</v>
      </c>
      <c r="O1992" t="s">
        <v>68</v>
      </c>
      <c r="P1992" t="s">
        <v>18</v>
      </c>
      <c r="Q1992">
        <f>Table1[[#This Row],[Course_Fee_AED]]-Table1[[#This Row],[Amount_Paid_AED]]</f>
        <v>1198</v>
      </c>
      <c r="R1992">
        <f>Table1[[#This Row],[Course_Fee_AED]]-Table1[[#This Row],[pending Revenue]]</f>
        <v>2392</v>
      </c>
    </row>
    <row r="1993" spans="1:18" x14ac:dyDescent="0.25">
      <c r="A1993" t="s">
        <v>2070</v>
      </c>
      <c r="B1993" s="2">
        <v>45539</v>
      </c>
      <c r="C1993" t="s">
        <v>92</v>
      </c>
      <c r="D1993" t="s">
        <v>93</v>
      </c>
      <c r="E1993" t="s">
        <v>17</v>
      </c>
      <c r="F1993" s="5">
        <v>6</v>
      </c>
      <c r="G1993" s="5">
        <v>1</v>
      </c>
      <c r="H1993" s="5">
        <v>5257</v>
      </c>
      <c r="I1993" s="5">
        <v>2</v>
      </c>
      <c r="J1993" s="5">
        <v>3504</v>
      </c>
      <c r="K1993" t="s">
        <v>18</v>
      </c>
      <c r="L1993" t="s">
        <v>57</v>
      </c>
      <c r="M1993" t="s">
        <v>41</v>
      </c>
      <c r="N1993" t="s">
        <v>73</v>
      </c>
      <c r="O1993" t="s">
        <v>22</v>
      </c>
      <c r="P1993" t="s">
        <v>18</v>
      </c>
      <c r="Q1993">
        <f>Table1[[#This Row],[Course_Fee_AED]]-Table1[[#This Row],[Amount_Paid_AED]]</f>
        <v>1753</v>
      </c>
      <c r="R1993">
        <f>Table1[[#This Row],[Course_Fee_AED]]-Table1[[#This Row],[pending Revenue]]</f>
        <v>3504</v>
      </c>
    </row>
    <row r="1994" spans="1:18" x14ac:dyDescent="0.25">
      <c r="A1994" t="s">
        <v>2071</v>
      </c>
      <c r="B1994" s="2">
        <v>45534</v>
      </c>
      <c r="C1994" t="s">
        <v>66</v>
      </c>
      <c r="D1994" t="s">
        <v>56</v>
      </c>
      <c r="E1994" t="s">
        <v>26</v>
      </c>
      <c r="F1994" s="5">
        <v>3</v>
      </c>
      <c r="G1994" s="5">
        <v>1</v>
      </c>
      <c r="H1994" s="5">
        <v>10167</v>
      </c>
      <c r="I1994" s="5">
        <v>1</v>
      </c>
      <c r="J1994" s="5">
        <v>3389</v>
      </c>
      <c r="K1994" t="s">
        <v>18</v>
      </c>
      <c r="L1994" t="s">
        <v>19</v>
      </c>
      <c r="M1994" t="s">
        <v>60</v>
      </c>
      <c r="N1994" t="s">
        <v>116</v>
      </c>
      <c r="O1994" t="s">
        <v>22</v>
      </c>
      <c r="P1994" t="s">
        <v>18</v>
      </c>
      <c r="Q1994">
        <f>Table1[[#This Row],[Course_Fee_AED]]-Table1[[#This Row],[Amount_Paid_AED]]</f>
        <v>6778</v>
      </c>
      <c r="R1994">
        <f>Table1[[#This Row],[Course_Fee_AED]]-Table1[[#This Row],[pending Revenue]]</f>
        <v>3389</v>
      </c>
    </row>
    <row r="1995" spans="1:18" x14ac:dyDescent="0.25">
      <c r="A1995" t="s">
        <v>2072</v>
      </c>
      <c r="B1995" s="2">
        <v>45540</v>
      </c>
      <c r="C1995" t="s">
        <v>113</v>
      </c>
      <c r="D1995" t="s">
        <v>93</v>
      </c>
      <c r="E1995" t="s">
        <v>26</v>
      </c>
      <c r="F1995" s="5">
        <v>3</v>
      </c>
      <c r="G1995" s="5">
        <v>1</v>
      </c>
      <c r="H1995" s="5">
        <v>3054</v>
      </c>
      <c r="I1995" s="5">
        <v>1</v>
      </c>
      <c r="J1995" s="5">
        <v>1018</v>
      </c>
      <c r="K1995" t="s">
        <v>18</v>
      </c>
      <c r="L1995" t="s">
        <v>40</v>
      </c>
      <c r="M1995" t="s">
        <v>20</v>
      </c>
      <c r="N1995" t="s">
        <v>90</v>
      </c>
      <c r="O1995" t="s">
        <v>49</v>
      </c>
      <c r="P1995" t="s">
        <v>18</v>
      </c>
      <c r="Q1995">
        <f>Table1[[#This Row],[Course_Fee_AED]]-Table1[[#This Row],[Amount_Paid_AED]]</f>
        <v>2036</v>
      </c>
      <c r="R1995">
        <f>Table1[[#This Row],[Course_Fee_AED]]-Table1[[#This Row],[pending Revenue]]</f>
        <v>1018</v>
      </c>
    </row>
    <row r="1996" spans="1:18" x14ac:dyDescent="0.25">
      <c r="A1996" t="s">
        <v>2073</v>
      </c>
      <c r="B1996" s="2">
        <v>45341</v>
      </c>
      <c r="C1996" t="s">
        <v>92</v>
      </c>
      <c r="D1996" t="s">
        <v>93</v>
      </c>
      <c r="E1996" t="s">
        <v>17</v>
      </c>
      <c r="F1996" s="5">
        <v>6</v>
      </c>
      <c r="G1996" s="5">
        <v>1</v>
      </c>
      <c r="H1996" s="5">
        <v>7341</v>
      </c>
      <c r="I1996" s="5">
        <v>3</v>
      </c>
      <c r="J1996" s="5">
        <v>7341</v>
      </c>
      <c r="K1996" t="s">
        <v>33</v>
      </c>
      <c r="L1996" t="s">
        <v>19</v>
      </c>
      <c r="M1996" t="s">
        <v>60</v>
      </c>
      <c r="N1996" t="s">
        <v>79</v>
      </c>
      <c r="O1996" t="s">
        <v>71</v>
      </c>
      <c r="P1996" t="s">
        <v>36</v>
      </c>
      <c r="Q1996">
        <f>Table1[[#This Row],[Course_Fee_AED]]-Table1[[#This Row],[Amount_Paid_AED]]</f>
        <v>0</v>
      </c>
      <c r="R1996">
        <f>Table1[[#This Row],[Course_Fee_AED]]-Table1[[#This Row],[pending Revenue]]</f>
        <v>7341</v>
      </c>
    </row>
    <row r="1997" spans="1:18" x14ac:dyDescent="0.25">
      <c r="A1997" t="s">
        <v>2074</v>
      </c>
      <c r="B1997" s="2">
        <v>45340</v>
      </c>
      <c r="C1997" t="s">
        <v>92</v>
      </c>
      <c r="D1997" t="s">
        <v>93</v>
      </c>
      <c r="E1997" t="s">
        <v>26</v>
      </c>
      <c r="F1997" s="5">
        <v>3</v>
      </c>
      <c r="G1997" s="5">
        <v>1</v>
      </c>
      <c r="H1997" s="5">
        <v>4597</v>
      </c>
      <c r="I1997" s="5">
        <v>3</v>
      </c>
      <c r="J1997" s="5">
        <v>4596</v>
      </c>
      <c r="K1997" t="s">
        <v>18</v>
      </c>
      <c r="L1997" t="s">
        <v>40</v>
      </c>
      <c r="M1997" t="s">
        <v>63</v>
      </c>
      <c r="N1997" t="s">
        <v>28</v>
      </c>
      <c r="O1997" t="s">
        <v>71</v>
      </c>
      <c r="P1997" t="s">
        <v>18</v>
      </c>
      <c r="Q1997">
        <f>Table1[[#This Row],[Course_Fee_AED]]-Table1[[#This Row],[Amount_Paid_AED]]</f>
        <v>1</v>
      </c>
      <c r="R1997">
        <f>Table1[[#This Row],[Course_Fee_AED]]-Table1[[#This Row],[pending Revenue]]</f>
        <v>4596</v>
      </c>
    </row>
    <row r="1998" spans="1:18" x14ac:dyDescent="0.25">
      <c r="A1998" t="s">
        <v>2075</v>
      </c>
      <c r="B1998" s="2">
        <v>45342</v>
      </c>
      <c r="C1998" t="s">
        <v>75</v>
      </c>
      <c r="D1998" t="s">
        <v>76</v>
      </c>
      <c r="E1998" t="s">
        <v>17</v>
      </c>
      <c r="F1998" s="5">
        <v>6</v>
      </c>
      <c r="G1998" s="5">
        <v>1</v>
      </c>
      <c r="H1998" s="5">
        <v>8025</v>
      </c>
      <c r="I1998" s="5">
        <v>3</v>
      </c>
      <c r="J1998" s="5">
        <v>8025</v>
      </c>
      <c r="K1998" t="s">
        <v>33</v>
      </c>
      <c r="L1998" t="s">
        <v>40</v>
      </c>
      <c r="M1998" t="s">
        <v>63</v>
      </c>
      <c r="N1998" t="s">
        <v>95</v>
      </c>
      <c r="O1998" t="s">
        <v>22</v>
      </c>
      <c r="P1998" t="s">
        <v>36</v>
      </c>
      <c r="Q1998">
        <f>Table1[[#This Row],[Course_Fee_AED]]-Table1[[#This Row],[Amount_Paid_AED]]</f>
        <v>0</v>
      </c>
      <c r="R1998">
        <f>Table1[[#This Row],[Course_Fee_AED]]-Table1[[#This Row],[pending Revenue]]</f>
        <v>8025</v>
      </c>
    </row>
    <row r="1999" spans="1:18" x14ac:dyDescent="0.25">
      <c r="A1999" t="s">
        <v>2076</v>
      </c>
      <c r="B1999" s="2">
        <v>45525</v>
      </c>
      <c r="C1999" t="s">
        <v>38</v>
      </c>
      <c r="D1999" t="s">
        <v>39</v>
      </c>
      <c r="E1999" t="s">
        <v>17</v>
      </c>
      <c r="F1999" s="5">
        <v>6</v>
      </c>
      <c r="G1999" s="5">
        <v>1</v>
      </c>
      <c r="H1999" s="5">
        <v>4252</v>
      </c>
      <c r="I1999" s="5">
        <v>1</v>
      </c>
      <c r="J1999" s="5">
        <v>1417</v>
      </c>
      <c r="K1999" t="s">
        <v>18</v>
      </c>
      <c r="L1999" t="s">
        <v>40</v>
      </c>
      <c r="M1999" t="s">
        <v>41</v>
      </c>
      <c r="N1999" t="s">
        <v>34</v>
      </c>
      <c r="O1999" t="s">
        <v>35</v>
      </c>
      <c r="P1999" t="s">
        <v>18</v>
      </c>
      <c r="Q1999">
        <f>Table1[[#This Row],[Course_Fee_AED]]-Table1[[#This Row],[Amount_Paid_AED]]</f>
        <v>2835</v>
      </c>
      <c r="R1999">
        <f>Table1[[#This Row],[Course_Fee_AED]]-Table1[[#This Row],[pending Revenue]]</f>
        <v>1417</v>
      </c>
    </row>
    <row r="2000" spans="1:18" x14ac:dyDescent="0.25">
      <c r="A2000" t="s">
        <v>2077</v>
      </c>
      <c r="B2000" s="2">
        <v>45630</v>
      </c>
      <c r="C2000" t="s">
        <v>75</v>
      </c>
      <c r="D2000" t="s">
        <v>76</v>
      </c>
      <c r="E2000" t="s">
        <v>26</v>
      </c>
      <c r="F2000" s="5">
        <v>3</v>
      </c>
      <c r="G2000" s="5">
        <v>1</v>
      </c>
      <c r="H2000" s="5">
        <v>10881</v>
      </c>
      <c r="I2000" s="5">
        <v>2</v>
      </c>
      <c r="J2000" s="5">
        <v>7254</v>
      </c>
      <c r="K2000" t="s">
        <v>18</v>
      </c>
      <c r="L2000" t="s">
        <v>57</v>
      </c>
      <c r="M2000" t="s">
        <v>63</v>
      </c>
      <c r="N2000" t="s">
        <v>70</v>
      </c>
      <c r="O2000" t="s">
        <v>87</v>
      </c>
      <c r="P2000" t="s">
        <v>18</v>
      </c>
      <c r="Q2000">
        <f>Table1[[#This Row],[Course_Fee_AED]]-Table1[[#This Row],[Amount_Paid_AED]]</f>
        <v>3627</v>
      </c>
      <c r="R2000">
        <f>Table1[[#This Row],[Course_Fee_AED]]-Table1[[#This Row],[pending Revenue]]</f>
        <v>7254</v>
      </c>
    </row>
    <row r="2001" spans="1:18" x14ac:dyDescent="0.25">
      <c r="A2001" t="s">
        <v>2078</v>
      </c>
      <c r="B2001" s="2">
        <v>45380</v>
      </c>
      <c r="C2001" t="s">
        <v>31</v>
      </c>
      <c r="D2001" t="s">
        <v>32</v>
      </c>
      <c r="E2001" t="s">
        <v>17</v>
      </c>
      <c r="F2001" s="5">
        <v>6</v>
      </c>
      <c r="G2001" s="5">
        <v>1</v>
      </c>
      <c r="H2001" s="5">
        <v>6805</v>
      </c>
      <c r="I2001" s="5">
        <v>3</v>
      </c>
      <c r="J2001" s="5">
        <v>6804</v>
      </c>
      <c r="K2001" t="s">
        <v>18</v>
      </c>
      <c r="L2001" t="s">
        <v>57</v>
      </c>
      <c r="M2001" t="s">
        <v>20</v>
      </c>
      <c r="N2001" t="s">
        <v>86</v>
      </c>
      <c r="O2001" t="s">
        <v>64</v>
      </c>
      <c r="P2001" t="s">
        <v>18</v>
      </c>
      <c r="Q2001">
        <f>Table1[[#This Row],[Course_Fee_AED]]-Table1[[#This Row],[Amount_Paid_AED]]</f>
        <v>1</v>
      </c>
      <c r="R2001">
        <f>Table1[[#This Row],[Course_Fee_AED]]-Table1[[#This Row],[pending Revenue]]</f>
        <v>6804</v>
      </c>
    </row>
  </sheetData>
  <conditionalFormatting sqref="Q1:Q1048576">
    <cfRule type="colorScale" priority="1">
      <colorScale>
        <cfvo type="min"/>
        <cfvo type="percentile" val="50"/>
        <cfvo type="max"/>
        <color rgb="FF00B050"/>
        <color rgb="FFFFFF00"/>
        <color rgb="FFFF0000"/>
      </colorScale>
    </cfRule>
    <cfRule type="colorScale" priority="2">
      <colorScale>
        <cfvo type="min"/>
        <cfvo type="percentile" val="50"/>
        <cfvo type="max"/>
        <color rgb="FFFF0000"/>
        <color rgb="FFFFFF00"/>
        <color rgb="FF00B050"/>
      </colorScale>
    </cfRule>
    <cfRule type="colorScale" priority="3">
      <colorScale>
        <cfvo type="min"/>
        <cfvo type="max"/>
        <color rgb="FF63BE7B"/>
        <color rgb="FFFFEF9C"/>
      </colorScale>
    </cfRule>
  </conditionalFormatting>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79"/>
  <sheetViews>
    <sheetView workbookViewId="0">
      <selection activeCell="F25" sqref="F25"/>
    </sheetView>
  </sheetViews>
  <sheetFormatPr defaultRowHeight="15" x14ac:dyDescent="0.25"/>
  <cols>
    <col min="2" max="2" width="13.7109375" customWidth="1"/>
    <col min="4" max="4" width="14.5703125" customWidth="1"/>
    <col min="5" max="5" width="19.140625" customWidth="1"/>
    <col min="6" max="6" width="15" customWidth="1"/>
    <col min="9" max="9" width="26.5703125" customWidth="1"/>
    <col min="10" max="10" width="19.140625" customWidth="1"/>
    <col min="11" max="11" width="5.42578125" customWidth="1"/>
    <col min="12" max="12" width="11.28515625" customWidth="1"/>
    <col min="13" max="13" width="14.5703125" customWidth="1"/>
    <col min="14" max="14" width="15.5703125" customWidth="1"/>
    <col min="15" max="15" width="23.5703125" customWidth="1"/>
    <col min="16" max="16" width="13.140625" customWidth="1"/>
    <col min="17" max="17" width="30.85546875" customWidth="1"/>
    <col min="18" max="18" width="16.28515625" customWidth="1"/>
    <col min="19" max="19" width="8.42578125" customWidth="1"/>
    <col min="20" max="20" width="11.28515625" customWidth="1"/>
    <col min="21" max="694" width="7" customWidth="1"/>
    <col min="695" max="695" width="11.7109375" bestFit="1" customWidth="1"/>
    <col min="697" max="1363" width="7" customWidth="1"/>
    <col min="1364" max="1364" width="12.140625" bestFit="1" customWidth="1"/>
    <col min="1365" max="1365" width="8.85546875" customWidth="1"/>
    <col min="1366" max="2011" width="7" customWidth="1"/>
    <col min="2012" max="2012" width="11.85546875" bestFit="1" customWidth="1"/>
    <col min="2013" max="2013" width="11.28515625" bestFit="1" customWidth="1"/>
  </cols>
  <sheetData>
    <row r="1" spans="1:20" x14ac:dyDescent="0.25">
      <c r="L1" s="43"/>
      <c r="M1" s="43"/>
      <c r="N1" s="43"/>
    </row>
    <row r="2" spans="1:20" x14ac:dyDescent="0.25">
      <c r="A2" s="9">
        <v>1</v>
      </c>
      <c r="B2" s="10" t="s">
        <v>2083</v>
      </c>
      <c r="C2" s="10"/>
      <c r="D2" s="10"/>
      <c r="E2" s="10"/>
      <c r="F2" s="10">
        <f>COUNTA(Table1[Student_ID])</f>
        <v>2000</v>
      </c>
      <c r="H2" s="47">
        <v>1</v>
      </c>
      <c r="I2" s="47" t="s">
        <v>2121</v>
      </c>
      <c r="J2" s="43"/>
      <c r="K2" s="43"/>
      <c r="L2" s="44">
        <v>6</v>
      </c>
      <c r="M2" s="44" t="s">
        <v>2134</v>
      </c>
      <c r="N2" s="44"/>
      <c r="O2" s="44"/>
      <c r="P2" s="44">
        <v>9</v>
      </c>
      <c r="Q2" s="44" t="s">
        <v>2123</v>
      </c>
      <c r="R2" s="44"/>
      <c r="S2" s="44"/>
    </row>
    <row r="3" spans="1:20" x14ac:dyDescent="0.25">
      <c r="A3" s="11">
        <v>2</v>
      </c>
      <c r="B3" s="11" t="s">
        <v>2084</v>
      </c>
      <c r="C3" s="11"/>
      <c r="D3" s="11"/>
      <c r="E3" s="12"/>
      <c r="F3" s="12">
        <f>SUM(Enrollment_Data!H:H)</f>
        <v>13923453</v>
      </c>
      <c r="I3" s="33" t="s">
        <v>2099</v>
      </c>
      <c r="J3" t="s">
        <v>2112</v>
      </c>
      <c r="M3" s="33" t="s">
        <v>2099</v>
      </c>
      <c r="N3" t="s">
        <v>2113</v>
      </c>
      <c r="O3" t="s">
        <v>2120</v>
      </c>
      <c r="Q3" s="33" t="s">
        <v>2099</v>
      </c>
      <c r="R3" t="s">
        <v>2112</v>
      </c>
    </row>
    <row r="4" spans="1:20" x14ac:dyDescent="0.25">
      <c r="A4" s="30">
        <v>3</v>
      </c>
      <c r="B4" s="30" t="s">
        <v>2085</v>
      </c>
      <c r="C4" s="30"/>
      <c r="D4" s="30"/>
      <c r="E4" s="31"/>
      <c r="F4" s="30">
        <f>SUM(Enrollment_Data!R:R)</f>
        <v>9142743</v>
      </c>
      <c r="I4" s="34" t="s">
        <v>2102</v>
      </c>
      <c r="J4" s="35">
        <v>167</v>
      </c>
      <c r="M4" s="34" t="s">
        <v>75</v>
      </c>
      <c r="N4" s="35">
        <v>1028315</v>
      </c>
      <c r="O4" s="35">
        <v>474269</v>
      </c>
      <c r="P4" s="34"/>
      <c r="Q4" s="34" t="s">
        <v>33</v>
      </c>
      <c r="R4" s="35">
        <v>214</v>
      </c>
    </row>
    <row r="5" spans="1:20" x14ac:dyDescent="0.25">
      <c r="A5" s="13">
        <v>4</v>
      </c>
      <c r="B5" s="14" t="s">
        <v>2086</v>
      </c>
      <c r="C5" s="14"/>
      <c r="D5" s="38"/>
      <c r="E5" s="15"/>
      <c r="F5" s="15">
        <f>SUM(Enrollment_Data!H:H)-SUM(Enrollment_Data!R:R)</f>
        <v>4780710</v>
      </c>
      <c r="I5" s="34" t="s">
        <v>2103</v>
      </c>
      <c r="J5" s="35">
        <v>158</v>
      </c>
      <c r="M5" s="34" t="s">
        <v>24</v>
      </c>
      <c r="N5" s="35">
        <v>616867</v>
      </c>
      <c r="O5" s="35">
        <v>296972</v>
      </c>
      <c r="P5" s="34"/>
      <c r="Q5" s="34" t="s">
        <v>18</v>
      </c>
      <c r="R5" s="35">
        <v>1786</v>
      </c>
    </row>
    <row r="6" spans="1:20" x14ac:dyDescent="0.25">
      <c r="A6" s="16">
        <v>5</v>
      </c>
      <c r="B6" s="16" t="s">
        <v>2087</v>
      </c>
      <c r="C6" s="16"/>
      <c r="D6" s="16"/>
      <c r="E6" s="17"/>
      <c r="F6" s="17">
        <f>AVERAGE(Enrollment_Data!H:H)</f>
        <v>6961.7264999999998</v>
      </c>
      <c r="I6" s="34" t="s">
        <v>2118</v>
      </c>
      <c r="J6" s="35">
        <v>146</v>
      </c>
      <c r="M6" s="34" t="s">
        <v>82</v>
      </c>
      <c r="N6" s="35">
        <v>1177143</v>
      </c>
      <c r="O6" s="35">
        <v>665896</v>
      </c>
      <c r="P6" s="34"/>
      <c r="Q6" s="34" t="s">
        <v>2100</v>
      </c>
      <c r="R6" s="35">
        <v>2000</v>
      </c>
    </row>
    <row r="7" spans="1:20" x14ac:dyDescent="0.25">
      <c r="B7" s="37" t="s">
        <v>2114</v>
      </c>
      <c r="C7" s="37"/>
      <c r="D7" s="37"/>
      <c r="E7" s="37"/>
      <c r="F7" s="39">
        <f>F4/F3*100</f>
        <v>65.664336282098986</v>
      </c>
      <c r="I7" s="34" t="s">
        <v>2104</v>
      </c>
      <c r="J7" s="35">
        <v>162</v>
      </c>
      <c r="M7" s="34" t="s">
        <v>92</v>
      </c>
      <c r="N7" s="35">
        <v>630554</v>
      </c>
      <c r="O7" s="35">
        <v>365153</v>
      </c>
    </row>
    <row r="8" spans="1:20" x14ac:dyDescent="0.25">
      <c r="B8" s="37" t="s">
        <v>2115</v>
      </c>
      <c r="C8" s="37"/>
      <c r="D8" s="37"/>
      <c r="E8" s="37"/>
      <c r="F8" s="39">
        <f>F5/F3*100</f>
        <v>34.335663717901014</v>
      </c>
      <c r="I8" s="34" t="s">
        <v>2105</v>
      </c>
      <c r="J8" s="35">
        <v>157</v>
      </c>
      <c r="M8" s="34" t="s">
        <v>38</v>
      </c>
      <c r="N8" s="35">
        <v>594293</v>
      </c>
      <c r="O8" s="35">
        <v>307166</v>
      </c>
      <c r="P8" s="44">
        <v>10</v>
      </c>
      <c r="Q8" s="45" t="s">
        <v>2135</v>
      </c>
      <c r="R8" s="44"/>
      <c r="S8" s="44"/>
      <c r="T8" s="44"/>
    </row>
    <row r="9" spans="1:20" x14ac:dyDescent="0.25">
      <c r="A9" s="18">
        <v>6</v>
      </c>
      <c r="B9" s="18" t="s">
        <v>2088</v>
      </c>
      <c r="C9" s="18"/>
      <c r="D9" s="18"/>
      <c r="E9" s="19" t="str">
        <f>I53</f>
        <v>ERP</v>
      </c>
      <c r="I9" s="34" t="s">
        <v>2106</v>
      </c>
      <c r="J9" s="35">
        <v>154</v>
      </c>
      <c r="M9" s="34" t="s">
        <v>15</v>
      </c>
      <c r="N9" s="35">
        <v>555789</v>
      </c>
      <c r="O9" s="35">
        <v>275432</v>
      </c>
      <c r="P9" s="41"/>
      <c r="Q9" s="33" t="s">
        <v>2099</v>
      </c>
      <c r="R9" t="s">
        <v>2113</v>
      </c>
      <c r="S9" t="s">
        <v>2120</v>
      </c>
    </row>
    <row r="10" spans="1:20" x14ac:dyDescent="0.25">
      <c r="A10" s="20">
        <v>7</v>
      </c>
      <c r="B10" s="20" t="s">
        <v>2089</v>
      </c>
      <c r="C10" s="20"/>
      <c r="D10" s="20"/>
      <c r="E10" s="21" t="str">
        <f>M38</f>
        <v>Abu Dhabi</v>
      </c>
      <c r="I10" s="34" t="s">
        <v>2107</v>
      </c>
      <c r="J10" s="35">
        <v>160</v>
      </c>
      <c r="M10" s="34" t="s">
        <v>45</v>
      </c>
      <c r="N10" s="35">
        <v>492344</v>
      </c>
      <c r="O10" s="35">
        <v>272335</v>
      </c>
      <c r="Q10" s="34" t="s">
        <v>36</v>
      </c>
      <c r="R10" s="35">
        <v>4557988</v>
      </c>
      <c r="S10" s="35">
        <v>2276202</v>
      </c>
    </row>
    <row r="11" spans="1:20" x14ac:dyDescent="0.25">
      <c r="A11" s="20">
        <v>8</v>
      </c>
      <c r="B11" s="20" t="s">
        <v>2090</v>
      </c>
      <c r="C11" s="20"/>
      <c r="D11" s="20"/>
      <c r="E11" s="21" t="str">
        <f>M39</f>
        <v>Sharjah</v>
      </c>
      <c r="I11" s="34" t="s">
        <v>2108</v>
      </c>
      <c r="J11" s="35">
        <v>187</v>
      </c>
      <c r="M11" s="34" t="s">
        <v>113</v>
      </c>
      <c r="N11" s="35">
        <v>360011</v>
      </c>
      <c r="O11" s="35">
        <v>202335</v>
      </c>
      <c r="Q11" s="34" t="s">
        <v>18</v>
      </c>
      <c r="R11" s="35">
        <v>4584755</v>
      </c>
      <c r="S11" s="35">
        <v>2504508</v>
      </c>
    </row>
    <row r="12" spans="1:20" x14ac:dyDescent="0.25">
      <c r="A12" s="22">
        <v>9</v>
      </c>
      <c r="B12" s="22" t="s">
        <v>2091</v>
      </c>
      <c r="C12" s="22"/>
      <c r="D12" s="22"/>
      <c r="E12" s="23" t="str">
        <f>M6</f>
        <v>Cyber Security</v>
      </c>
      <c r="I12" s="34" t="s">
        <v>2119</v>
      </c>
      <c r="J12" s="35">
        <v>185</v>
      </c>
      <c r="M12" s="34" t="s">
        <v>106</v>
      </c>
      <c r="N12" s="35">
        <v>567794</v>
      </c>
      <c r="O12" s="35">
        <v>269384</v>
      </c>
      <c r="P12" s="34"/>
      <c r="Q12" s="34" t="s">
        <v>2100</v>
      </c>
      <c r="R12" s="35">
        <v>9142743</v>
      </c>
      <c r="S12" s="35">
        <v>4780710</v>
      </c>
    </row>
    <row r="13" spans="1:20" x14ac:dyDescent="0.25">
      <c r="A13" s="22">
        <v>10</v>
      </c>
      <c r="B13" s="22" t="s">
        <v>2092</v>
      </c>
      <c r="C13" s="23"/>
      <c r="D13" s="23"/>
      <c r="E13" s="23" t="str">
        <f>D35</f>
        <v>Ali Hassan</v>
      </c>
      <c r="I13" s="34" t="s">
        <v>2109</v>
      </c>
      <c r="J13" s="35">
        <v>164</v>
      </c>
      <c r="M13" s="34" t="s">
        <v>51</v>
      </c>
      <c r="N13" s="35">
        <v>513322</v>
      </c>
      <c r="O13" s="35">
        <v>226920</v>
      </c>
      <c r="P13" s="34"/>
    </row>
    <row r="14" spans="1:20" x14ac:dyDescent="0.25">
      <c r="A14" s="57"/>
      <c r="B14" s="57"/>
      <c r="C14" s="58"/>
      <c r="D14" s="58"/>
      <c r="E14" s="58"/>
      <c r="I14" s="34" t="s">
        <v>2110</v>
      </c>
      <c r="J14" s="35">
        <v>174</v>
      </c>
      <c r="M14" s="34" t="s">
        <v>31</v>
      </c>
      <c r="N14" s="35">
        <v>651504</v>
      </c>
      <c r="O14" s="35">
        <v>316648</v>
      </c>
      <c r="P14" s="34"/>
    </row>
    <row r="15" spans="1:20" x14ac:dyDescent="0.25">
      <c r="I15" s="34" t="s">
        <v>2111</v>
      </c>
      <c r="J15" s="35">
        <v>186</v>
      </c>
      <c r="M15" s="34" t="s">
        <v>55</v>
      </c>
      <c r="N15" s="35">
        <v>778273</v>
      </c>
      <c r="O15" s="35">
        <v>453766</v>
      </c>
      <c r="P15" s="34"/>
    </row>
    <row r="16" spans="1:20" x14ac:dyDescent="0.25">
      <c r="I16" s="34" t="s">
        <v>2100</v>
      </c>
      <c r="J16" s="35">
        <v>2000</v>
      </c>
      <c r="M16" s="34" t="s">
        <v>66</v>
      </c>
      <c r="N16" s="35">
        <v>782798</v>
      </c>
      <c r="O16" s="35">
        <v>460279</v>
      </c>
      <c r="P16" s="34"/>
      <c r="Q16" s="45" t="s">
        <v>2124</v>
      </c>
      <c r="R16" s="44"/>
      <c r="S16" s="44"/>
      <c r="T16" s="44"/>
    </row>
    <row r="17" spans="1:32" x14ac:dyDescent="0.25">
      <c r="A17" s="24">
        <v>11</v>
      </c>
      <c r="B17" s="25" t="s">
        <v>2093</v>
      </c>
      <c r="C17" s="25"/>
      <c r="D17" s="25"/>
      <c r="E17" s="25"/>
      <c r="F17" s="25">
        <f>COUNTIF(Enrollment_Data!P:P,"completed")</f>
        <v>993</v>
      </c>
      <c r="J17" s="55">
        <f>GETPIVOTDATA("Student_ID",$I$3)</f>
        <v>2000</v>
      </c>
      <c r="M17" s="34" t="s">
        <v>100</v>
      </c>
      <c r="N17" s="35">
        <v>393736</v>
      </c>
      <c r="O17" s="35">
        <v>194155</v>
      </c>
      <c r="P17" s="34"/>
      <c r="Q17" s="33" t="s">
        <v>2120</v>
      </c>
      <c r="R17" s="33" t="s">
        <v>2101</v>
      </c>
    </row>
    <row r="18" spans="1:32" x14ac:dyDescent="0.25">
      <c r="A18" s="24">
        <v>12</v>
      </c>
      <c r="B18" s="25" t="s">
        <v>2094</v>
      </c>
      <c r="C18" s="25"/>
      <c r="D18" s="25"/>
      <c r="E18" s="25"/>
      <c r="F18" s="25">
        <f>COUNTIF(Enrollment_Data!P:P,"Ongoing")</f>
        <v>1007</v>
      </c>
      <c r="M18" s="34" t="s">
        <v>2100</v>
      </c>
      <c r="N18" s="35">
        <v>9142743</v>
      </c>
      <c r="O18" s="35">
        <v>4780710</v>
      </c>
      <c r="P18" s="34"/>
      <c r="Q18" s="33" t="s">
        <v>2099</v>
      </c>
      <c r="R18" t="s">
        <v>36</v>
      </c>
      <c r="S18" t="s">
        <v>18</v>
      </c>
      <c r="T18" t="s">
        <v>2100</v>
      </c>
    </row>
    <row r="19" spans="1:32" x14ac:dyDescent="0.25">
      <c r="A19" s="26">
        <v>13</v>
      </c>
      <c r="B19" s="27" t="s">
        <v>2095</v>
      </c>
      <c r="C19" s="27"/>
      <c r="D19" s="27"/>
      <c r="E19" s="27" t="str">
        <f>D56</f>
        <v>Data Analytics</v>
      </c>
      <c r="F19" s="27"/>
      <c r="H19" s="47">
        <v>3</v>
      </c>
      <c r="I19" s="46" t="s">
        <v>2125</v>
      </c>
      <c r="J19" s="47"/>
      <c r="Q19" s="34" t="s">
        <v>75</v>
      </c>
      <c r="R19" s="35">
        <v>222809</v>
      </c>
      <c r="S19" s="35">
        <v>251460</v>
      </c>
      <c r="T19" s="35">
        <v>474269</v>
      </c>
      <c r="Y19" s="35"/>
      <c r="Z19" s="35"/>
      <c r="AA19" s="35"/>
      <c r="AB19" s="35"/>
      <c r="AC19" s="35"/>
      <c r="AD19" s="35"/>
      <c r="AE19" s="35"/>
      <c r="AF19" s="35"/>
    </row>
    <row r="20" spans="1:32" x14ac:dyDescent="0.25">
      <c r="A20" s="26">
        <v>14</v>
      </c>
      <c r="B20" s="27" t="s">
        <v>2096</v>
      </c>
      <c r="C20" s="27"/>
      <c r="D20" s="27"/>
      <c r="E20" s="27" t="str">
        <f>D61</f>
        <v>Project Management</v>
      </c>
      <c r="F20" s="27"/>
      <c r="L20" s="44">
        <v>7</v>
      </c>
      <c r="M20" s="44" t="s">
        <v>2122</v>
      </c>
      <c r="Q20" s="34" t="s">
        <v>24</v>
      </c>
      <c r="R20" s="35">
        <v>163304</v>
      </c>
      <c r="S20" s="35">
        <v>133668</v>
      </c>
      <c r="T20" s="35">
        <v>296972</v>
      </c>
      <c r="Y20" s="35"/>
      <c r="Z20" s="35"/>
      <c r="AA20" s="35"/>
      <c r="AB20" s="35"/>
      <c r="AC20" s="35"/>
      <c r="AD20" s="35"/>
      <c r="AE20" s="35"/>
      <c r="AF20" s="35"/>
    </row>
    <row r="21" spans="1:32" x14ac:dyDescent="0.25">
      <c r="H21" s="43"/>
      <c r="I21" s="33" t="s">
        <v>2099</v>
      </c>
      <c r="J21" t="s">
        <v>2112</v>
      </c>
      <c r="M21" s="33" t="s">
        <v>2099</v>
      </c>
      <c r="N21" t="s">
        <v>2113</v>
      </c>
      <c r="Q21" s="34" t="s">
        <v>82</v>
      </c>
      <c r="R21" s="35">
        <v>315593</v>
      </c>
      <c r="S21" s="35">
        <v>350303</v>
      </c>
      <c r="T21" s="35">
        <v>665896</v>
      </c>
      <c r="Y21" s="35"/>
      <c r="Z21" s="35"/>
      <c r="AA21" s="35"/>
      <c r="AB21" s="35"/>
      <c r="AC21" s="35"/>
      <c r="AD21" s="35"/>
      <c r="AE21" s="35"/>
      <c r="AF21" s="35"/>
    </row>
    <row r="22" spans="1:32" x14ac:dyDescent="0.25">
      <c r="B22" s="29" t="s">
        <v>2098</v>
      </c>
      <c r="C22" s="29"/>
      <c r="D22" s="29" t="s">
        <v>2097</v>
      </c>
      <c r="I22" s="34" t="s">
        <v>19</v>
      </c>
      <c r="J22" s="35">
        <v>685</v>
      </c>
      <c r="M22" s="34" t="s">
        <v>2102</v>
      </c>
      <c r="N22" s="35">
        <v>785223</v>
      </c>
      <c r="Q22" s="34" t="s">
        <v>92</v>
      </c>
      <c r="R22" s="35">
        <v>140967</v>
      </c>
      <c r="S22" s="35">
        <v>224186</v>
      </c>
      <c r="T22" s="35">
        <v>365153</v>
      </c>
    </row>
    <row r="23" spans="1:32" x14ac:dyDescent="0.25">
      <c r="B23" s="28" t="s">
        <v>33</v>
      </c>
      <c r="C23" s="28"/>
      <c r="D23" s="32">
        <f>COUNTIF(Enrollment_Data!K:K,"cleared")</f>
        <v>214</v>
      </c>
      <c r="I23" s="34" t="s">
        <v>40</v>
      </c>
      <c r="J23" s="35">
        <v>668</v>
      </c>
      <c r="M23" s="34" t="s">
        <v>2103</v>
      </c>
      <c r="N23" s="35">
        <v>787157</v>
      </c>
      <c r="Q23" s="34" t="s">
        <v>38</v>
      </c>
      <c r="R23" s="35">
        <v>125237</v>
      </c>
      <c r="S23" s="35">
        <v>181929</v>
      </c>
      <c r="T23" s="35">
        <v>307166</v>
      </c>
    </row>
    <row r="24" spans="1:32" x14ac:dyDescent="0.25">
      <c r="B24" s="28" t="s">
        <v>18</v>
      </c>
      <c r="C24" s="28"/>
      <c r="D24" s="32">
        <f>COUNTIF(Enrollment_Data!K:K,"Ongoing")</f>
        <v>1786</v>
      </c>
      <c r="I24" s="34" t="s">
        <v>57</v>
      </c>
      <c r="J24" s="35">
        <v>647</v>
      </c>
      <c r="M24" s="34" t="s">
        <v>2118</v>
      </c>
      <c r="N24" s="35">
        <v>668857</v>
      </c>
      <c r="Q24" s="34" t="s">
        <v>15</v>
      </c>
      <c r="R24" s="35">
        <v>141585</v>
      </c>
      <c r="S24" s="35">
        <v>133847</v>
      </c>
      <c r="T24" s="35">
        <v>275432</v>
      </c>
    </row>
    <row r="25" spans="1:32" x14ac:dyDescent="0.25">
      <c r="I25" s="34" t="s">
        <v>2100</v>
      </c>
      <c r="J25" s="35">
        <v>2000</v>
      </c>
      <c r="M25" s="34" t="s">
        <v>2104</v>
      </c>
      <c r="N25" s="35">
        <v>703982</v>
      </c>
      <c r="Q25" s="34" t="s">
        <v>45</v>
      </c>
      <c r="R25" s="35">
        <v>169667</v>
      </c>
      <c r="S25" s="35">
        <v>102668</v>
      </c>
      <c r="T25" s="35">
        <v>272335</v>
      </c>
    </row>
    <row r="26" spans="1:32" x14ac:dyDescent="0.25">
      <c r="B26" s="37" t="s">
        <v>2116</v>
      </c>
      <c r="C26" s="37"/>
      <c r="D26" s="37"/>
      <c r="E26" s="40">
        <f>(F17/F2)*100</f>
        <v>49.65</v>
      </c>
      <c r="M26" s="34" t="s">
        <v>2105</v>
      </c>
      <c r="N26" s="35">
        <v>718073</v>
      </c>
      <c r="Q26" s="34" t="s">
        <v>113</v>
      </c>
      <c r="R26" s="35">
        <v>96950</v>
      </c>
      <c r="S26" s="35">
        <v>105385</v>
      </c>
      <c r="T26" s="35">
        <v>202335</v>
      </c>
    </row>
    <row r="27" spans="1:32" x14ac:dyDescent="0.25">
      <c r="B27" s="37" t="s">
        <v>2117</v>
      </c>
      <c r="C27" s="37"/>
      <c r="D27" s="37"/>
      <c r="E27" s="40">
        <f>F18/F2*100</f>
        <v>50.349999999999994</v>
      </c>
      <c r="H27" s="47">
        <v>4</v>
      </c>
      <c r="I27" s="46" t="s">
        <v>2132</v>
      </c>
      <c r="J27" s="47"/>
      <c r="M27" s="34" t="s">
        <v>2106</v>
      </c>
      <c r="N27" s="35">
        <v>673453</v>
      </c>
      <c r="Q27" s="34" t="s">
        <v>106</v>
      </c>
      <c r="R27" s="35">
        <v>135261</v>
      </c>
      <c r="S27" s="35">
        <v>134123</v>
      </c>
      <c r="T27" s="35">
        <v>269384</v>
      </c>
    </row>
    <row r="28" spans="1:32" x14ac:dyDescent="0.25">
      <c r="I28" s="33" t="s">
        <v>2099</v>
      </c>
      <c r="J28" t="s">
        <v>2112</v>
      </c>
      <c r="M28" s="34" t="s">
        <v>2107</v>
      </c>
      <c r="N28" s="35">
        <v>769688</v>
      </c>
      <c r="O28" s="42"/>
      <c r="P28" s="41"/>
      <c r="Q28" s="34" t="s">
        <v>51</v>
      </c>
      <c r="R28" s="35">
        <v>109321</v>
      </c>
      <c r="S28" s="35">
        <v>117599</v>
      </c>
      <c r="T28" s="35">
        <v>226920</v>
      </c>
    </row>
    <row r="29" spans="1:32" x14ac:dyDescent="0.25">
      <c r="I29" s="34" t="s">
        <v>75</v>
      </c>
      <c r="J29" s="35">
        <v>134</v>
      </c>
      <c r="M29" s="34" t="s">
        <v>2108</v>
      </c>
      <c r="N29" s="35">
        <v>827722</v>
      </c>
      <c r="Q29" s="34" t="s">
        <v>31</v>
      </c>
      <c r="R29" s="35">
        <v>172967</v>
      </c>
      <c r="S29" s="35">
        <v>143681</v>
      </c>
      <c r="T29" s="35">
        <v>316648</v>
      </c>
    </row>
    <row r="30" spans="1:32" x14ac:dyDescent="0.25">
      <c r="I30" s="34" t="s">
        <v>15</v>
      </c>
      <c r="J30" s="35">
        <v>138</v>
      </c>
      <c r="M30" s="34" t="s">
        <v>2119</v>
      </c>
      <c r="N30" s="35">
        <v>831971</v>
      </c>
      <c r="Q30" s="34" t="s">
        <v>55</v>
      </c>
      <c r="R30" s="35">
        <v>200242</v>
      </c>
      <c r="S30" s="35">
        <v>253524</v>
      </c>
      <c r="T30" s="35">
        <v>453766</v>
      </c>
    </row>
    <row r="31" spans="1:32" x14ac:dyDescent="0.25">
      <c r="D31" s="46" t="s">
        <v>2127</v>
      </c>
      <c r="I31" s="34" t="s">
        <v>45</v>
      </c>
      <c r="J31" s="35">
        <v>140</v>
      </c>
      <c r="M31" s="34" t="s">
        <v>2109</v>
      </c>
      <c r="N31" s="35">
        <v>778108</v>
      </c>
      <c r="Q31" s="34" t="s">
        <v>66</v>
      </c>
      <c r="R31" s="35">
        <v>170309</v>
      </c>
      <c r="S31" s="35">
        <v>289970</v>
      </c>
      <c r="T31" s="35">
        <v>460279</v>
      </c>
    </row>
    <row r="32" spans="1:32" x14ac:dyDescent="0.25">
      <c r="D32" s="33" t="s">
        <v>2099</v>
      </c>
      <c r="E32" t="s">
        <v>2112</v>
      </c>
      <c r="I32" s="34" t="s">
        <v>113</v>
      </c>
      <c r="J32" s="35">
        <v>142</v>
      </c>
      <c r="M32" s="34" t="s">
        <v>2110</v>
      </c>
      <c r="N32" s="35">
        <v>804913</v>
      </c>
      <c r="Q32" s="34" t="s">
        <v>100</v>
      </c>
      <c r="R32" s="35">
        <v>111990</v>
      </c>
      <c r="S32" s="35">
        <v>82165</v>
      </c>
      <c r="T32" s="35">
        <v>194155</v>
      </c>
    </row>
    <row r="33" spans="4:20" x14ac:dyDescent="0.25">
      <c r="D33" s="34" t="s">
        <v>116</v>
      </c>
      <c r="E33" s="35">
        <v>124</v>
      </c>
      <c r="H33" s="43"/>
      <c r="I33" s="34" t="s">
        <v>31</v>
      </c>
      <c r="J33" s="35">
        <v>151</v>
      </c>
      <c r="M33" s="34" t="s">
        <v>2111</v>
      </c>
      <c r="N33" s="35">
        <v>793596</v>
      </c>
      <c r="Q33" s="34" t="s">
        <v>2100</v>
      </c>
      <c r="R33" s="35">
        <v>2276202</v>
      </c>
      <c r="S33" s="35">
        <v>2504508</v>
      </c>
      <c r="T33" s="35">
        <v>4780710</v>
      </c>
    </row>
    <row r="34" spans="4:20" x14ac:dyDescent="0.25">
      <c r="D34" s="34" t="s">
        <v>70</v>
      </c>
      <c r="E34" s="35">
        <v>140</v>
      </c>
      <c r="H34" s="43"/>
      <c r="I34" s="34" t="s">
        <v>38</v>
      </c>
      <c r="J34" s="35">
        <v>156</v>
      </c>
      <c r="M34" s="34" t="s">
        <v>2100</v>
      </c>
      <c r="N34" s="35">
        <v>9142743</v>
      </c>
    </row>
    <row r="35" spans="4:20" x14ac:dyDescent="0.25">
      <c r="D35" s="34" t="s">
        <v>21</v>
      </c>
      <c r="E35" s="35">
        <v>153</v>
      </c>
      <c r="I35" s="34" t="s">
        <v>51</v>
      </c>
      <c r="J35" s="35">
        <v>157</v>
      </c>
    </row>
    <row r="36" spans="4:20" x14ac:dyDescent="0.25">
      <c r="D36" s="34" t="s">
        <v>154</v>
      </c>
      <c r="E36" s="35">
        <v>121</v>
      </c>
      <c r="I36" s="34" t="s">
        <v>24</v>
      </c>
      <c r="J36" s="35">
        <v>158</v>
      </c>
      <c r="L36" s="44">
        <v>8</v>
      </c>
      <c r="M36" s="45" t="s">
        <v>2126</v>
      </c>
      <c r="N36" s="44"/>
      <c r="O36" s="44"/>
    </row>
    <row r="37" spans="4:20" x14ac:dyDescent="0.25">
      <c r="D37" s="34" t="s">
        <v>90</v>
      </c>
      <c r="E37" s="35">
        <v>137</v>
      </c>
      <c r="I37" s="34" t="s">
        <v>82</v>
      </c>
      <c r="J37" s="35">
        <v>158</v>
      </c>
      <c r="M37" s="33" t="s">
        <v>2099</v>
      </c>
      <c r="N37" t="s">
        <v>2113</v>
      </c>
      <c r="O37" t="s">
        <v>2120</v>
      </c>
    </row>
    <row r="38" spans="4:20" x14ac:dyDescent="0.25">
      <c r="D38" s="34" t="s">
        <v>61</v>
      </c>
      <c r="E38" s="35">
        <v>144</v>
      </c>
      <c r="I38" s="34" t="s">
        <v>92</v>
      </c>
      <c r="J38" s="35">
        <v>159</v>
      </c>
      <c r="M38" s="34" t="s">
        <v>41</v>
      </c>
      <c r="N38" s="35">
        <v>1648335</v>
      </c>
      <c r="O38" s="35">
        <v>879346</v>
      </c>
      <c r="P38" t="str">
        <f>M38</f>
        <v>Abu Dhabi</v>
      </c>
      <c r="Q38" s="34">
        <f>GETPIVOTDATA("Sum of Revenue",$M$37,"Branch","Abu Dhabi")</f>
        <v>1648335</v>
      </c>
      <c r="R38" s="35"/>
    </row>
    <row r="39" spans="4:20" x14ac:dyDescent="0.25">
      <c r="D39" s="34" t="s">
        <v>95</v>
      </c>
      <c r="E39" s="35">
        <v>130</v>
      </c>
      <c r="H39" s="43"/>
      <c r="I39" s="34" t="s">
        <v>2100</v>
      </c>
      <c r="J39" s="35">
        <v>1493</v>
      </c>
      <c r="M39" s="34" t="s">
        <v>63</v>
      </c>
      <c r="N39" s="35">
        <v>1576710</v>
      </c>
      <c r="O39" s="35">
        <v>781842</v>
      </c>
      <c r="P39" t="str">
        <f t="shared" ref="P39:P44" si="0">M39</f>
        <v>Sharjah</v>
      </c>
      <c r="Q39" s="34"/>
      <c r="R39" s="35"/>
    </row>
    <row r="40" spans="4:20" x14ac:dyDescent="0.25">
      <c r="D40" s="34" t="s">
        <v>86</v>
      </c>
      <c r="E40" s="35">
        <v>139</v>
      </c>
      <c r="M40" s="34" t="s">
        <v>20</v>
      </c>
      <c r="N40" s="35">
        <v>1564026</v>
      </c>
      <c r="O40" s="35">
        <v>850377</v>
      </c>
      <c r="P40" t="str">
        <f t="shared" si="0"/>
        <v>Al Ain</v>
      </c>
      <c r="Q40" s="34"/>
      <c r="R40" s="35"/>
    </row>
    <row r="41" spans="4:20" x14ac:dyDescent="0.25">
      <c r="D41" s="34" t="s">
        <v>28</v>
      </c>
      <c r="E41" s="35">
        <v>125</v>
      </c>
      <c r="M41" s="34" t="s">
        <v>27</v>
      </c>
      <c r="N41" s="35">
        <v>1488258</v>
      </c>
      <c r="O41" s="35">
        <v>684396</v>
      </c>
      <c r="P41" t="str">
        <f t="shared" si="0"/>
        <v>Ras Al Khaimah</v>
      </c>
    </row>
    <row r="42" spans="4:20" x14ac:dyDescent="0.25">
      <c r="D42" s="34" t="s">
        <v>53</v>
      </c>
      <c r="E42" s="35">
        <v>117</v>
      </c>
      <c r="M42" s="34" t="s">
        <v>47</v>
      </c>
      <c r="N42" s="35">
        <v>1444381</v>
      </c>
      <c r="O42" s="35">
        <v>764554</v>
      </c>
      <c r="P42" t="str">
        <f t="shared" si="0"/>
        <v>Dubai</v>
      </c>
    </row>
    <row r="43" spans="4:20" x14ac:dyDescent="0.25">
      <c r="D43" s="34" t="s">
        <v>34</v>
      </c>
      <c r="E43" s="35">
        <v>111</v>
      </c>
      <c r="M43" s="34" t="s">
        <v>60</v>
      </c>
      <c r="N43" s="35">
        <v>1421033</v>
      </c>
      <c r="O43" s="35">
        <v>820195</v>
      </c>
      <c r="P43" t="str">
        <f t="shared" si="0"/>
        <v>Ajman</v>
      </c>
    </row>
    <row r="44" spans="4:20" x14ac:dyDescent="0.25">
      <c r="D44" s="34" t="s">
        <v>48</v>
      </c>
      <c r="E44" s="35">
        <v>143</v>
      </c>
      <c r="M44" s="34" t="s">
        <v>2100</v>
      </c>
      <c r="N44" s="35">
        <v>9142743</v>
      </c>
      <c r="O44" s="35">
        <v>4780710</v>
      </c>
      <c r="P44" t="str">
        <f t="shared" si="0"/>
        <v>Grand Total</v>
      </c>
    </row>
    <row r="45" spans="4:20" x14ac:dyDescent="0.25">
      <c r="D45" s="34" t="s">
        <v>42</v>
      </c>
      <c r="E45" s="35">
        <v>152</v>
      </c>
      <c r="P45" s="34"/>
      <c r="Q45" s="35"/>
      <c r="R45" s="35"/>
    </row>
    <row r="46" spans="4:20" x14ac:dyDescent="0.25">
      <c r="D46" s="34" t="s">
        <v>79</v>
      </c>
      <c r="E46" s="35">
        <v>121</v>
      </c>
      <c r="H46" s="47">
        <v>5</v>
      </c>
      <c r="I46" s="46" t="s">
        <v>2131</v>
      </c>
      <c r="J46" s="47"/>
    </row>
    <row r="47" spans="4:20" x14ac:dyDescent="0.25">
      <c r="D47" s="34" t="s">
        <v>73</v>
      </c>
      <c r="E47" s="35">
        <v>143</v>
      </c>
      <c r="I47" s="33" t="s">
        <v>2112</v>
      </c>
      <c r="J47" s="33" t="s">
        <v>2101</v>
      </c>
    </row>
    <row r="48" spans="4:20" x14ac:dyDescent="0.25">
      <c r="D48" s="34" t="s">
        <v>2100</v>
      </c>
      <c r="E48" s="35">
        <v>2000</v>
      </c>
      <c r="I48" s="33" t="s">
        <v>2099</v>
      </c>
      <c r="J48" t="s">
        <v>17</v>
      </c>
      <c r="K48" t="s">
        <v>26</v>
      </c>
      <c r="L48" t="s">
        <v>2100</v>
      </c>
    </row>
    <row r="49" spans="4:12" x14ac:dyDescent="0.25">
      <c r="I49" s="34" t="s">
        <v>25</v>
      </c>
      <c r="J49" s="35">
        <v>78</v>
      </c>
      <c r="K49" s="35">
        <v>80</v>
      </c>
      <c r="L49" s="35">
        <v>158</v>
      </c>
    </row>
    <row r="50" spans="4:12" x14ac:dyDescent="0.25">
      <c r="I50" s="34" t="s">
        <v>76</v>
      </c>
      <c r="J50" s="35">
        <v>57</v>
      </c>
      <c r="K50" s="35">
        <v>77</v>
      </c>
      <c r="L50" s="35">
        <v>134</v>
      </c>
    </row>
    <row r="51" spans="4:12" x14ac:dyDescent="0.25">
      <c r="D51" s="34" t="s">
        <v>2129</v>
      </c>
      <c r="I51" s="34" t="s">
        <v>93</v>
      </c>
      <c r="J51" s="35">
        <v>158</v>
      </c>
      <c r="K51" s="35">
        <v>143</v>
      </c>
      <c r="L51" s="35">
        <v>301</v>
      </c>
    </row>
    <row r="52" spans="4:12" x14ac:dyDescent="0.25">
      <c r="D52" s="33" t="s">
        <v>2099</v>
      </c>
      <c r="E52" t="s">
        <v>2112</v>
      </c>
      <c r="I52" s="34" t="s">
        <v>32</v>
      </c>
      <c r="J52" s="35">
        <v>63</v>
      </c>
      <c r="K52" s="35">
        <v>88</v>
      </c>
      <c r="L52" s="35">
        <v>151</v>
      </c>
    </row>
    <row r="53" spans="4:12" x14ac:dyDescent="0.25">
      <c r="D53" s="34" t="s">
        <v>75</v>
      </c>
      <c r="E53" s="35">
        <v>134</v>
      </c>
      <c r="I53" s="34" t="s">
        <v>56</v>
      </c>
      <c r="J53" s="35">
        <v>125</v>
      </c>
      <c r="K53" s="35">
        <v>137</v>
      </c>
      <c r="L53" s="35">
        <v>262</v>
      </c>
    </row>
    <row r="54" spans="4:12" x14ac:dyDescent="0.25">
      <c r="D54" s="34" t="s">
        <v>24</v>
      </c>
      <c r="E54" s="35">
        <v>158</v>
      </c>
      <c r="I54" s="34" t="s">
        <v>16</v>
      </c>
      <c r="J54" s="35">
        <v>69</v>
      </c>
      <c r="K54" s="35">
        <v>69</v>
      </c>
      <c r="L54" s="35">
        <v>138</v>
      </c>
    </row>
    <row r="55" spans="4:12" x14ac:dyDescent="0.25">
      <c r="D55" s="34" t="s">
        <v>82</v>
      </c>
      <c r="E55" s="35">
        <v>158</v>
      </c>
      <c r="I55" s="34" t="s">
        <v>83</v>
      </c>
      <c r="J55" s="35">
        <v>76</v>
      </c>
      <c r="K55" s="35">
        <v>82</v>
      </c>
      <c r="L55" s="35">
        <v>158</v>
      </c>
    </row>
    <row r="56" spans="4:12" x14ac:dyDescent="0.25">
      <c r="D56" s="34" t="s">
        <v>92</v>
      </c>
      <c r="E56" s="35">
        <v>159</v>
      </c>
      <c r="I56" s="34" t="s">
        <v>46</v>
      </c>
      <c r="J56" s="35">
        <v>74</v>
      </c>
      <c r="K56" s="35">
        <v>66</v>
      </c>
      <c r="L56" s="35">
        <v>140</v>
      </c>
    </row>
    <row r="57" spans="4:12" x14ac:dyDescent="0.25">
      <c r="D57" s="34" t="s">
        <v>38</v>
      </c>
      <c r="E57" s="35">
        <v>156</v>
      </c>
      <c r="I57" s="34" t="s">
        <v>107</v>
      </c>
      <c r="J57" s="35">
        <v>68</v>
      </c>
      <c r="K57" s="35">
        <v>54</v>
      </c>
      <c r="L57" s="35">
        <v>122</v>
      </c>
    </row>
    <row r="58" spans="4:12" x14ac:dyDescent="0.25">
      <c r="D58" s="34" t="s">
        <v>15</v>
      </c>
      <c r="E58" s="35">
        <v>138</v>
      </c>
      <c r="I58" s="34" t="s">
        <v>39</v>
      </c>
      <c r="J58" s="35">
        <v>83</v>
      </c>
      <c r="K58" s="35">
        <v>73</v>
      </c>
      <c r="L58" s="35">
        <v>156</v>
      </c>
    </row>
    <row r="59" spans="4:12" x14ac:dyDescent="0.25">
      <c r="D59" s="34" t="s">
        <v>45</v>
      </c>
      <c r="E59" s="35">
        <v>140</v>
      </c>
      <c r="I59" s="34" t="s">
        <v>52</v>
      </c>
      <c r="J59" s="35">
        <v>73</v>
      </c>
      <c r="K59" s="35">
        <v>84</v>
      </c>
      <c r="L59" s="35">
        <v>157</v>
      </c>
    </row>
    <row r="60" spans="4:12" x14ac:dyDescent="0.25">
      <c r="D60" s="34" t="s">
        <v>113</v>
      </c>
      <c r="E60" s="35">
        <v>142</v>
      </c>
      <c r="I60" s="34" t="s">
        <v>101</v>
      </c>
      <c r="J60" s="35">
        <v>61</v>
      </c>
      <c r="K60" s="35">
        <v>62</v>
      </c>
      <c r="L60" s="35">
        <v>123</v>
      </c>
    </row>
    <row r="61" spans="4:12" x14ac:dyDescent="0.25">
      <c r="D61" s="34" t="s">
        <v>106</v>
      </c>
      <c r="E61" s="35">
        <v>122</v>
      </c>
      <c r="I61" s="34" t="s">
        <v>2100</v>
      </c>
      <c r="J61" s="35">
        <v>985</v>
      </c>
      <c r="K61" s="35">
        <v>1015</v>
      </c>
      <c r="L61" s="35">
        <v>2000</v>
      </c>
    </row>
    <row r="62" spans="4:12" x14ac:dyDescent="0.25">
      <c r="D62" s="34" t="s">
        <v>51</v>
      </c>
      <c r="E62" s="35">
        <v>157</v>
      </c>
    </row>
    <row r="63" spans="4:12" x14ac:dyDescent="0.25">
      <c r="D63" s="34" t="s">
        <v>31</v>
      </c>
      <c r="E63" s="35">
        <v>151</v>
      </c>
    </row>
    <row r="64" spans="4:12" x14ac:dyDescent="0.25">
      <c r="D64" s="34" t="s">
        <v>55</v>
      </c>
      <c r="E64" s="35">
        <v>130</v>
      </c>
      <c r="I64" s="33" t="s">
        <v>2099</v>
      </c>
      <c r="J64" t="s">
        <v>2112</v>
      </c>
    </row>
    <row r="65" spans="4:13" x14ac:dyDescent="0.25">
      <c r="D65" s="34" t="s">
        <v>66</v>
      </c>
      <c r="E65" s="35">
        <v>132</v>
      </c>
      <c r="I65" s="34" t="s">
        <v>36</v>
      </c>
      <c r="J65" s="56">
        <v>0.4965</v>
      </c>
      <c r="K65" s="5"/>
    </row>
    <row r="66" spans="4:13" x14ac:dyDescent="0.25">
      <c r="D66" s="34" t="s">
        <v>100</v>
      </c>
      <c r="E66" s="35">
        <v>123</v>
      </c>
      <c r="I66" s="34" t="s">
        <v>18</v>
      </c>
      <c r="J66" s="56">
        <v>0.50349999999999995</v>
      </c>
    </row>
    <row r="67" spans="4:13" x14ac:dyDescent="0.25">
      <c r="D67" s="34" t="s">
        <v>2100</v>
      </c>
      <c r="E67" s="35">
        <v>2000</v>
      </c>
      <c r="I67" s="34" t="s">
        <v>2100</v>
      </c>
      <c r="J67" s="56">
        <v>1</v>
      </c>
      <c r="L67" s="34"/>
      <c r="M67" s="35"/>
    </row>
    <row r="68" spans="4:13" x14ac:dyDescent="0.25">
      <c r="L68" s="34"/>
      <c r="M68" s="35"/>
    </row>
    <row r="69" spans="4:13" x14ac:dyDescent="0.25">
      <c r="I69" t="s">
        <v>2136</v>
      </c>
      <c r="L69" s="34"/>
      <c r="M69" s="35"/>
    </row>
    <row r="70" spans="4:13" x14ac:dyDescent="0.25">
      <c r="D70" s="47">
        <v>2</v>
      </c>
      <c r="E70" s="46" t="s">
        <v>2130</v>
      </c>
      <c r="F70" s="47"/>
      <c r="I70" s="35">
        <v>13923453</v>
      </c>
      <c r="L70" s="52">
        <f>I70</f>
        <v>13923453</v>
      </c>
      <c r="M70" s="35"/>
    </row>
    <row r="71" spans="4:13" x14ac:dyDescent="0.25">
      <c r="D71" s="33" t="s">
        <v>2099</v>
      </c>
      <c r="E71" t="s">
        <v>2112</v>
      </c>
      <c r="L71" s="34"/>
      <c r="M71" s="35"/>
    </row>
    <row r="72" spans="4:13" x14ac:dyDescent="0.25">
      <c r="D72" s="34" t="s">
        <v>41</v>
      </c>
      <c r="E72" s="35">
        <v>363</v>
      </c>
      <c r="I72" t="s">
        <v>2120</v>
      </c>
      <c r="L72" s="34"/>
      <c r="M72" s="35"/>
    </row>
    <row r="73" spans="4:13" x14ac:dyDescent="0.25">
      <c r="D73" s="34" t="s">
        <v>60</v>
      </c>
      <c r="E73" s="35">
        <v>308</v>
      </c>
      <c r="I73" s="35">
        <v>4780710</v>
      </c>
      <c r="L73" s="52">
        <f>I73</f>
        <v>4780710</v>
      </c>
      <c r="M73" s="35"/>
    </row>
    <row r="74" spans="4:13" x14ac:dyDescent="0.25">
      <c r="D74" s="34" t="s">
        <v>20</v>
      </c>
      <c r="E74" s="35">
        <v>348</v>
      </c>
      <c r="L74" s="34"/>
      <c r="M74" s="35"/>
    </row>
    <row r="75" spans="4:13" x14ac:dyDescent="0.25">
      <c r="D75" s="34" t="s">
        <v>47</v>
      </c>
      <c r="E75" s="35">
        <v>317</v>
      </c>
      <c r="I75" t="s">
        <v>2113</v>
      </c>
      <c r="L75" s="34"/>
      <c r="M75" s="35"/>
    </row>
    <row r="76" spans="4:13" x14ac:dyDescent="0.25">
      <c r="D76" s="34" t="s">
        <v>27</v>
      </c>
      <c r="E76" s="35">
        <v>325</v>
      </c>
      <c r="I76" s="35">
        <v>9142743</v>
      </c>
      <c r="L76" s="52">
        <f>I76</f>
        <v>9142743</v>
      </c>
      <c r="M76" s="35"/>
    </row>
    <row r="77" spans="4:13" x14ac:dyDescent="0.25">
      <c r="D77" s="34" t="s">
        <v>63</v>
      </c>
      <c r="E77" s="35">
        <v>339</v>
      </c>
      <c r="L77" s="34"/>
      <c r="M77" s="35"/>
    </row>
    <row r="78" spans="4:13" x14ac:dyDescent="0.25">
      <c r="D78" s="34" t="s">
        <v>2100</v>
      </c>
      <c r="E78" s="35">
        <v>2000</v>
      </c>
      <c r="I78" t="s">
        <v>2137</v>
      </c>
      <c r="L78" s="34"/>
      <c r="M78" s="35"/>
    </row>
    <row r="79" spans="4:13" x14ac:dyDescent="0.25">
      <c r="I79" s="35">
        <v>6961.7264999999998</v>
      </c>
      <c r="L79" s="53">
        <f>I79</f>
        <v>6961.7264999999998</v>
      </c>
      <c r="M79" s="35"/>
    </row>
  </sheetData>
  <pageMargins left="0.7" right="0.7" top="0.75" bottom="0.75" header="0.3" footer="0.3"/>
  <pageSetup orientation="portrait"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K1"/>
  <sheetViews>
    <sheetView showGridLines="0" topLeftCell="A4" workbookViewId="0">
      <selection activeCell="S24" sqref="S24"/>
    </sheetView>
  </sheetViews>
  <sheetFormatPr defaultRowHeight="15" x14ac:dyDescent="0.25"/>
  <sheetData>
    <row r="1" spans="9:11" ht="36" x14ac:dyDescent="0.55000000000000004">
      <c r="I1" s="48" t="s">
        <v>2128</v>
      </c>
      <c r="J1" s="49"/>
      <c r="K1" s="49"/>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1:L1"/>
  <sheetViews>
    <sheetView showGridLines="0" topLeftCell="A4" workbookViewId="0">
      <selection activeCell="H29" sqref="H29"/>
    </sheetView>
  </sheetViews>
  <sheetFormatPr defaultRowHeight="15" x14ac:dyDescent="0.25"/>
  <sheetData>
    <row r="1" spans="8:12" ht="31.5" x14ac:dyDescent="0.5">
      <c r="H1" s="50" t="s">
        <v>2133</v>
      </c>
      <c r="I1" s="50"/>
      <c r="J1" s="50"/>
      <c r="K1" s="51"/>
      <c r="L1" s="51"/>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9"/>
  <sheetViews>
    <sheetView showGridLines="0" zoomScale="96" zoomScaleNormal="96" workbookViewId="0">
      <selection activeCell="R4" sqref="R4"/>
    </sheetView>
  </sheetViews>
  <sheetFormatPr defaultRowHeight="15" x14ac:dyDescent="0.25"/>
  <sheetData>
    <row r="1" spans="1:21" x14ac:dyDescent="0.25">
      <c r="A1" s="54"/>
      <c r="B1" s="54"/>
      <c r="C1" s="54"/>
      <c r="D1" s="54"/>
      <c r="E1" s="54"/>
      <c r="F1" s="54"/>
      <c r="G1" s="54"/>
      <c r="H1" s="54"/>
      <c r="I1" s="54"/>
      <c r="J1" s="54"/>
      <c r="K1" s="54"/>
      <c r="L1" s="54"/>
      <c r="M1" s="54"/>
      <c r="N1" s="54"/>
      <c r="O1" s="54"/>
      <c r="P1" s="54"/>
      <c r="Q1" s="54"/>
      <c r="R1" s="54"/>
      <c r="S1" s="54"/>
      <c r="T1" s="54"/>
      <c r="U1" s="54"/>
    </row>
    <row r="2" spans="1:21" x14ac:dyDescent="0.25">
      <c r="A2" s="54"/>
      <c r="B2" s="54"/>
      <c r="C2" s="54"/>
      <c r="D2" s="54"/>
      <c r="E2" s="54"/>
      <c r="F2" s="54"/>
      <c r="G2" s="54"/>
      <c r="H2" s="54"/>
      <c r="I2" s="54"/>
      <c r="J2" s="54"/>
      <c r="K2" s="54"/>
      <c r="L2" s="54"/>
      <c r="M2" s="54"/>
      <c r="N2" s="54"/>
      <c r="O2" s="54"/>
      <c r="P2" s="54"/>
      <c r="Q2" s="54"/>
      <c r="R2" s="54"/>
      <c r="S2" s="54"/>
      <c r="T2" s="54"/>
      <c r="U2" s="54"/>
    </row>
    <row r="3" spans="1:21" x14ac:dyDescent="0.25">
      <c r="A3" s="54"/>
      <c r="B3" s="54"/>
      <c r="C3" s="54"/>
      <c r="D3" s="54"/>
      <c r="E3" s="54"/>
      <c r="F3" s="54"/>
      <c r="G3" s="54"/>
      <c r="H3" s="54"/>
      <c r="I3" s="54"/>
      <c r="J3" s="54"/>
      <c r="K3" s="54"/>
      <c r="L3" s="54"/>
      <c r="M3" s="54"/>
      <c r="N3" s="54"/>
      <c r="O3" s="54"/>
      <c r="P3" s="54"/>
      <c r="Q3" s="54"/>
      <c r="R3" s="54"/>
      <c r="S3" s="54"/>
      <c r="T3" s="54"/>
      <c r="U3" s="54"/>
    </row>
    <row r="4" spans="1:21" x14ac:dyDescent="0.25">
      <c r="A4" s="54"/>
      <c r="B4" s="54"/>
      <c r="C4" s="54"/>
      <c r="D4" s="54"/>
      <c r="E4" s="54"/>
      <c r="F4" s="54"/>
      <c r="G4" s="54"/>
      <c r="H4" s="54"/>
      <c r="I4" s="54"/>
      <c r="J4" s="54"/>
      <c r="K4" s="54"/>
      <c r="L4" s="54"/>
      <c r="M4" s="54"/>
      <c r="N4" s="54"/>
      <c r="O4" s="54"/>
      <c r="P4" s="54"/>
      <c r="Q4" s="54"/>
      <c r="R4" s="54"/>
      <c r="S4" s="54"/>
      <c r="T4" s="54"/>
      <c r="U4" s="54"/>
    </row>
    <row r="5" spans="1:21" x14ac:dyDescent="0.25">
      <c r="A5" s="54"/>
      <c r="B5" s="54"/>
      <c r="C5" s="54"/>
      <c r="D5" s="54"/>
      <c r="E5" s="54"/>
      <c r="F5" s="54"/>
      <c r="G5" s="54"/>
      <c r="H5" s="54"/>
      <c r="I5" s="54"/>
      <c r="J5" s="54"/>
      <c r="K5" s="54"/>
      <c r="L5" s="54"/>
      <c r="M5" s="54"/>
      <c r="N5" s="54"/>
      <c r="O5" s="54"/>
      <c r="P5" s="54"/>
      <c r="Q5" s="54"/>
      <c r="R5" s="54"/>
      <c r="S5" s="54"/>
      <c r="T5" s="54"/>
      <c r="U5" s="54"/>
    </row>
    <row r="6" spans="1:21" x14ac:dyDescent="0.25">
      <c r="A6" s="54"/>
      <c r="B6" s="54"/>
      <c r="C6" s="54"/>
      <c r="D6" s="54"/>
      <c r="E6" s="54"/>
      <c r="F6" s="54"/>
      <c r="G6" s="54"/>
      <c r="H6" s="54"/>
      <c r="I6" s="54"/>
      <c r="J6" s="54"/>
      <c r="K6" s="54"/>
      <c r="L6" s="54"/>
      <c r="M6" s="54"/>
      <c r="N6" s="54"/>
      <c r="O6" s="54"/>
      <c r="P6" s="54"/>
      <c r="Q6" s="54"/>
      <c r="R6" s="54"/>
      <c r="S6" s="54"/>
      <c r="T6" s="54"/>
      <c r="U6" s="54"/>
    </row>
    <row r="7" spans="1:21" x14ac:dyDescent="0.25">
      <c r="A7" s="54"/>
      <c r="B7" s="54"/>
      <c r="C7" s="54"/>
      <c r="D7" s="54"/>
      <c r="E7" s="54"/>
      <c r="F7" s="54"/>
      <c r="G7" s="54"/>
      <c r="H7" s="54"/>
      <c r="I7" s="54"/>
      <c r="J7" s="54"/>
      <c r="K7" s="54"/>
      <c r="L7" s="54"/>
      <c r="M7" s="54"/>
      <c r="N7" s="54"/>
      <c r="O7" s="54"/>
      <c r="P7" s="54"/>
      <c r="Q7" s="54"/>
      <c r="R7" s="54"/>
      <c r="S7" s="54"/>
      <c r="T7" s="54"/>
      <c r="U7" s="54"/>
    </row>
    <row r="8" spans="1:21" x14ac:dyDescent="0.25">
      <c r="A8" s="54"/>
      <c r="B8" s="54"/>
      <c r="C8" s="54"/>
      <c r="D8" s="54"/>
      <c r="E8" s="54"/>
      <c r="F8" s="54"/>
      <c r="G8" s="54"/>
      <c r="H8" s="54"/>
      <c r="I8" s="54"/>
      <c r="J8" s="54"/>
      <c r="K8" s="54"/>
      <c r="L8" s="54"/>
      <c r="M8" s="54"/>
      <c r="N8" s="54"/>
      <c r="O8" s="54"/>
      <c r="P8" s="54"/>
      <c r="Q8" s="54"/>
      <c r="R8" s="54"/>
      <c r="S8" s="54"/>
      <c r="T8" s="54"/>
      <c r="U8" s="54"/>
    </row>
    <row r="9" spans="1:21" x14ac:dyDescent="0.25">
      <c r="A9" s="54"/>
      <c r="B9" s="54"/>
      <c r="C9" s="54"/>
      <c r="D9" s="54"/>
      <c r="E9" s="54"/>
      <c r="F9" s="54"/>
      <c r="G9" s="54"/>
      <c r="H9" s="54"/>
      <c r="I9" s="54"/>
      <c r="J9" s="54"/>
      <c r="K9" s="54"/>
      <c r="L9" s="54"/>
      <c r="M9" s="54"/>
      <c r="N9" s="54"/>
      <c r="O9" s="54"/>
      <c r="P9" s="54"/>
      <c r="Q9" s="54"/>
      <c r="R9" s="54"/>
      <c r="S9" s="54"/>
      <c r="T9" s="54"/>
      <c r="U9" s="54"/>
    </row>
    <row r="10" spans="1:21" x14ac:dyDescent="0.25">
      <c r="A10" s="54"/>
      <c r="B10" s="54"/>
      <c r="C10" s="54"/>
      <c r="D10" s="54"/>
      <c r="E10" s="54"/>
      <c r="F10" s="54"/>
      <c r="G10" s="54"/>
      <c r="H10" s="54"/>
      <c r="I10" s="54"/>
      <c r="J10" s="54"/>
      <c r="K10" s="54"/>
      <c r="L10" s="54"/>
      <c r="M10" s="54"/>
      <c r="N10" s="54"/>
      <c r="O10" s="54"/>
      <c r="P10" s="54"/>
      <c r="Q10" s="54"/>
      <c r="R10" s="54"/>
      <c r="S10" s="54"/>
      <c r="T10" s="54"/>
      <c r="U10" s="54"/>
    </row>
    <row r="11" spans="1:21" x14ac:dyDescent="0.25">
      <c r="A11" s="54"/>
      <c r="B11" s="54"/>
      <c r="C11" s="54"/>
      <c r="D11" s="54"/>
      <c r="E11" s="54"/>
      <c r="F11" s="54"/>
      <c r="G11" s="54"/>
      <c r="H11" s="54"/>
      <c r="I11" s="54"/>
      <c r="J11" s="54"/>
      <c r="K11" s="54"/>
      <c r="L11" s="54"/>
      <c r="M11" s="54"/>
      <c r="N11" s="54"/>
      <c r="O11" s="54"/>
      <c r="P11" s="54"/>
      <c r="Q11" s="54"/>
      <c r="R11" s="54"/>
      <c r="S11" s="54"/>
      <c r="T11" s="54"/>
      <c r="U11" s="54"/>
    </row>
    <row r="12" spans="1:21" x14ac:dyDescent="0.25">
      <c r="A12" s="54"/>
      <c r="B12" s="54"/>
      <c r="C12" s="54"/>
      <c r="D12" s="54"/>
      <c r="E12" s="54"/>
      <c r="F12" s="54"/>
      <c r="G12" s="54"/>
      <c r="H12" s="54"/>
      <c r="I12" s="54"/>
      <c r="J12" s="54"/>
      <c r="K12" s="54"/>
      <c r="L12" s="54"/>
      <c r="M12" s="54"/>
      <c r="N12" s="54"/>
      <c r="O12" s="54"/>
      <c r="P12" s="54"/>
      <c r="Q12" s="54"/>
      <c r="R12" s="54"/>
      <c r="S12" s="54"/>
      <c r="T12" s="54"/>
      <c r="U12" s="54"/>
    </row>
    <row r="13" spans="1:21" x14ac:dyDescent="0.25">
      <c r="A13" s="54"/>
      <c r="B13" s="54"/>
      <c r="C13" s="54"/>
      <c r="D13" s="54"/>
      <c r="E13" s="54"/>
      <c r="F13" s="54"/>
      <c r="G13" s="54"/>
      <c r="H13" s="54"/>
      <c r="I13" s="54"/>
      <c r="J13" s="54"/>
      <c r="K13" s="54"/>
      <c r="L13" s="54"/>
      <c r="M13" s="54"/>
      <c r="N13" s="54"/>
      <c r="O13" s="54"/>
      <c r="P13" s="54"/>
      <c r="Q13" s="54"/>
      <c r="R13" s="54"/>
      <c r="S13" s="54"/>
      <c r="T13" s="54"/>
      <c r="U13" s="54"/>
    </row>
    <row r="14" spans="1:21" x14ac:dyDescent="0.25">
      <c r="A14" s="54"/>
      <c r="B14" s="54"/>
      <c r="C14" s="54"/>
      <c r="D14" s="54"/>
      <c r="E14" s="54"/>
      <c r="F14" s="54"/>
      <c r="G14" s="54"/>
      <c r="H14" s="54"/>
      <c r="I14" s="54"/>
      <c r="J14" s="54"/>
      <c r="K14" s="54"/>
      <c r="L14" s="54"/>
      <c r="M14" s="54"/>
      <c r="N14" s="54"/>
      <c r="O14" s="54"/>
      <c r="P14" s="54"/>
      <c r="Q14" s="54"/>
      <c r="R14" s="54"/>
      <c r="S14" s="54"/>
      <c r="T14" s="54"/>
      <c r="U14" s="54"/>
    </row>
    <row r="15" spans="1:21" x14ac:dyDescent="0.25">
      <c r="A15" s="54"/>
      <c r="B15" s="54"/>
      <c r="C15" s="54"/>
      <c r="D15" s="54"/>
      <c r="E15" s="54"/>
      <c r="F15" s="54"/>
      <c r="G15" s="54"/>
      <c r="H15" s="54"/>
      <c r="I15" s="54"/>
      <c r="J15" s="54"/>
      <c r="K15" s="54"/>
      <c r="L15" s="54"/>
      <c r="M15" s="54"/>
      <c r="N15" s="54"/>
      <c r="O15" s="54"/>
      <c r="P15" s="54"/>
      <c r="Q15" s="54"/>
      <c r="R15" s="54"/>
      <c r="S15" s="54"/>
      <c r="T15" s="54"/>
      <c r="U15" s="54"/>
    </row>
    <row r="16" spans="1:21" x14ac:dyDescent="0.25">
      <c r="A16" s="54"/>
      <c r="B16" s="54"/>
      <c r="C16" s="54"/>
      <c r="D16" s="54"/>
      <c r="E16" s="54"/>
      <c r="F16" s="54"/>
      <c r="G16" s="54"/>
      <c r="H16" s="54"/>
      <c r="I16" s="54"/>
      <c r="J16" s="54"/>
      <c r="K16" s="54"/>
      <c r="L16" s="54"/>
      <c r="M16" s="54"/>
      <c r="N16" s="54"/>
      <c r="O16" s="54"/>
      <c r="P16" s="54"/>
      <c r="Q16" s="54"/>
      <c r="R16" s="54"/>
      <c r="S16" s="54"/>
      <c r="T16" s="54"/>
      <c r="U16" s="54"/>
    </row>
    <row r="17" spans="1:21" x14ac:dyDescent="0.25">
      <c r="A17" s="54"/>
      <c r="B17" s="54"/>
      <c r="C17" s="54"/>
      <c r="D17" s="54"/>
      <c r="E17" s="54"/>
      <c r="F17" s="54"/>
      <c r="G17" s="54"/>
      <c r="H17" s="54"/>
      <c r="I17" s="54"/>
      <c r="J17" s="54"/>
      <c r="K17" s="54"/>
      <c r="L17" s="54"/>
      <c r="M17" s="54"/>
      <c r="N17" s="54"/>
      <c r="O17" s="54"/>
      <c r="P17" s="54"/>
      <c r="Q17" s="54"/>
      <c r="R17" s="54"/>
      <c r="S17" s="54"/>
      <c r="T17" s="54"/>
      <c r="U17" s="54"/>
    </row>
    <row r="18" spans="1:21" x14ac:dyDescent="0.25">
      <c r="A18" s="54"/>
      <c r="B18" s="54"/>
      <c r="C18" s="54"/>
      <c r="D18" s="54"/>
      <c r="E18" s="54"/>
      <c r="F18" s="54"/>
      <c r="G18" s="54"/>
      <c r="H18" s="54"/>
      <c r="I18" s="54"/>
      <c r="J18" s="54"/>
      <c r="K18" s="54"/>
      <c r="L18" s="54"/>
      <c r="M18" s="54"/>
      <c r="N18" s="54"/>
      <c r="O18" s="54"/>
      <c r="P18" s="54"/>
      <c r="Q18" s="54"/>
      <c r="R18" s="54"/>
      <c r="S18" s="54"/>
      <c r="T18" s="54"/>
      <c r="U18" s="54"/>
    </row>
    <row r="19" spans="1:21" x14ac:dyDescent="0.25">
      <c r="A19" s="54"/>
      <c r="B19" s="54"/>
      <c r="C19" s="54"/>
      <c r="D19" s="54"/>
      <c r="E19" s="54"/>
      <c r="F19" s="54"/>
      <c r="G19" s="54"/>
      <c r="H19" s="54"/>
      <c r="I19" s="54"/>
      <c r="J19" s="54"/>
      <c r="K19" s="54"/>
      <c r="L19" s="54"/>
      <c r="M19" s="54"/>
      <c r="N19" s="54"/>
      <c r="O19" s="54"/>
      <c r="P19" s="54"/>
      <c r="Q19" s="54"/>
      <c r="R19" s="54"/>
      <c r="S19" s="54"/>
      <c r="T19" s="54"/>
      <c r="U19" s="54"/>
    </row>
    <row r="20" spans="1:21" ht="16.5" customHeight="1" x14ac:dyDescent="0.25">
      <c r="A20" s="54"/>
      <c r="B20" s="54"/>
      <c r="C20" s="54"/>
      <c r="D20" s="54"/>
      <c r="E20" s="54"/>
      <c r="F20" s="54"/>
      <c r="G20" s="54"/>
      <c r="H20" s="54"/>
      <c r="I20" s="54"/>
      <c r="J20" s="54"/>
      <c r="K20" s="54"/>
      <c r="L20" s="54"/>
      <c r="M20" s="54"/>
      <c r="N20" s="54"/>
      <c r="O20" s="54"/>
      <c r="P20" s="54"/>
      <c r="Q20" s="54"/>
      <c r="R20" s="54"/>
      <c r="S20" s="54"/>
      <c r="T20" s="54"/>
      <c r="U20" s="54"/>
    </row>
    <row r="21" spans="1:21" x14ac:dyDescent="0.25">
      <c r="A21" s="54"/>
      <c r="B21" s="54"/>
      <c r="C21" s="54"/>
      <c r="D21" s="54"/>
      <c r="E21" s="54"/>
      <c r="F21" s="54"/>
      <c r="G21" s="54"/>
      <c r="H21" s="54"/>
      <c r="I21" s="54"/>
      <c r="J21" s="54"/>
      <c r="K21" s="54"/>
      <c r="L21" s="54"/>
      <c r="M21" s="54"/>
      <c r="N21" s="54"/>
      <c r="O21" s="54"/>
      <c r="P21" s="54"/>
      <c r="Q21" s="54"/>
      <c r="R21" s="54"/>
      <c r="S21" s="54"/>
      <c r="T21" s="54"/>
      <c r="U21" s="54"/>
    </row>
    <row r="22" spans="1:21" x14ac:dyDescent="0.25">
      <c r="A22" s="54"/>
      <c r="B22" s="54"/>
      <c r="C22" s="54"/>
      <c r="D22" s="54"/>
      <c r="E22" s="54"/>
      <c r="F22" s="54"/>
      <c r="G22" s="54"/>
      <c r="H22" s="54"/>
      <c r="I22" s="54"/>
      <c r="J22" s="54"/>
      <c r="K22" s="54"/>
      <c r="L22" s="54"/>
      <c r="M22" s="54"/>
      <c r="N22" s="54"/>
      <c r="O22" s="54"/>
      <c r="P22" s="54"/>
      <c r="Q22" s="54"/>
      <c r="R22" s="54"/>
      <c r="S22" s="54"/>
      <c r="T22" s="54"/>
      <c r="U22" s="54"/>
    </row>
    <row r="23" spans="1:21" x14ac:dyDescent="0.25">
      <c r="A23" s="54"/>
      <c r="B23" s="54"/>
      <c r="C23" s="54"/>
      <c r="D23" s="54"/>
      <c r="E23" s="54"/>
      <c r="F23" s="54"/>
      <c r="G23" s="54"/>
      <c r="H23" s="54"/>
      <c r="I23" s="54"/>
      <c r="J23" s="54"/>
      <c r="K23" s="54"/>
      <c r="L23" s="54"/>
      <c r="M23" s="54"/>
      <c r="N23" s="54"/>
      <c r="O23" s="54"/>
      <c r="P23" s="54"/>
      <c r="Q23" s="54"/>
      <c r="R23" s="54"/>
      <c r="S23" s="54"/>
      <c r="T23" s="54"/>
      <c r="U23" s="54"/>
    </row>
    <row r="24" spans="1:21" x14ac:dyDescent="0.25">
      <c r="A24" s="54"/>
      <c r="B24" s="54"/>
      <c r="C24" s="54"/>
      <c r="D24" s="54"/>
      <c r="E24" s="54"/>
      <c r="F24" s="54"/>
      <c r="G24" s="54"/>
      <c r="H24" s="54"/>
      <c r="I24" s="54"/>
      <c r="J24" s="54"/>
      <c r="K24" s="54"/>
      <c r="L24" s="54"/>
      <c r="M24" s="54"/>
      <c r="N24" s="54"/>
      <c r="O24" s="54"/>
      <c r="P24" s="54"/>
      <c r="Q24" s="54"/>
      <c r="R24" s="54"/>
      <c r="S24" s="54"/>
      <c r="T24" s="54"/>
      <c r="U24" s="54"/>
    </row>
    <row r="25" spans="1:21" x14ac:dyDescent="0.25">
      <c r="A25" s="54"/>
      <c r="B25" s="54"/>
      <c r="C25" s="54"/>
      <c r="D25" s="54"/>
      <c r="E25" s="54"/>
      <c r="F25" s="54"/>
      <c r="G25" s="54"/>
      <c r="H25" s="54"/>
      <c r="I25" s="54"/>
      <c r="J25" s="54"/>
      <c r="K25" s="54"/>
      <c r="L25" s="54"/>
      <c r="M25" s="54"/>
      <c r="N25" s="54"/>
      <c r="O25" s="54"/>
      <c r="P25" s="54"/>
      <c r="Q25" s="54"/>
      <c r="R25" s="54"/>
      <c r="S25" s="54"/>
      <c r="T25" s="54"/>
      <c r="U25" s="54"/>
    </row>
    <row r="26" spans="1:21" x14ac:dyDescent="0.25">
      <c r="A26" s="54"/>
      <c r="B26" s="54"/>
      <c r="C26" s="54"/>
      <c r="D26" s="54"/>
      <c r="E26" s="54"/>
      <c r="F26" s="54"/>
      <c r="G26" s="54"/>
      <c r="H26" s="54"/>
      <c r="I26" s="54"/>
      <c r="J26" s="54"/>
      <c r="K26" s="54"/>
      <c r="L26" s="54"/>
      <c r="M26" s="54"/>
      <c r="N26" s="54"/>
      <c r="O26" s="54"/>
      <c r="P26" s="54"/>
      <c r="Q26" s="54"/>
      <c r="R26" s="54"/>
      <c r="S26" s="54"/>
      <c r="T26" s="54"/>
      <c r="U26" s="54"/>
    </row>
    <row r="27" spans="1:21" x14ac:dyDescent="0.25">
      <c r="A27" s="54"/>
      <c r="B27" s="54"/>
      <c r="C27" s="54"/>
      <c r="D27" s="54"/>
      <c r="E27" s="54"/>
      <c r="F27" s="54"/>
      <c r="G27" s="54"/>
      <c r="H27" s="54"/>
      <c r="I27" s="54"/>
      <c r="J27" s="54"/>
      <c r="K27" s="54"/>
      <c r="L27" s="54"/>
      <c r="M27" s="54"/>
      <c r="N27" s="54"/>
      <c r="O27" s="54"/>
      <c r="P27" s="54"/>
      <c r="Q27" s="54"/>
      <c r="R27" s="54"/>
      <c r="S27" s="54"/>
      <c r="T27" s="54"/>
      <c r="U27" s="54"/>
    </row>
    <row r="28" spans="1:21" x14ac:dyDescent="0.25">
      <c r="A28" s="54"/>
      <c r="B28" s="54"/>
      <c r="C28" s="54"/>
      <c r="D28" s="54"/>
      <c r="E28" s="54"/>
      <c r="F28" s="54"/>
      <c r="G28" s="54"/>
      <c r="H28" s="54"/>
      <c r="I28" s="54"/>
      <c r="J28" s="54"/>
      <c r="K28" s="54"/>
      <c r="L28" s="54"/>
      <c r="M28" s="54"/>
      <c r="N28" s="54"/>
      <c r="O28" s="54"/>
      <c r="P28" s="54"/>
      <c r="Q28" s="54"/>
      <c r="R28" s="54"/>
      <c r="S28" s="54"/>
      <c r="T28" s="54"/>
      <c r="U28" s="54"/>
    </row>
    <row r="29" spans="1:21" x14ac:dyDescent="0.25">
      <c r="A29" s="54"/>
      <c r="B29" s="54"/>
      <c r="C29" s="54"/>
      <c r="D29" s="54"/>
      <c r="E29" s="54"/>
      <c r="F29" s="54"/>
      <c r="G29" s="54"/>
      <c r="H29" s="54"/>
      <c r="I29" s="54"/>
      <c r="J29" s="54"/>
      <c r="K29" s="54"/>
      <c r="L29" s="54"/>
      <c r="M29" s="54"/>
      <c r="N29" s="54"/>
      <c r="O29" s="54"/>
      <c r="P29" s="54"/>
      <c r="Q29" s="54"/>
      <c r="R29" s="54"/>
      <c r="S29" s="54"/>
      <c r="T29" s="54"/>
      <c r="U29" s="5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7"/>
  <sheetViews>
    <sheetView showGridLines="0" tabSelected="1" zoomScale="95" zoomScaleNormal="95" workbookViewId="0"/>
  </sheetViews>
  <sheetFormatPr defaultRowHeight="15" x14ac:dyDescent="0.25"/>
  <sheetData>
    <row r="1" spans="1:21" x14ac:dyDescent="0.25">
      <c r="A1" s="54"/>
      <c r="B1" s="54"/>
      <c r="C1" s="54"/>
      <c r="D1" s="54"/>
      <c r="E1" s="54"/>
      <c r="F1" s="54"/>
      <c r="G1" s="54"/>
      <c r="H1" s="54"/>
      <c r="I1" s="54"/>
      <c r="J1" s="54"/>
      <c r="K1" s="54"/>
      <c r="L1" s="54"/>
      <c r="M1" s="54"/>
      <c r="N1" s="54"/>
      <c r="O1" s="54"/>
      <c r="P1" s="54"/>
      <c r="Q1" s="54"/>
      <c r="R1" s="54"/>
      <c r="S1" s="54"/>
      <c r="T1" s="54"/>
      <c r="U1" s="54"/>
    </row>
    <row r="2" spans="1:21" x14ac:dyDescent="0.25">
      <c r="A2" s="54"/>
      <c r="B2" s="54"/>
      <c r="C2" s="54"/>
      <c r="D2" s="54"/>
      <c r="E2" s="54"/>
      <c r="F2" s="54"/>
      <c r="G2" s="54"/>
      <c r="H2" s="54"/>
      <c r="I2" s="54"/>
      <c r="J2" s="54"/>
      <c r="K2" s="54"/>
      <c r="L2" s="54"/>
      <c r="M2" s="54"/>
      <c r="N2" s="54"/>
      <c r="O2" s="54"/>
      <c r="P2" s="54"/>
      <c r="Q2" s="54"/>
      <c r="R2" s="54"/>
      <c r="S2" s="54"/>
      <c r="T2" s="54"/>
      <c r="U2" s="54"/>
    </row>
    <row r="3" spans="1:21" x14ac:dyDescent="0.25">
      <c r="A3" s="54"/>
      <c r="B3" s="54"/>
      <c r="C3" s="54"/>
      <c r="D3" s="54"/>
      <c r="E3" s="54"/>
      <c r="F3" s="54"/>
      <c r="G3" s="54"/>
      <c r="H3" s="54"/>
      <c r="I3" s="54"/>
      <c r="J3" s="54"/>
      <c r="K3" s="54"/>
      <c r="L3" s="54"/>
      <c r="M3" s="54"/>
      <c r="N3" s="54"/>
      <c r="O3" s="54"/>
      <c r="P3" s="54"/>
      <c r="Q3" s="54"/>
      <c r="R3" s="54"/>
      <c r="S3" s="54"/>
      <c r="T3" s="54"/>
      <c r="U3" s="54"/>
    </row>
    <row r="4" spans="1:21" x14ac:dyDescent="0.25">
      <c r="A4" s="54"/>
      <c r="B4" s="54"/>
      <c r="C4" s="54"/>
      <c r="D4" s="54"/>
      <c r="E4" s="54"/>
      <c r="F4" s="54"/>
      <c r="G4" s="54"/>
      <c r="H4" s="54"/>
      <c r="I4" s="54"/>
      <c r="J4" s="54"/>
      <c r="K4" s="54"/>
      <c r="L4" s="54"/>
      <c r="M4" s="54"/>
      <c r="N4" s="54"/>
      <c r="O4" s="54"/>
      <c r="P4" s="54"/>
      <c r="Q4" s="54"/>
      <c r="R4" s="54"/>
      <c r="S4" s="54"/>
      <c r="T4" s="54"/>
      <c r="U4" s="54"/>
    </row>
    <row r="5" spans="1:21" x14ac:dyDescent="0.25">
      <c r="A5" s="54"/>
      <c r="B5" s="54"/>
      <c r="C5" s="54"/>
      <c r="D5" s="54"/>
      <c r="E5" s="54"/>
      <c r="F5" s="54"/>
      <c r="G5" s="54"/>
      <c r="H5" s="54"/>
      <c r="I5" s="54"/>
      <c r="J5" s="54"/>
      <c r="K5" s="54"/>
      <c r="L5" s="54"/>
      <c r="M5" s="54"/>
      <c r="N5" s="54"/>
      <c r="O5" s="54"/>
      <c r="P5" s="54"/>
      <c r="Q5" s="54"/>
      <c r="R5" s="54"/>
      <c r="S5" s="54"/>
      <c r="T5" s="54"/>
      <c r="U5" s="54"/>
    </row>
    <row r="6" spans="1:21" x14ac:dyDescent="0.25">
      <c r="A6" s="54"/>
      <c r="B6" s="54"/>
      <c r="C6" s="54"/>
      <c r="D6" s="54"/>
      <c r="E6" s="54"/>
      <c r="F6" s="54"/>
      <c r="G6" s="54"/>
      <c r="H6" s="54"/>
      <c r="I6" s="54"/>
      <c r="J6" s="54"/>
      <c r="K6" s="54"/>
      <c r="L6" s="54"/>
      <c r="M6" s="54"/>
      <c r="N6" s="54"/>
      <c r="O6" s="54"/>
      <c r="P6" s="54"/>
      <c r="Q6" s="54"/>
      <c r="R6" s="54"/>
      <c r="S6" s="54"/>
      <c r="T6" s="54"/>
      <c r="U6" s="54"/>
    </row>
    <row r="7" spans="1:21" x14ac:dyDescent="0.25">
      <c r="A7" s="54"/>
      <c r="B7" s="54"/>
      <c r="C7" s="54"/>
      <c r="D7" s="54"/>
      <c r="E7" s="54"/>
      <c r="F7" s="54"/>
      <c r="G7" s="54"/>
      <c r="H7" s="54"/>
      <c r="I7" s="54"/>
      <c r="J7" s="54"/>
      <c r="K7" s="54"/>
      <c r="L7" s="54"/>
      <c r="M7" s="54"/>
      <c r="N7" s="54"/>
      <c r="O7" s="54"/>
      <c r="P7" s="54"/>
      <c r="Q7" s="54"/>
      <c r="R7" s="54"/>
      <c r="S7" s="54"/>
      <c r="T7" s="54"/>
      <c r="U7" s="54"/>
    </row>
    <row r="8" spans="1:21" x14ac:dyDescent="0.25">
      <c r="A8" s="54"/>
      <c r="B8" s="54"/>
      <c r="C8" s="54"/>
      <c r="D8" s="54"/>
      <c r="E8" s="54"/>
      <c r="F8" s="54"/>
      <c r="G8" s="54"/>
      <c r="H8" s="54"/>
      <c r="I8" s="54"/>
      <c r="J8" s="54"/>
      <c r="K8" s="54"/>
      <c r="L8" s="54"/>
      <c r="M8" s="54"/>
      <c r="N8" s="54"/>
      <c r="O8" s="54"/>
      <c r="P8" s="54"/>
      <c r="Q8" s="54"/>
      <c r="R8" s="54"/>
      <c r="S8" s="54"/>
      <c r="T8" s="54"/>
      <c r="U8" s="54"/>
    </row>
    <row r="9" spans="1:21" x14ac:dyDescent="0.25">
      <c r="A9" s="54"/>
      <c r="B9" s="54"/>
      <c r="C9" s="54"/>
      <c r="D9" s="54"/>
      <c r="E9" s="54"/>
      <c r="F9" s="54"/>
      <c r="G9" s="54"/>
      <c r="H9" s="54"/>
      <c r="I9" s="54"/>
      <c r="J9" s="54"/>
      <c r="K9" s="54"/>
      <c r="L9" s="54"/>
      <c r="M9" s="54"/>
      <c r="N9" s="54"/>
      <c r="O9" s="54"/>
      <c r="P9" s="54"/>
      <c r="Q9" s="54"/>
      <c r="R9" s="54"/>
      <c r="S9" s="54"/>
      <c r="T9" s="54"/>
      <c r="U9" s="54"/>
    </row>
    <row r="10" spans="1:21" x14ac:dyDescent="0.25">
      <c r="A10" s="54"/>
      <c r="B10" s="54"/>
      <c r="C10" s="54"/>
      <c r="D10" s="54"/>
      <c r="E10" s="54"/>
      <c r="F10" s="54"/>
      <c r="G10" s="54"/>
      <c r="H10" s="54"/>
      <c r="I10" s="54"/>
      <c r="J10" s="54"/>
      <c r="K10" s="54"/>
      <c r="L10" s="54"/>
      <c r="M10" s="54"/>
      <c r="N10" s="54"/>
      <c r="O10" s="54"/>
      <c r="P10" s="54"/>
      <c r="Q10" s="54"/>
      <c r="R10" s="54"/>
      <c r="S10" s="54"/>
      <c r="T10" s="54"/>
      <c r="U10" s="54"/>
    </row>
    <row r="11" spans="1:21" x14ac:dyDescent="0.25">
      <c r="A11" s="54"/>
      <c r="B11" s="54"/>
      <c r="C11" s="54"/>
      <c r="D11" s="54"/>
      <c r="E11" s="54"/>
      <c r="F11" s="54"/>
      <c r="G11" s="54"/>
      <c r="H11" s="54"/>
      <c r="I11" s="54"/>
      <c r="J11" s="54"/>
      <c r="K11" s="54"/>
      <c r="L11" s="54"/>
      <c r="M11" s="54"/>
      <c r="N11" s="54"/>
      <c r="O11" s="54"/>
      <c r="P11" s="54"/>
      <c r="Q11" s="54"/>
      <c r="R11" s="54"/>
      <c r="S11" s="54"/>
      <c r="T11" s="54"/>
      <c r="U11" s="54"/>
    </row>
    <row r="12" spans="1:21" x14ac:dyDescent="0.25">
      <c r="A12" s="54"/>
      <c r="B12" s="54"/>
      <c r="C12" s="54"/>
      <c r="D12" s="54"/>
      <c r="E12" s="54"/>
      <c r="F12" s="54"/>
      <c r="G12" s="54"/>
      <c r="H12" s="54"/>
      <c r="I12" s="54"/>
      <c r="J12" s="54"/>
      <c r="K12" s="54"/>
      <c r="L12" s="54"/>
      <c r="M12" s="54"/>
      <c r="N12" s="54"/>
      <c r="O12" s="54"/>
      <c r="P12" s="54"/>
      <c r="Q12" s="54"/>
      <c r="R12" s="54"/>
      <c r="S12" s="54"/>
      <c r="T12" s="54"/>
      <c r="U12" s="54"/>
    </row>
    <row r="13" spans="1:21" x14ac:dyDescent="0.25">
      <c r="A13" s="54"/>
      <c r="B13" s="54"/>
      <c r="C13" s="54"/>
      <c r="D13" s="54"/>
      <c r="E13" s="54"/>
      <c r="F13" s="54"/>
      <c r="G13" s="54"/>
      <c r="H13" s="54"/>
      <c r="I13" s="54"/>
      <c r="J13" s="54"/>
      <c r="K13" s="54"/>
      <c r="L13" s="54"/>
      <c r="M13" s="54"/>
      <c r="N13" s="54"/>
      <c r="O13" s="54"/>
      <c r="P13" s="54"/>
      <c r="Q13" s="54"/>
      <c r="R13" s="54"/>
      <c r="S13" s="54"/>
      <c r="T13" s="54"/>
      <c r="U13" s="54"/>
    </row>
    <row r="14" spans="1:21" x14ac:dyDescent="0.25">
      <c r="A14" s="54"/>
      <c r="B14" s="54"/>
      <c r="C14" s="54"/>
      <c r="D14" s="54"/>
      <c r="E14" s="54"/>
      <c r="F14" s="54"/>
      <c r="G14" s="54"/>
      <c r="H14" s="54"/>
      <c r="I14" s="54"/>
      <c r="J14" s="54"/>
      <c r="K14" s="54"/>
      <c r="L14" s="54"/>
      <c r="M14" s="54"/>
      <c r="N14" s="54"/>
      <c r="O14" s="54"/>
      <c r="P14" s="54"/>
      <c r="Q14" s="54"/>
      <c r="R14" s="54"/>
      <c r="S14" s="54"/>
      <c r="T14" s="54"/>
      <c r="U14" s="54"/>
    </row>
    <row r="15" spans="1:21" x14ac:dyDescent="0.25">
      <c r="A15" s="54"/>
      <c r="B15" s="54"/>
      <c r="C15" s="54"/>
      <c r="D15" s="54"/>
      <c r="E15" s="54"/>
      <c r="F15" s="54"/>
      <c r="G15" s="54"/>
      <c r="H15" s="54"/>
      <c r="I15" s="54"/>
      <c r="J15" s="54"/>
      <c r="K15" s="54"/>
      <c r="L15" s="54"/>
      <c r="M15" s="54"/>
      <c r="N15" s="54"/>
      <c r="O15" s="54"/>
      <c r="P15" s="54"/>
      <c r="Q15" s="54"/>
      <c r="R15" s="54"/>
      <c r="S15" s="54"/>
      <c r="T15" s="54"/>
      <c r="U15" s="54"/>
    </row>
    <row r="16" spans="1:21" x14ac:dyDescent="0.25">
      <c r="A16" s="54"/>
      <c r="B16" s="54"/>
      <c r="C16" s="54"/>
      <c r="D16" s="54"/>
      <c r="E16" s="54"/>
      <c r="F16" s="54"/>
      <c r="G16" s="54"/>
      <c r="H16" s="54"/>
      <c r="I16" s="54"/>
      <c r="J16" s="54"/>
      <c r="K16" s="54"/>
      <c r="L16" s="54"/>
      <c r="M16" s="54"/>
      <c r="N16" s="54"/>
      <c r="O16" s="54"/>
      <c r="P16" s="54"/>
      <c r="Q16" s="54"/>
      <c r="R16" s="54"/>
      <c r="S16" s="54"/>
      <c r="T16" s="54"/>
      <c r="U16" s="54"/>
    </row>
    <row r="17" spans="1:21" x14ac:dyDescent="0.25">
      <c r="A17" s="54"/>
      <c r="B17" s="54"/>
      <c r="C17" s="54"/>
      <c r="D17" s="54"/>
      <c r="E17" s="54"/>
      <c r="F17" s="54"/>
      <c r="G17" s="54"/>
      <c r="H17" s="54"/>
      <c r="I17" s="54"/>
      <c r="J17" s="54"/>
      <c r="K17" s="54"/>
      <c r="L17" s="54"/>
      <c r="M17" s="54"/>
      <c r="N17" s="54"/>
      <c r="O17" s="54"/>
      <c r="P17" s="54"/>
      <c r="Q17" s="54"/>
      <c r="R17" s="54"/>
      <c r="S17" s="54"/>
      <c r="T17" s="54"/>
      <c r="U17" s="54"/>
    </row>
    <row r="18" spans="1:21" x14ac:dyDescent="0.25">
      <c r="A18" s="54"/>
      <c r="B18" s="54"/>
      <c r="C18" s="54"/>
      <c r="D18" s="54"/>
      <c r="E18" s="54"/>
      <c r="F18" s="54"/>
      <c r="G18" s="54"/>
      <c r="H18" s="54"/>
      <c r="I18" s="54"/>
      <c r="J18" s="54"/>
      <c r="K18" s="54"/>
      <c r="L18" s="54"/>
      <c r="M18" s="54"/>
      <c r="N18" s="54"/>
      <c r="O18" s="54"/>
      <c r="P18" s="54"/>
      <c r="Q18" s="54"/>
      <c r="R18" s="54"/>
      <c r="S18" s="54"/>
      <c r="T18" s="54"/>
      <c r="U18" s="54"/>
    </row>
    <row r="19" spans="1:21" x14ac:dyDescent="0.25">
      <c r="A19" s="54"/>
      <c r="B19" s="54"/>
      <c r="C19" s="54"/>
      <c r="D19" s="54"/>
      <c r="E19" s="54"/>
      <c r="F19" s="54"/>
      <c r="G19" s="54"/>
      <c r="H19" s="54"/>
      <c r="I19" s="54"/>
      <c r="J19" s="54"/>
      <c r="K19" s="54"/>
      <c r="L19" s="54"/>
      <c r="M19" s="54"/>
      <c r="N19" s="54"/>
      <c r="O19" s="54"/>
      <c r="P19" s="54"/>
      <c r="Q19" s="54"/>
      <c r="R19" s="54"/>
      <c r="S19" s="54"/>
      <c r="T19" s="54"/>
      <c r="U19" s="54"/>
    </row>
    <row r="20" spans="1:21" x14ac:dyDescent="0.25">
      <c r="A20" s="54"/>
      <c r="B20" s="54"/>
      <c r="C20" s="54"/>
      <c r="D20" s="54"/>
      <c r="E20" s="54"/>
      <c r="F20" s="54"/>
      <c r="G20" s="54"/>
      <c r="H20" s="54"/>
      <c r="I20" s="54"/>
      <c r="J20" s="54"/>
      <c r="K20" s="54"/>
      <c r="L20" s="54"/>
      <c r="M20" s="54"/>
      <c r="N20" s="54"/>
      <c r="O20" s="54"/>
      <c r="P20" s="54"/>
      <c r="Q20" s="54"/>
      <c r="R20" s="54"/>
      <c r="S20" s="54"/>
      <c r="T20" s="54"/>
      <c r="U20" s="54"/>
    </row>
    <row r="21" spans="1:21" x14ac:dyDescent="0.25">
      <c r="A21" s="54"/>
      <c r="B21" s="54"/>
      <c r="C21" s="54"/>
      <c r="D21" s="54"/>
      <c r="E21" s="54"/>
      <c r="F21" s="54"/>
      <c r="G21" s="54"/>
      <c r="H21" s="54"/>
      <c r="I21" s="54"/>
      <c r="J21" s="54"/>
      <c r="K21" s="54"/>
      <c r="L21" s="54"/>
      <c r="M21" s="54"/>
      <c r="N21" s="54"/>
      <c r="O21" s="54"/>
      <c r="P21" s="54"/>
      <c r="Q21" s="54"/>
      <c r="R21" s="54"/>
      <c r="S21" s="54"/>
      <c r="T21" s="54"/>
      <c r="U21" s="54"/>
    </row>
    <row r="22" spans="1:21" x14ac:dyDescent="0.25">
      <c r="A22" s="54"/>
      <c r="B22" s="54"/>
      <c r="C22" s="54"/>
      <c r="D22" s="54"/>
      <c r="E22" s="54"/>
      <c r="F22" s="54"/>
      <c r="G22" s="54"/>
      <c r="H22" s="54"/>
      <c r="I22" s="54"/>
      <c r="J22" s="54"/>
      <c r="K22" s="54"/>
      <c r="L22" s="54"/>
      <c r="M22" s="54"/>
      <c r="N22" s="54"/>
      <c r="O22" s="54"/>
      <c r="P22" s="54"/>
      <c r="Q22" s="54"/>
      <c r="R22" s="54"/>
      <c r="S22" s="54"/>
      <c r="T22" s="54"/>
      <c r="U22" s="54"/>
    </row>
    <row r="23" spans="1:21" x14ac:dyDescent="0.25">
      <c r="A23" s="54"/>
      <c r="B23" s="54"/>
      <c r="C23" s="54"/>
      <c r="D23" s="54"/>
      <c r="E23" s="54"/>
      <c r="F23" s="54"/>
      <c r="G23" s="54"/>
      <c r="H23" s="54"/>
      <c r="I23" s="54"/>
      <c r="J23" s="54"/>
      <c r="K23" s="54"/>
      <c r="L23" s="54"/>
      <c r="M23" s="54"/>
      <c r="N23" s="54"/>
      <c r="O23" s="54"/>
      <c r="P23" s="54"/>
      <c r="Q23" s="54"/>
      <c r="R23" s="54"/>
      <c r="S23" s="54"/>
      <c r="T23" s="54"/>
      <c r="U23" s="54"/>
    </row>
    <row r="24" spans="1:21" x14ac:dyDescent="0.25">
      <c r="A24" s="54"/>
      <c r="B24" s="54"/>
      <c r="C24" s="54"/>
      <c r="D24" s="54"/>
      <c r="E24" s="54"/>
      <c r="F24" s="54"/>
      <c r="G24" s="54"/>
      <c r="H24" s="54"/>
      <c r="I24" s="54"/>
      <c r="J24" s="54"/>
      <c r="K24" s="54"/>
      <c r="L24" s="54"/>
      <c r="M24" s="54"/>
      <c r="N24" s="54"/>
      <c r="O24" s="54"/>
      <c r="P24" s="54"/>
      <c r="Q24" s="54"/>
      <c r="R24" s="54"/>
      <c r="S24" s="54"/>
      <c r="T24" s="54"/>
      <c r="U24" s="54"/>
    </row>
    <row r="25" spans="1:21" x14ac:dyDescent="0.25">
      <c r="A25" s="54"/>
      <c r="B25" s="54"/>
      <c r="C25" s="54"/>
      <c r="D25" s="54"/>
      <c r="E25" s="54"/>
      <c r="F25" s="54"/>
      <c r="G25" s="54"/>
      <c r="H25" s="54"/>
      <c r="I25" s="54"/>
      <c r="J25" s="54"/>
      <c r="K25" s="54"/>
      <c r="L25" s="54"/>
      <c r="M25" s="54"/>
      <c r="N25" s="54"/>
      <c r="O25" s="54"/>
      <c r="P25" s="54"/>
      <c r="Q25" s="54"/>
      <c r="R25" s="54"/>
      <c r="S25" s="54"/>
      <c r="T25" s="54"/>
      <c r="U25" s="54"/>
    </row>
    <row r="26" spans="1:21" x14ac:dyDescent="0.25">
      <c r="A26" s="54"/>
      <c r="B26" s="54"/>
      <c r="C26" s="54"/>
      <c r="D26" s="54"/>
      <c r="E26" s="54"/>
      <c r="F26" s="54"/>
      <c r="G26" s="54"/>
      <c r="H26" s="54"/>
      <c r="I26" s="54"/>
      <c r="J26" s="54"/>
      <c r="K26" s="54"/>
      <c r="L26" s="54"/>
      <c r="M26" s="54"/>
      <c r="N26" s="54"/>
      <c r="O26" s="54"/>
      <c r="P26" s="54"/>
      <c r="Q26" s="54"/>
      <c r="R26" s="54"/>
      <c r="S26" s="54"/>
      <c r="T26" s="54"/>
      <c r="U26" s="54"/>
    </row>
    <row r="27" spans="1:21" x14ac:dyDescent="0.25">
      <c r="A27" s="54"/>
      <c r="B27" s="54"/>
      <c r="C27" s="54"/>
      <c r="D27" s="54"/>
      <c r="E27" s="54"/>
      <c r="F27" s="54"/>
      <c r="G27" s="54"/>
      <c r="H27" s="54"/>
      <c r="I27" s="54"/>
      <c r="J27" s="54"/>
      <c r="K27" s="54"/>
      <c r="L27" s="54"/>
      <c r="M27" s="54"/>
      <c r="N27" s="54"/>
      <c r="O27" s="54"/>
      <c r="P27" s="54"/>
      <c r="Q27" s="54"/>
      <c r="R27" s="54"/>
      <c r="S27" s="54"/>
      <c r="T27" s="54"/>
      <c r="U27" s="5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Enrollment_Data</vt:lpstr>
      <vt:lpstr>Pivot &amp;Calculations</vt:lpstr>
      <vt:lpstr> CHARTS FOR ENROLLMENT</vt:lpstr>
      <vt:lpstr>CHARTS FOR REVENUE</vt:lpstr>
      <vt:lpstr>DASHBOARD1</vt:lpstr>
      <vt:lpstr>REVENUE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acer</cp:lastModifiedBy>
  <dcterms:created xsi:type="dcterms:W3CDTF">2026-03-05T07:25:08Z</dcterms:created>
  <dcterms:modified xsi:type="dcterms:W3CDTF">2026-04-18T07:50:16Z</dcterms:modified>
</cp:coreProperties>
</file>